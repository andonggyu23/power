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통계업무\26년 전력시장처\01. 전력통계월보\4월\최종\"/>
    </mc:Choice>
  </mc:AlternateContent>
  <xr:revisionPtr revIDLastSave="0" documentId="13_ncr:1_{AD47A49B-2A86-43B8-8517-25C078B8756C}" xr6:coauthVersionLast="47" xr6:coauthVersionMax="47" xr10:uidLastSave="{00000000-0000-0000-0000-000000000000}"/>
  <bookViews>
    <workbookView xWindow="28680" yWindow="-120" windowWidth="29040" windowHeight="15720" tabRatio="671" xr2:uid="{00000000-000D-0000-FFFF-FFFF00000000}"/>
  </bookViews>
  <sheets>
    <sheet name="Ⅰ.통계도표(1P)" sheetId="2" r:id="rId1"/>
    <sheet name="공란 2페이지" sheetId="3" r:id="rId2"/>
    <sheet name="1-1 발전설비추이(발전원별)_3P" sheetId="4" r:id="rId3"/>
    <sheet name="1-2 발전설비추이(에너지원별)" sheetId="5" r:id="rId4"/>
    <sheet name="1-3 발전전력량 추이(발전원별)" sheetId="6" r:id="rId5"/>
    <sheet name="1-4 발전전력량 추이(에너지원별)" sheetId="7" r:id="rId6"/>
    <sheet name="1-5 판매전력량 추이(계약종별)" sheetId="8" r:id="rId7"/>
    <sheet name="1-6 판매전력량 추이(용도별)" sheetId="9" r:id="rId8"/>
    <sheet name="1-7 전력수급추이" sheetId="12" r:id="rId9"/>
    <sheet name="1-8 월간실적요약" sheetId="11" r:id="rId10"/>
    <sheet name="Ⅱ.발전설비 용량(11p)" sheetId="13" r:id="rId11"/>
    <sheet name="2. 발전설비용량(발전원별) " sheetId="14" r:id="rId12"/>
    <sheet name="2-1. 발전설비용량(발전원별에너지원별)" sheetId="15" r:id="rId13"/>
    <sheet name="2-2. 발전설비용량(발전소별)" sheetId="16" r:id="rId14"/>
    <sheet name="3. 발전설비용량(발전회사별발전원별)" sheetId="17" r:id="rId15"/>
    <sheet name="3-1. 발전설비용량(한전 및 발전자회사 상세)" sheetId="18" r:id="rId16"/>
    <sheet name="4. 발전설비용량(에너지원별) " sheetId="19" r:id="rId17"/>
    <sheet name="5. 발전설비현황(행정구역별) " sheetId="20" r:id="rId18"/>
    <sheet name="6. 발전소 건설현황" sheetId="21" r:id="rId19"/>
    <sheet name="Ⅲ.발전전력량(27p)" sheetId="22" r:id="rId20"/>
    <sheet name="7. 발전전력량(발전원별)" sheetId="23" r:id="rId21"/>
    <sheet name="7-1. 발전전력량(발전원별에너지원별)" sheetId="24" r:id="rId22"/>
    <sheet name="7-2. 발전전력량(발전소별)" sheetId="25" r:id="rId23"/>
    <sheet name="8. 발전전력량(발전회사별발전원별)" sheetId="26" r:id="rId24"/>
    <sheet name="9. 발전전력량(에너지원별)" sheetId="27" r:id="rId25"/>
    <sheet name="9-1. 신재생발전설비발전량(행정구역)" sheetId="28" r:id="rId26"/>
    <sheet name="10. 발전전력량(행정구역)" sheetId="29" r:id="rId27"/>
    <sheet name="10-1. 발전전력량(행정구역_누계)" sheetId="30" r:id="rId28"/>
    <sheet name="11. 연료사용량(발전원(소)별에너지원별)" sheetId="31" r:id="rId29"/>
    <sheet name="11-1. 연료사용량(에너지원별)" sheetId="32" r:id="rId30"/>
    <sheet name="Ⅳ.전력구입량(47p)" sheetId="33" r:id="rId31"/>
    <sheet name="12.전력거래실적 종합" sheetId="34" r:id="rId32"/>
    <sheet name="13.전력거래실적(발전원별)" sheetId="35" r:id="rId33"/>
    <sheet name="14. 전력거래실적(발전회사별)" sheetId="36" r:id="rId34"/>
    <sheet name="15.전력거래실적 (가격&amp;단가)" sheetId="37" r:id="rId35"/>
    <sheet name="16.전력거래실적(PPA)" sheetId="38" r:id="rId36"/>
    <sheet name="16-1.태양광 발전량 추계정보" sheetId="39" r:id="rId37"/>
    <sheet name="공란 페이지(58p)" sheetId="40" r:id="rId38"/>
    <sheet name="Ⅳ.전력판매량(59p)" sheetId="41" r:id="rId39"/>
    <sheet name="17.전력판매실적 종합" sheetId="42" r:id="rId40"/>
    <sheet name="18.계약종별 판매전력량" sheetId="43" r:id="rId41"/>
    <sheet name="18-1.계약종별 수용호수" sheetId="44" r:id="rId42"/>
    <sheet name="18-2.계약종별 판매수입" sheetId="45" r:id="rId43"/>
    <sheet name="19.용도별 판매전력량" sheetId="46" r:id="rId44"/>
    <sheet name="19-1.용도별 수용호수" sheetId="47" r:id="rId45"/>
    <sheet name="19-2.용도별 판매수입" sheetId="48" r:id="rId46"/>
    <sheet name="20.행정구역별 판매전력량" sheetId="49" r:id="rId47"/>
    <sheet name="20-1.행정구역별 수용호수" sheetId="50" r:id="rId48"/>
    <sheet name="20-2.행정구역별 판매수입" sheetId="51" r:id="rId49"/>
    <sheet name="20-3.행정구역별 계약종별 판매전력량" sheetId="52" r:id="rId50"/>
    <sheet name="21.산업분류별 판매전력량" sheetId="53" r:id="rId51"/>
    <sheet name="21-1.산업분류별 행정구역별 판매전력량" sheetId="54" r:id="rId52"/>
    <sheet name="21-2.산업분류별 행정구역별 판매전력량(누계)" sheetId="55" r:id="rId53"/>
    <sheet name="공란 페이지(88p)" sheetId="56" r:id="rId54"/>
    <sheet name="Ⅵ.기타(89p)" sheetId="57" r:id="rId55"/>
    <sheet name="22.전력수급실적(월별)" sheetId="58" r:id="rId56"/>
    <sheet name="22-1.전력수급실적(일별)" sheetId="59" r:id="rId57"/>
    <sheet name="23.인원(회사별)  " sheetId="60" r:id="rId58"/>
    <sheet name="공란 페이지(94p)" sheetId="61" r:id="rId59"/>
  </sheets>
  <definedNames>
    <definedName name="_116K33_" localSheetId="1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116K33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46D12_" localSheetId="1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46D12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xlnm._FilterDatabase" localSheetId="25" hidden="1">'9-1. 신재생발전설비발전량(행정구역)'!$C$5:$S$42</definedName>
    <definedName name="_xlnm.Print_Area" localSheetId="26">'10. 발전전력량(행정구역)'!$A$1:$M$26</definedName>
    <definedName name="_xlnm.Print_Area" localSheetId="27">'10-1. 발전전력량(행정구역_누계)'!$A$1:$M$26</definedName>
    <definedName name="_xlnm.Print_Area" localSheetId="2">'1-1 발전설비추이(발전원별)_3P'!$A$1:$N$42</definedName>
    <definedName name="_xlnm.Print_Area" localSheetId="28">'11. 연료사용량(발전원(소)별에너지원별)'!$A$1:$S$37</definedName>
    <definedName name="_xlnm.Print_Area" localSheetId="29">'11-1. 연료사용량(에너지원별)'!$A$1:$G$39</definedName>
    <definedName name="_xlnm.Print_Area" localSheetId="3">'1-2 발전설비추이(에너지원별)'!$A$1:$N$40</definedName>
    <definedName name="_xlnm.Print_Area" localSheetId="31">'12.전력거래실적 종합'!$A$1:$L$37</definedName>
    <definedName name="_xlnm.Print_Area" localSheetId="4">'1-3 발전전력량 추이(발전원별)'!$A$1:$N$38</definedName>
    <definedName name="_xlnm.Print_Area" localSheetId="32">'13.전력거래실적(발전원별)'!$A$1:$AG$32</definedName>
    <definedName name="_xlnm.Print_Area" localSheetId="5">'1-4 발전전력량 추이(에너지원별)'!$A$1:$N$40</definedName>
    <definedName name="_xlnm.Print_Area" localSheetId="33">'14. 전력거래실적(발전회사별)'!$A$1:$AA$29</definedName>
    <definedName name="_xlnm.Print_Area" localSheetId="6">'1-5 판매전력량 추이(계약종별)'!$A$1:$N$31</definedName>
    <definedName name="_xlnm.Print_Area" localSheetId="34">'15.전력거래실적 (가격&amp;단가)'!$A$1:$F$31</definedName>
    <definedName name="_xlnm.Print_Area" localSheetId="7">'1-6 판매전력량 추이(용도별)'!$A$1:$N$31</definedName>
    <definedName name="_xlnm.Print_Area" localSheetId="35">'16.전력거래실적(PPA)'!$A$1:$K$65</definedName>
    <definedName name="_xlnm.Print_Area" localSheetId="36">'16-1.태양광 발전량 추계정보'!$A$1:$D$36</definedName>
    <definedName name="_xlnm.Print_Area" localSheetId="8">'1-7 전력수급추이'!$A$1:$N$28</definedName>
    <definedName name="_xlnm.Print_Area" localSheetId="39">'17.전력판매실적 종합'!$A$1:$P$33</definedName>
    <definedName name="_xlnm.Print_Area" localSheetId="9">'1-8 월간실적요약'!$A$1:$K$28</definedName>
    <definedName name="_xlnm.Print_Area" localSheetId="40">'18.계약종별 판매전력량'!$A$1:$Q$32</definedName>
    <definedName name="_xlnm.Print_Area" localSheetId="41">'18-1.계약종별 수용호수'!$A$1:$Q$30</definedName>
    <definedName name="_xlnm.Print_Area" localSheetId="42">'18-2.계약종별 판매수입'!$A$1:$Q$33</definedName>
    <definedName name="_xlnm.Print_Area" localSheetId="43">'19.용도별 판매전력량'!$A$1:$S$33</definedName>
    <definedName name="_xlnm.Print_Area" localSheetId="44">'19-1.용도별 수용호수'!$A$1:$S$31</definedName>
    <definedName name="_xlnm.Print_Area" localSheetId="45">'19-2.용도별 판매수입'!$A$1:$S$34</definedName>
    <definedName name="_xlnm.Print_Area" localSheetId="11">'2. 발전설비용량(발전원별) '!$A$1:$AG$32</definedName>
    <definedName name="_xlnm.Print_Area" localSheetId="46">'20.행정구역별 판매전력량'!$A$1:$T$32</definedName>
    <definedName name="_xlnm.Print_Area" localSheetId="47">'20-1.행정구역별 수용호수'!$A$1:$T$30</definedName>
    <definedName name="_xlnm.Print_Area" localSheetId="48">'20-2.행정구역별 판매수입'!$A$1:$T$32</definedName>
    <definedName name="_xlnm.Print_Area" localSheetId="49">'20-3.행정구역별 계약종별 판매전력량'!$A$1:$U$38</definedName>
    <definedName name="_xlnm.Print_Area" localSheetId="12">'2-1. 발전설비용량(발전원별에너지원별)'!$A$1:$T$39</definedName>
    <definedName name="_xlnm.Print_Area" localSheetId="50">'21.산업분류별 판매전력량'!$A$1:$O$38</definedName>
    <definedName name="_xlnm.Print_Area" localSheetId="51">'21-1.산업분류별 행정구역별 판매전력량'!$A$1:$U$38</definedName>
    <definedName name="_xlnm.Print_Area" localSheetId="52">'21-2.산업분류별 행정구역별 판매전력량(누계)'!$A$1:$U$38</definedName>
    <definedName name="_xlnm.Print_Area" localSheetId="13">'2-2. 발전설비용량(발전소별)'!$A$1:$V$42</definedName>
    <definedName name="_xlnm.Print_Area" localSheetId="55">'22.전력수급실적(월별)'!$A$1:$M$38</definedName>
    <definedName name="_xlnm.Print_Area" localSheetId="56">'22-1.전력수급실적(일별)'!$A$1:$I$38</definedName>
    <definedName name="_xlnm.Print_Area" localSheetId="57">'23.인원(회사별)  '!$A$1:$Y$40</definedName>
    <definedName name="_xlnm.Print_Area" localSheetId="14">'3. 발전설비용량(발전회사별발전원별)'!$A$1:$AV$33</definedName>
    <definedName name="_xlnm.Print_Area" localSheetId="15">'3-1. 발전설비용량(한전 및 발전자회사 상세)'!$A$1:$AB$75</definedName>
    <definedName name="_xlnm.Print_Area" localSheetId="17">'5. 발전설비현황(행정구역별) '!$A$1:$M$26</definedName>
    <definedName name="_xlnm.Print_Area" localSheetId="18">'6. 발전소 건설현황'!$A$1:$F$22</definedName>
    <definedName name="_xlnm.Print_Area" localSheetId="20">'7. 발전전력량(발전원별)'!$A$1:$AG$35</definedName>
    <definedName name="_xlnm.Print_Area" localSheetId="21">'7-1. 발전전력량(발전원별에너지원별)'!$A$1:$V$41</definedName>
    <definedName name="_xlnm.Print_Area" localSheetId="22">'7-2. 발전전력량(발전소별)'!$A$1:$V$43</definedName>
    <definedName name="_xlnm.Print_Area" localSheetId="23">'8. 발전전력량(발전회사별발전원별)'!$A$1:$AW$34</definedName>
    <definedName name="_xlnm.Print_Area" localSheetId="24">'9. 발전전력량(에너지원별)'!$A$1:$I$36</definedName>
    <definedName name="_xlnm.Print_Area" localSheetId="25">'9-1. 신재생발전설비발전량(행정구역)'!$A$1:$S$44</definedName>
    <definedName name="_xlnm.Print_Area" localSheetId="0">'Ⅰ.통계도표(1P)'!$A$1:$F$30</definedName>
    <definedName name="_xlnm.Print_Area" localSheetId="30">'Ⅳ.전력구입량(47p)'!$A$1:$F$25</definedName>
    <definedName name="_xlnm.Print_Area" localSheetId="1">'공란 2페이지'!$A$1:$F$30</definedName>
    <definedName name="TABLE" localSheetId="39">'17.전력판매실적 종합'!#REF!</definedName>
    <definedName name="TABLE_2" localSheetId="39">'17.전력판매실적 종합'!#REF!</definedName>
    <definedName name="TABLE_3" localSheetId="39">'17.전력판매실적 종합'!#REF!</definedName>
    <definedName name="TABLE_4" localSheetId="39">'17.전력판매실적 종합'!#REF!</definedName>
    <definedName name="TABLE_5" localSheetId="39">'17.전력판매실적 종합'!#REF!</definedName>
    <definedName name="wrn.장기실천." localSheetId="1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wrn.장기실천.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ㅇ" localSheetId="1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ㅇ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3" i="59" l="1"/>
  <c r="J28" i="59"/>
  <c r="J27" i="59"/>
  <c r="J26" i="59"/>
  <c r="J25" i="59"/>
  <c r="J24" i="59"/>
  <c r="J23" i="59"/>
  <c r="J21" i="59"/>
  <c r="J20" i="59"/>
  <c r="J19" i="59"/>
  <c r="J18" i="59"/>
  <c r="J17" i="59"/>
  <c r="J16" i="59"/>
  <c r="J15" i="59"/>
  <c r="J14" i="59"/>
  <c r="J10" i="59"/>
  <c r="J9" i="59"/>
  <c r="J8" i="59"/>
  <c r="J7" i="59"/>
  <c r="R5" i="44"/>
  <c r="J26" i="36"/>
  <c r="S26" i="36" s="1"/>
  <c r="J25" i="36"/>
  <c r="S25" i="36" s="1"/>
  <c r="J24" i="36"/>
  <c r="S24" i="36" s="1"/>
  <c r="J23" i="36"/>
  <c r="S23" i="36" s="1"/>
  <c r="S22" i="36"/>
  <c r="J22" i="36"/>
  <c r="J21" i="36"/>
  <c r="S21" i="36" s="1"/>
  <c r="S20" i="36"/>
  <c r="J20" i="36"/>
  <c r="J19" i="36"/>
  <c r="S19" i="36" s="1"/>
  <c r="J18" i="36"/>
  <c r="S18" i="36" s="1"/>
  <c r="S17" i="36"/>
  <c r="J17" i="36"/>
  <c r="J16" i="36"/>
  <c r="S16" i="36" s="1"/>
  <c r="J15" i="36"/>
  <c r="S15" i="36" s="1"/>
  <c r="J14" i="36"/>
  <c r="S14" i="36" s="1"/>
  <c r="S13" i="36"/>
  <c r="J13" i="36"/>
  <c r="J12" i="36"/>
  <c r="S12" i="36" s="1"/>
  <c r="S11" i="36"/>
  <c r="J11" i="36"/>
  <c r="S10" i="36"/>
  <c r="J10" i="36"/>
  <c r="S9" i="36"/>
  <c r="J9" i="36"/>
  <c r="S8" i="36"/>
  <c r="J8" i="36"/>
  <c r="S7" i="36"/>
  <c r="J7" i="36"/>
  <c r="S6" i="36"/>
  <c r="J6" i="36"/>
  <c r="L26" i="35"/>
  <c r="W26" i="35" s="1"/>
  <c r="L25" i="35"/>
  <c r="W25" i="35" s="1"/>
  <c r="W24" i="35"/>
  <c r="L24" i="35"/>
  <c r="W23" i="35"/>
  <c r="L23" i="35"/>
  <c r="L22" i="35"/>
  <c r="W22" i="35" s="1"/>
  <c r="W21" i="35"/>
  <c r="L21" i="35"/>
  <c r="L20" i="35"/>
  <c r="W20" i="35" s="1"/>
  <c r="L19" i="35"/>
  <c r="W19" i="35" s="1"/>
  <c r="W18" i="35"/>
  <c r="L18" i="35"/>
  <c r="L17" i="35"/>
  <c r="W17" i="35" s="1"/>
  <c r="L16" i="35"/>
  <c r="W16" i="35" s="1"/>
  <c r="L15" i="35"/>
  <c r="W15" i="35" s="1"/>
  <c r="L14" i="35"/>
  <c r="W14" i="35" s="1"/>
  <c r="L13" i="35"/>
  <c r="W13" i="35" s="1"/>
  <c r="L12" i="35"/>
  <c r="W12" i="35" s="1"/>
  <c r="W11" i="35"/>
  <c r="L11" i="35"/>
  <c r="L10" i="35"/>
  <c r="W10" i="35" s="1"/>
  <c r="L9" i="35"/>
  <c r="W9" i="35" s="1"/>
  <c r="W8" i="35"/>
  <c r="L8" i="35"/>
  <c r="L7" i="35"/>
  <c r="W7" i="35" s="1"/>
  <c r="W6" i="35"/>
  <c r="L6" i="35"/>
  <c r="A3" i="20"/>
</calcChain>
</file>

<file path=xl/sharedStrings.xml><?xml version="1.0" encoding="utf-8"?>
<sst xmlns="http://schemas.openxmlformats.org/spreadsheetml/2006/main" count="4767" uniqueCount="1504">
  <si>
    <t xml:space="preserve">  </t>
  </si>
  <si>
    <t>Ⅰ. 통계도표</t>
    <phoneticPr fontId="5" type="noConversion"/>
  </si>
  <si>
    <t>1.  주요 통계도표 및 요약</t>
    <phoneticPr fontId="5" type="noConversion"/>
  </si>
  <si>
    <t>공란입니다.</t>
    <phoneticPr fontId="12" type="noConversion"/>
  </si>
  <si>
    <t xml:space="preserve">    Graphics of Major Statistics</t>
    <phoneticPr fontId="14" type="noConversion"/>
  </si>
  <si>
    <t xml:space="preserve">  1-1 발전설비 추이 (발전원별)  </t>
    <phoneticPr fontId="14" type="noConversion"/>
  </si>
  <si>
    <t xml:space="preserve">        Trend of Generation Capacity by Plant Type</t>
    <phoneticPr fontId="14" type="noConversion"/>
  </si>
  <si>
    <t>(단위 : MW)</t>
    <phoneticPr fontId="14" type="noConversion"/>
  </si>
  <si>
    <t>년  월</t>
    <phoneticPr fontId="14" type="noConversion"/>
  </si>
  <si>
    <t>총발전설비</t>
    <phoneticPr fontId="14" type="noConversion"/>
  </si>
  <si>
    <t>(증감률)</t>
    <phoneticPr fontId="14" type="noConversion"/>
  </si>
  <si>
    <t>기  력</t>
    <phoneticPr fontId="14" type="noConversion"/>
  </si>
  <si>
    <t>원자력</t>
  </si>
  <si>
    <t>복  합</t>
    <phoneticPr fontId="14" type="noConversion"/>
  </si>
  <si>
    <t>수  력</t>
    <phoneticPr fontId="14" type="noConversion"/>
  </si>
  <si>
    <t>대체에너지</t>
    <phoneticPr fontId="14" type="noConversion"/>
  </si>
  <si>
    <t>기  타</t>
    <phoneticPr fontId="14" type="noConversion"/>
  </si>
  <si>
    <t xml:space="preserve">  주2) 기력 : 무연탄, 유연탄, 중유, LNG, 집단에너지</t>
    <phoneticPr fontId="14" type="noConversion"/>
  </si>
  <si>
    <r>
      <t xml:space="preserve">  주3)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</si>
  <si>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r>
      <t xml:space="preserve">  주4) 기타 : 내연력, 증류탑폐열, 여열회수, 천연가스압터빈, 부생가스, 폐기물에너지</t>
    </r>
    <r>
      <rPr>
        <sz val="9"/>
        <rFont val="맑은 고딕"/>
        <family val="3"/>
        <charset val="129"/>
        <scheme val="minor"/>
      </rPr>
      <t>('20.1 이후 신재생에서 기타로 분류)</t>
    </r>
    <phoneticPr fontId="14" type="noConversion"/>
  </si>
  <si>
    <t xml:space="preserve">  1-2 발전설비 추이 (에너지원별)</t>
    <phoneticPr fontId="14" type="noConversion"/>
  </si>
  <si>
    <t xml:space="preserve">        Trend of Generation Capacity by Energy Source</t>
    <phoneticPr fontId="14" type="noConversion"/>
  </si>
  <si>
    <t>원자력</t>
    <phoneticPr fontId="14" type="noConversion"/>
  </si>
  <si>
    <t>석  탄</t>
    <phoneticPr fontId="14" type="noConversion"/>
  </si>
  <si>
    <t>가  스</t>
    <phoneticPr fontId="14" type="noConversion"/>
  </si>
  <si>
    <t>신재생</t>
    <phoneticPr fontId="14" type="noConversion"/>
  </si>
  <si>
    <t>유  류</t>
    <phoneticPr fontId="14" type="noConversion"/>
  </si>
  <si>
    <t>양  수</t>
    <phoneticPr fontId="14" type="noConversion"/>
  </si>
  <si>
    <t>(증감률)</t>
  </si>
  <si>
    <t xml:space="preserve">  주1) 2016년부터 집단에너지 에너지원별로 구분(유류→석탄,가스,유류)   </t>
    <phoneticPr fontId="14" type="noConversion"/>
  </si>
  <si>
    <r>
      <t xml:space="preserve">  주2) 신재생에너지는 대체에너지에 일반수력, 소수력 포함</t>
    </r>
    <r>
      <rPr>
        <sz val="9"/>
        <rFont val="맑은 고딕"/>
        <family val="3"/>
        <charset val="129"/>
        <scheme val="minor"/>
      </rPr>
      <t>(양수발전 제외)</t>
    </r>
    <phoneticPr fontId="14" type="noConversion"/>
  </si>
  <si>
    <r>
      <t xml:space="preserve">  주3) 기타 : 증류탑폐열, 여열회수, 천연가스압터빈, 부생가스</t>
    </r>
    <r>
      <rPr>
        <sz val="9"/>
        <rFont val="맑은 고딕"/>
        <family val="3"/>
        <charset val="129"/>
        <scheme val="minor"/>
      </rPr>
      <t>, 폐기물에너지('20.1 이후 신재생에서 기타로 분류)</t>
    </r>
    <phoneticPr fontId="14" type="noConversion"/>
  </si>
  <si>
    <t xml:space="preserve">  1-3 발전전력량 추이 (발전원별)</t>
    <phoneticPr fontId="14" type="noConversion"/>
  </si>
  <si>
    <t xml:space="preserve">        Trend of Power Generation by Plant Type</t>
    <phoneticPr fontId="14" type="noConversion"/>
  </si>
  <si>
    <t>(단위 : GWh, %)</t>
    <phoneticPr fontId="14" type="noConversion"/>
  </si>
  <si>
    <t>총발전량</t>
    <phoneticPr fontId="14" type="noConversion"/>
  </si>
  <si>
    <t xml:space="preserve">  주1) 복합발전 : 1차 가스터빈, 2차 증기터빈(or 열공급) 발전형식</t>
    <phoneticPr fontId="14" type="noConversion"/>
  </si>
  <si>
    <r>
      <t xml:space="preserve">  주2)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</si>
  <si>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t xml:space="preserve">  1-4 발전전력량 추이 (에너지원별)</t>
    <phoneticPr fontId="14" type="noConversion"/>
  </si>
  <si>
    <t xml:space="preserve">        Trend of Power Generation by Energy Source</t>
    <phoneticPr fontId="14" type="noConversion"/>
  </si>
  <si>
    <t xml:space="preserve">  1-5 판매전력량 추이 (계약종별)</t>
    <phoneticPr fontId="14" type="noConversion"/>
  </si>
  <si>
    <t xml:space="preserve">         Trend of Power Sold by Segments  </t>
    <phoneticPr fontId="14" type="noConversion"/>
  </si>
  <si>
    <t>총판매량</t>
    <phoneticPr fontId="14" type="noConversion"/>
  </si>
  <si>
    <t>산업용</t>
    <phoneticPr fontId="14" type="noConversion"/>
  </si>
  <si>
    <t>일반용</t>
    <phoneticPr fontId="14" type="noConversion"/>
  </si>
  <si>
    <t>주택용</t>
    <phoneticPr fontId="14" type="noConversion"/>
  </si>
  <si>
    <t>기   타</t>
    <phoneticPr fontId="14" type="noConversion"/>
  </si>
  <si>
    <t xml:space="preserve">  주1) 기타 : 교육용, 농사용, 가로등, 심야</t>
    <phoneticPr fontId="14" type="noConversion"/>
  </si>
  <si>
    <t xml:space="preserve">  1-6 판매전력량 추이 (용도별)</t>
    <phoneticPr fontId="14" type="noConversion"/>
  </si>
  <si>
    <t xml:space="preserve">         Trend of Power Sold by Uses</t>
    <phoneticPr fontId="14" type="noConversion"/>
  </si>
  <si>
    <t>제조업</t>
    <phoneticPr fontId="14" type="noConversion"/>
  </si>
  <si>
    <t>서비스업</t>
    <phoneticPr fontId="14" type="noConversion"/>
  </si>
  <si>
    <t>가정용</t>
    <phoneticPr fontId="14" type="noConversion"/>
  </si>
  <si>
    <t xml:space="preserve">  주1) 기타 : 공공용, 농수산업, 광업</t>
    <phoneticPr fontId="14" type="noConversion"/>
  </si>
  <si>
    <t xml:space="preserve">  1-7 전력수급 추이</t>
    <phoneticPr fontId="14" type="noConversion"/>
  </si>
  <si>
    <t xml:space="preserve">        Trend of Power Supply &amp; Demand</t>
    <phoneticPr fontId="14" type="noConversion"/>
  </si>
  <si>
    <t>구    분</t>
  </si>
  <si>
    <t>발생일시</t>
    <phoneticPr fontId="12" type="noConversion"/>
  </si>
  <si>
    <t>설   비</t>
    <phoneticPr fontId="12" type="noConversion"/>
  </si>
  <si>
    <t>설  비</t>
    <phoneticPr fontId="12" type="noConversion"/>
  </si>
  <si>
    <t>공   급</t>
    <phoneticPr fontId="12" type="noConversion"/>
  </si>
  <si>
    <t>부하율</t>
    <phoneticPr fontId="12" type="noConversion"/>
  </si>
  <si>
    <t>총설비용량</t>
    <phoneticPr fontId="14" type="noConversion"/>
  </si>
  <si>
    <t>예비력</t>
    <phoneticPr fontId="12" type="noConversion"/>
  </si>
  <si>
    <t>예비율</t>
    <phoneticPr fontId="12" type="noConversion"/>
  </si>
  <si>
    <t>공급능력</t>
    <phoneticPr fontId="14" type="noConversion"/>
  </si>
  <si>
    <t>최대전력</t>
    <phoneticPr fontId="14" type="noConversion"/>
  </si>
  <si>
    <t>평균전력</t>
    <phoneticPr fontId="14" type="noConversion"/>
  </si>
  <si>
    <t>공급예비력</t>
    <phoneticPr fontId="14" type="noConversion"/>
  </si>
  <si>
    <t>공급예비율</t>
  </si>
  <si>
    <t xml:space="preserve"> </t>
    <phoneticPr fontId="14" type="noConversion"/>
  </si>
  <si>
    <t>평균이용률</t>
    <phoneticPr fontId="14" type="noConversion"/>
  </si>
  <si>
    <t xml:space="preserve">  1-8 월간실적요약 (잠정)</t>
    <phoneticPr fontId="14" type="noConversion"/>
  </si>
  <si>
    <t xml:space="preserve">        Summary of Monthly Performance </t>
    <phoneticPr fontId="14" type="noConversion"/>
  </si>
  <si>
    <t>구     분</t>
    <phoneticPr fontId="5" type="noConversion"/>
  </si>
  <si>
    <t>전 년 동 월 대 비</t>
    <phoneticPr fontId="12" type="noConversion"/>
  </si>
  <si>
    <t>전 년 동 기 대 비</t>
    <phoneticPr fontId="12" type="noConversion"/>
  </si>
  <si>
    <t>판매단가</t>
    <phoneticPr fontId="5" type="noConversion"/>
  </si>
  <si>
    <t>증 감</t>
    <phoneticPr fontId="12" type="noConversion"/>
  </si>
  <si>
    <t>증감률</t>
    <phoneticPr fontId="14" type="noConversion"/>
  </si>
  <si>
    <t>발전설비</t>
    <phoneticPr fontId="5" type="noConversion"/>
  </si>
  <si>
    <t>MW</t>
    <phoneticPr fontId="5" type="noConversion"/>
  </si>
  <si>
    <t>발 전 량</t>
    <phoneticPr fontId="5" type="noConversion"/>
  </si>
  <si>
    <t>GWh</t>
    <phoneticPr fontId="12" type="noConversion"/>
  </si>
  <si>
    <t>고객호수</t>
    <phoneticPr fontId="5" type="noConversion"/>
  </si>
  <si>
    <t>구 입 량</t>
    <phoneticPr fontId="5" type="noConversion"/>
  </si>
  <si>
    <t>원/kWh</t>
    <phoneticPr fontId="12" type="noConversion"/>
  </si>
  <si>
    <t>판 매 량</t>
    <phoneticPr fontId="5" type="noConversion"/>
  </si>
  <si>
    <t>최대전력</t>
    <phoneticPr fontId="5" type="noConversion"/>
  </si>
  <si>
    <t>평균전력</t>
    <phoneticPr fontId="5" type="noConversion"/>
  </si>
  <si>
    <t>예비율</t>
    <phoneticPr fontId="5" type="noConversion"/>
  </si>
  <si>
    <t>%</t>
    <phoneticPr fontId="5" type="noConversion"/>
  </si>
  <si>
    <t>부하율</t>
    <phoneticPr fontId="5" type="noConversion"/>
  </si>
  <si>
    <t>이용률</t>
    <phoneticPr fontId="5" type="noConversion"/>
  </si>
  <si>
    <t>천호</t>
    <phoneticPr fontId="5" type="noConversion"/>
  </si>
  <si>
    <t xml:space="preserve">  ※ 발전원별 구입단가</t>
    <phoneticPr fontId="14" type="noConversion"/>
  </si>
  <si>
    <t>발전원</t>
    <phoneticPr fontId="5" type="noConversion"/>
  </si>
  <si>
    <t>원자력</t>
    <phoneticPr fontId="12" type="noConversion"/>
  </si>
  <si>
    <t>유연탄</t>
    <phoneticPr fontId="12" type="noConversion"/>
  </si>
  <si>
    <t>무연탄</t>
    <phoneticPr fontId="12" type="noConversion"/>
  </si>
  <si>
    <t>유  류</t>
    <phoneticPr fontId="12" type="noConversion"/>
  </si>
  <si>
    <t>LNG 복합</t>
    <phoneticPr fontId="5" type="noConversion"/>
  </si>
  <si>
    <t>수  력</t>
  </si>
  <si>
    <t>양  수</t>
  </si>
  <si>
    <t>대체에너지</t>
    <phoneticPr fontId="5" type="noConversion"/>
  </si>
  <si>
    <t>기  타</t>
    <phoneticPr fontId="5" type="noConversion"/>
  </si>
  <si>
    <t>당월
(원/kWh)</t>
    <phoneticPr fontId="14" type="noConversion"/>
  </si>
  <si>
    <t>유연탄</t>
  </si>
  <si>
    <t>무연탄</t>
  </si>
  <si>
    <t>LNG 복합</t>
    <phoneticPr fontId="12" type="noConversion"/>
  </si>
  <si>
    <t>수  력</t>
    <phoneticPr fontId="12" type="noConversion"/>
  </si>
  <si>
    <t>양  수</t>
    <phoneticPr fontId="12" type="noConversion"/>
  </si>
  <si>
    <t>기타</t>
    <phoneticPr fontId="12" type="noConversion"/>
  </si>
  <si>
    <t>합계</t>
    <phoneticPr fontId="12" type="noConversion"/>
  </si>
  <si>
    <t>누계
(원/kWh)</t>
    <phoneticPr fontId="14" type="noConversion"/>
  </si>
  <si>
    <t>1. 주요 통계도표</t>
    <phoneticPr fontId="14" type="noConversion"/>
  </si>
  <si>
    <t>(단위 : MW, %)</t>
    <phoneticPr fontId="14" type="noConversion"/>
  </si>
  <si>
    <t xml:space="preserve">   * 집단에너지 : 열병합시설, 자원회수시설 등에서 생산된 에너지로 주거, 상업 또는 산업단지의 사용자에게 열과 전기를 공급</t>
    <phoneticPr fontId="14" type="noConversion"/>
  </si>
  <si>
    <t xml:space="preserve">  주3) 기타 : 내연력, 증류탑폐열, 여열회수, 천연가스압터빈, 부생가스, 폐기물에너지('20.1 이후 신재생에서 기타로 분류)</t>
    <phoneticPr fontId="14" type="noConversion"/>
  </si>
  <si>
    <t xml:space="preserve">  주3) 기타 : 증류탑폐열, 여열회수, 천연가스압터빈, 부생가스, 폐기물에너지('20.1 이후 신재생에서 기타로 분류)</t>
    <phoneticPr fontId="14" type="noConversion"/>
  </si>
  <si>
    <t xml:space="preserve">  주1) 2016년부터 집단에너지 에너지원별로 구분(유류→석탄,가스,유류), 한전 자회사 화력발전 혼소발전량 분류</t>
    <phoneticPr fontId="14" type="noConversion"/>
  </si>
  <si>
    <t xml:space="preserve">  주1) 최대전력 발생시점 기준 (단, 평균전력 및 이용률은 월간실적)   [평균전력 = 총발전량 / (역일수×24)]</t>
    <phoneticPr fontId="14" type="noConversion"/>
  </si>
  <si>
    <t xml:space="preserve">  주1) (  )내는 전년 동월 대비 증감률</t>
    <phoneticPr fontId="2" type="noConversion"/>
  </si>
  <si>
    <t>원/kWh</t>
  </si>
  <si>
    <t>구입단가
(RPS 제외)</t>
    <phoneticPr fontId="2" type="noConversion"/>
  </si>
  <si>
    <t>구입단가
(RPS 포함)</t>
    <phoneticPr fontId="2" type="noConversion"/>
  </si>
  <si>
    <t>주1) 대체에너지 : 태양광, 풍력 등 신재생에너지(일반수력, 소수력은 수력으로 별도구분)</t>
    <phoneticPr fontId="5" type="noConversion"/>
  </si>
  <si>
    <t>구입금액</t>
  </si>
  <si>
    <t>주2) 기타 : 증류탑폐열, 여열회수, 천연가스압터빈, 부생가스, 폐기물에너지, 구역전기사업자(한전 직거래 등), DR 정산금</t>
    <phoneticPr fontId="5" type="noConversion"/>
  </si>
  <si>
    <t>1. 9(목)</t>
  </si>
  <si>
    <t>2.10(화)</t>
  </si>
  <si>
    <t xml:space="preserve">            3</t>
  </si>
  <si>
    <t>3.18(수)</t>
  </si>
  <si>
    <t>-</t>
  </si>
  <si>
    <t>1.22(목)</t>
  </si>
  <si>
    <t xml:space="preserve">            1</t>
  </si>
  <si>
    <t xml:space="preserve">            2</t>
  </si>
  <si>
    <t xml:space="preserve">            4</t>
  </si>
  <si>
    <t>4.9(목)</t>
  </si>
  <si>
    <t>2025. 1~4</t>
    <phoneticPr fontId="2" type="noConversion"/>
  </si>
  <si>
    <t>2026. 1~4</t>
    <phoneticPr fontId="2" type="noConversion"/>
  </si>
  <si>
    <t>Ⅱ. 발전설비</t>
    <phoneticPr fontId="5" type="noConversion"/>
  </si>
  <si>
    <t>2.  발전원별</t>
    <phoneticPr fontId="5" type="noConversion"/>
  </si>
  <si>
    <t>3.  발전회사별</t>
    <phoneticPr fontId="5" type="noConversion"/>
  </si>
  <si>
    <t>4.  에너지원별</t>
    <phoneticPr fontId="5" type="noConversion"/>
  </si>
  <si>
    <t>5.  행정구역별</t>
    <phoneticPr fontId="5" type="noConversion"/>
  </si>
  <si>
    <t>6.  발전소 건설현황</t>
    <phoneticPr fontId="5" type="noConversion"/>
  </si>
  <si>
    <t>2. 발전원별 발전설비용량</t>
    <phoneticPr fontId="12" type="noConversion"/>
  </si>
  <si>
    <t xml:space="preserve">    Generation Capacity by Plant Type</t>
    <phoneticPr fontId="12" type="noConversion"/>
  </si>
  <si>
    <t xml:space="preserve">   (단위 : MW)  </t>
  </si>
  <si>
    <t>발 전 자 회 사  및  한 전(도서)</t>
    <phoneticPr fontId="12" type="noConversion"/>
  </si>
  <si>
    <t>타</t>
  </si>
  <si>
    <t>사</t>
  </si>
  <si>
    <t>합                                   계</t>
  </si>
  <si>
    <t>수 력</t>
  </si>
  <si>
    <t>기                  력</t>
  </si>
  <si>
    <t>복 합</t>
  </si>
  <si>
    <t>내 연</t>
  </si>
  <si>
    <t>대체
에너지</t>
    <phoneticPr fontId="12" type="noConversion"/>
  </si>
  <si>
    <t>기 타</t>
    <phoneticPr fontId="12" type="noConversion"/>
  </si>
  <si>
    <t>계</t>
  </si>
  <si>
    <t>수 력</t>
    <phoneticPr fontId="12" type="noConversion"/>
  </si>
  <si>
    <t>기     력</t>
    <phoneticPr fontId="12" type="noConversion"/>
  </si>
  <si>
    <t>복 합</t>
    <phoneticPr fontId="12" type="noConversion"/>
  </si>
  <si>
    <t>기                력</t>
  </si>
  <si>
    <t>유 류</t>
    <phoneticPr fontId="12" type="noConversion"/>
  </si>
  <si>
    <t>L N G</t>
  </si>
  <si>
    <t>소 계</t>
  </si>
  <si>
    <t>L N G</t>
    <phoneticPr fontId="12" type="noConversion"/>
  </si>
  <si>
    <t xml:space="preserve">  주1)  대체에너지 : 태양광, 풍력 등 신재생에너지(일반수력, 소수력은 데이터 일관성 유지를 위해 수력으로 별도 구분)</t>
    <phoneticPr fontId="12" type="noConversion"/>
  </si>
  <si>
    <t xml:space="preserve">  주2) 기타 : 증류탑폐열, 여열회수, 천연가스압터빈, 부생가스, 폐기물에너지('20년 1월 이후 신재생에서 기타로 분류)</t>
    <phoneticPr fontId="12" type="noConversion"/>
  </si>
  <si>
    <t>2-1. 발전설비용량(발전원별/에너지원별)</t>
    <phoneticPr fontId="12" type="noConversion"/>
  </si>
  <si>
    <t xml:space="preserve">       Generation Capacity by Plant Type and Energy Source</t>
    <phoneticPr fontId="12" type="noConversion"/>
  </si>
  <si>
    <t xml:space="preserve">  2026년 4월</t>
    <phoneticPr fontId="12" type="noConversion"/>
  </si>
  <si>
    <t xml:space="preserve">(단위: kW) </t>
    <phoneticPr fontId="12" type="noConversion"/>
  </si>
  <si>
    <r>
      <t xml:space="preserve">              발전원
에너지원
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</si>
  <si>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수력</t>
  </si>
  <si>
    <t>기력</t>
  </si>
  <si>
    <t>복합화력</t>
  </si>
  <si>
    <t>내연력</t>
  </si>
  <si>
    <t>집단</t>
  </si>
  <si>
    <t>총계</t>
    <phoneticPr fontId="12" type="noConversion"/>
  </si>
  <si>
    <r>
      <t xml:space="preserve">발전원
              에너지원
       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</si>
  <si>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일반</t>
  </si>
  <si>
    <t>양수</t>
  </si>
  <si>
    <t>소수력</t>
  </si>
  <si>
    <t>유류</t>
    <phoneticPr fontId="12" type="noConversion"/>
  </si>
  <si>
    <t>LNG</t>
  </si>
  <si>
    <t>유류</t>
  </si>
  <si>
    <t>소계</t>
  </si>
  <si>
    <t>태양에너지</t>
  </si>
  <si>
    <t>풍력</t>
  </si>
  <si>
    <t>해양에너지</t>
  </si>
  <si>
    <t>바이오에너지</t>
  </si>
  <si>
    <t>연료전지</t>
  </si>
  <si>
    <t>석탄액화가스</t>
  </si>
  <si>
    <t>신재생 소계</t>
    <phoneticPr fontId="12" type="noConversion"/>
  </si>
  <si>
    <t>총계</t>
  </si>
  <si>
    <t>○ 발전원별 발전설비</t>
    <phoneticPr fontId="12" type="noConversion"/>
  </si>
  <si>
    <t>(단위: kW,%)</t>
    <phoneticPr fontId="12" type="noConversion"/>
  </si>
  <si>
    <t>구   분</t>
    <phoneticPr fontId="12" type="noConversion"/>
  </si>
  <si>
    <t>석탄</t>
  </si>
  <si>
    <t>신재생</t>
  </si>
  <si>
    <t>기타</t>
  </si>
  <si>
    <t>발전설비</t>
    <phoneticPr fontId="12" type="noConversion"/>
  </si>
  <si>
    <t>(무연탄)</t>
    <phoneticPr fontId="12" type="noConversion"/>
  </si>
  <si>
    <t>+ (유연탄)</t>
    <phoneticPr fontId="12" type="noConversion"/>
  </si>
  <si>
    <t>점유율</t>
  </si>
  <si>
    <t xml:space="preserve">  - 집단에너지 별도 분리</t>
    <phoneticPr fontId="12" type="noConversion"/>
  </si>
  <si>
    <t>(기력 LNG)</t>
    <phoneticPr fontId="12" type="noConversion"/>
  </si>
  <si>
    <t>+ (복합 LNG)</t>
    <phoneticPr fontId="12" type="noConversion"/>
  </si>
  <si>
    <t>(일반,소수력)</t>
    <phoneticPr fontId="12" type="noConversion"/>
  </si>
  <si>
    <t>+ (대체 계)</t>
    <phoneticPr fontId="12" type="noConversion"/>
  </si>
  <si>
    <t>+ (복합 유류)</t>
    <phoneticPr fontId="12" type="noConversion"/>
  </si>
  <si>
    <t>+ (집단 유류)</t>
    <phoneticPr fontId="12" type="noConversion"/>
  </si>
  <si>
    <t>○ 바이오혼소 반영 발전설비</t>
  </si>
  <si>
    <t xml:space="preserve">  - 바이오혼소 발전설비를 에너지원별로 분리한 설비용량(총 설비용량의 세로값)</t>
  </si>
  <si>
    <t xml:space="preserve">  주1) 발전설비는 자가용을 제외한 사업자용만 집계, 총계는 세부항목에서 반올림되므로 합계와 총계가 일치하지 않는 경우도 있음</t>
    <phoneticPr fontId="12" type="noConversion"/>
  </si>
  <si>
    <t xml:space="preserve">  주3)  '22.1월부터 발전소 바이오 혼소 비율 신재생 설비용량 반영</t>
    <phoneticPr fontId="12" type="noConversion"/>
  </si>
  <si>
    <t>2-2. 발전설비용량 (발전소별)</t>
    <phoneticPr fontId="12" type="noConversion"/>
  </si>
  <si>
    <t xml:space="preserve">       Generation Capacity by Plants</t>
    <phoneticPr fontId="12" type="noConversion"/>
  </si>
  <si>
    <t>2026년 4월</t>
    <phoneticPr fontId="12" type="noConversion"/>
  </si>
  <si>
    <t xml:space="preserve">  (단위 : kW)</t>
    <phoneticPr fontId="12" type="noConversion"/>
  </si>
  <si>
    <t xml:space="preserve">(단위 : kW)  </t>
    <phoneticPr fontId="12" type="noConversion"/>
  </si>
  <si>
    <t>구</t>
    <phoneticPr fontId="12" type="noConversion"/>
  </si>
  <si>
    <t>수력/대체에너지</t>
    <phoneticPr fontId="12" type="noConversion"/>
  </si>
  <si>
    <t>유류/가스/내연</t>
    <phoneticPr fontId="12" type="noConversion"/>
  </si>
  <si>
    <t>복합/집단/기타</t>
    <phoneticPr fontId="12" type="noConversion"/>
  </si>
  <si>
    <t>석탄/복합</t>
    <phoneticPr fontId="12" type="noConversion"/>
  </si>
  <si>
    <t>집단(기타포함)</t>
    <phoneticPr fontId="12" type="noConversion"/>
  </si>
  <si>
    <t>분</t>
    <phoneticPr fontId="12" type="noConversion"/>
  </si>
  <si>
    <t>발전소</t>
    <phoneticPr fontId="12" type="noConversion"/>
  </si>
  <si>
    <t>용량</t>
  </si>
  <si>
    <t>발전소</t>
  </si>
  <si>
    <t>&lt;일반수력&gt;</t>
    <phoneticPr fontId="12" type="noConversion"/>
  </si>
  <si>
    <t>&lt;무연탄&gt;</t>
    <phoneticPr fontId="12" type="noConversion"/>
  </si>
  <si>
    <t>&lt;가스&gt;</t>
    <phoneticPr fontId="12" type="noConversion"/>
  </si>
  <si>
    <t>&lt;복합(LNG)&gt;</t>
    <phoneticPr fontId="12" type="noConversion"/>
  </si>
  <si>
    <t>&lt;원자력&gt;</t>
  </si>
  <si>
    <t>&lt;일반&gt;</t>
  </si>
  <si>
    <t>&lt;석탄&gt;</t>
  </si>
  <si>
    <t>&lt;집단(LNG)&gt;</t>
    <phoneticPr fontId="12" type="noConversion"/>
  </si>
  <si>
    <t>&lt;집단(석탄)&gt;</t>
    <phoneticPr fontId="12" type="noConversion"/>
  </si>
  <si>
    <t>&lt;부생가스&gt;</t>
    <phoneticPr fontId="5" type="noConversion"/>
  </si>
  <si>
    <t>강릉</t>
  </si>
  <si>
    <t>동해#1,2</t>
  </si>
  <si>
    <t>구미C/C</t>
    <phoneticPr fontId="12" type="noConversion"/>
  </si>
  <si>
    <t>고리#2</t>
  </si>
  <si>
    <t>-수자원공사</t>
    <phoneticPr fontId="12" type="noConversion"/>
  </si>
  <si>
    <t>강릉안인#1-2</t>
    <phoneticPr fontId="12" type="noConversion"/>
  </si>
  <si>
    <t>광교열병합</t>
  </si>
  <si>
    <t>구미열병합</t>
  </si>
  <si>
    <t>여수카본열병합</t>
    <phoneticPr fontId="12" type="noConversion"/>
  </si>
  <si>
    <t>의암</t>
  </si>
  <si>
    <t>군산C/C</t>
  </si>
  <si>
    <t>고리#3</t>
  </si>
  <si>
    <t>남강</t>
    <phoneticPr fontId="12" type="noConversion"/>
  </si>
  <si>
    <t>고성#1-2</t>
    <phoneticPr fontId="12" type="noConversion"/>
  </si>
  <si>
    <t>노원열병합</t>
  </si>
  <si>
    <t>금호여수열병합</t>
  </si>
  <si>
    <t>청평</t>
  </si>
  <si>
    <t>남제주C/C</t>
  </si>
  <si>
    <t>고리#4</t>
  </si>
  <si>
    <t>대청</t>
  </si>
  <si>
    <t>북평#1-2</t>
  </si>
  <si>
    <t>논현열병합</t>
  </si>
  <si>
    <t>김천열병합</t>
  </si>
  <si>
    <t>&lt;폐기물에너지&gt;</t>
  </si>
  <si>
    <t>춘천</t>
  </si>
  <si>
    <t>무연탄 소계</t>
    <phoneticPr fontId="12" type="noConversion"/>
  </si>
  <si>
    <t>가스 계</t>
    <phoneticPr fontId="12" type="noConversion"/>
  </si>
  <si>
    <t>보령C/C</t>
  </si>
  <si>
    <t>신고리#1</t>
  </si>
  <si>
    <t>소양강</t>
    <phoneticPr fontId="12" type="noConversion"/>
  </si>
  <si>
    <t>삼척#1~2</t>
    <phoneticPr fontId="12" type="noConversion"/>
  </si>
  <si>
    <t>내포그린에너지</t>
  </si>
  <si>
    <t>대구염색</t>
  </si>
  <si>
    <t>이에스파워 등</t>
  </si>
  <si>
    <t>칠보</t>
    <phoneticPr fontId="12" type="noConversion"/>
  </si>
  <si>
    <t>&lt;유연탄&gt;</t>
  </si>
  <si>
    <t>&lt;도서내연&gt;</t>
  </si>
  <si>
    <t>부산C/C</t>
  </si>
  <si>
    <t>신고리#2</t>
  </si>
  <si>
    <t>안동</t>
  </si>
  <si>
    <t>석탄 계</t>
  </si>
  <si>
    <t>대구그린파워</t>
  </si>
  <si>
    <t>반월열병합</t>
  </si>
  <si>
    <t>팔당</t>
    <phoneticPr fontId="12" type="noConversion"/>
  </si>
  <si>
    <t>당진#1-10</t>
  </si>
  <si>
    <t>울릉도 등</t>
    <phoneticPr fontId="12" type="noConversion"/>
  </si>
  <si>
    <t>분당C/C</t>
  </si>
  <si>
    <t>새울#1</t>
  </si>
  <si>
    <t>용담</t>
  </si>
  <si>
    <t>대구열병합</t>
  </si>
  <si>
    <t>보임열병합</t>
    <phoneticPr fontId="12" type="noConversion"/>
  </si>
  <si>
    <t>&lt;전기저장장치&gt;</t>
    <phoneticPr fontId="12" type="noConversion"/>
  </si>
  <si>
    <t>화천</t>
  </si>
  <si>
    <t>보령#3-8</t>
  </si>
  <si>
    <t>서울C/C</t>
  </si>
  <si>
    <t>새울#2</t>
  </si>
  <si>
    <t>임하</t>
  </si>
  <si>
    <t>대전서남부열병합</t>
  </si>
  <si>
    <t>부산염색</t>
  </si>
  <si>
    <t>제주 한림 BESS</t>
  </si>
  <si>
    <t>일반수력 소계</t>
    <phoneticPr fontId="12" type="noConversion"/>
  </si>
  <si>
    <t>삼척그린#1,2</t>
  </si>
  <si>
    <t>서인천C/C</t>
  </si>
  <si>
    <t>월성#2</t>
  </si>
  <si>
    <t>주암</t>
  </si>
  <si>
    <t>광양복합</t>
  </si>
  <si>
    <t>동탄열병합</t>
  </si>
  <si>
    <t>상공에너지</t>
  </si>
  <si>
    <t>제주 북촌 BESS</t>
  </si>
  <si>
    <t>한</t>
    <phoneticPr fontId="12" type="noConversion"/>
  </si>
  <si>
    <t>&lt;양수&gt;</t>
  </si>
  <si>
    <t>삼천포#3-6</t>
  </si>
  <si>
    <t>신인천C/C</t>
  </si>
  <si>
    <t>월성#3</t>
  </si>
  <si>
    <t>타</t>
    <phoneticPr fontId="12" type="noConversion"/>
  </si>
  <si>
    <t>충주</t>
  </si>
  <si>
    <t>당진복합</t>
  </si>
  <si>
    <t>명품오산열병합</t>
  </si>
  <si>
    <t>새만금열병합</t>
  </si>
  <si>
    <t>남제주 BESS</t>
  </si>
  <si>
    <t>전</t>
    <phoneticPr fontId="12" type="noConversion"/>
  </si>
  <si>
    <t>무주</t>
  </si>
  <si>
    <t>신보령#1,2</t>
  </si>
  <si>
    <t>안동C/C</t>
  </si>
  <si>
    <t>월성#4</t>
  </si>
  <si>
    <t>합천</t>
  </si>
  <si>
    <t>동두천복합</t>
  </si>
  <si>
    <t>목동열병합</t>
  </si>
  <si>
    <t>전북집단에너지</t>
  </si>
  <si>
    <t>산청</t>
    <phoneticPr fontId="12" type="noConversion"/>
  </si>
  <si>
    <t>신서천화력#1</t>
  </si>
  <si>
    <t>영월C/C</t>
  </si>
  <si>
    <t>신월성#1</t>
  </si>
  <si>
    <t>신평택복합</t>
  </si>
  <si>
    <t>별내열병합</t>
  </si>
  <si>
    <t>포천그린</t>
  </si>
  <si>
    <t>&lt;기타&gt;</t>
  </si>
  <si>
    <t>삼랑진</t>
  </si>
  <si>
    <t>여수#1-2</t>
  </si>
  <si>
    <t>울산C/C</t>
  </si>
  <si>
    <t>신월성#2</t>
  </si>
  <si>
    <t>안산복합</t>
  </si>
  <si>
    <t>부산정관에너지</t>
    <phoneticPr fontId="12" type="noConversion"/>
  </si>
  <si>
    <t>SGC에너지</t>
  </si>
  <si>
    <t>여열회수발전</t>
  </si>
  <si>
    <t>및</t>
  </si>
  <si>
    <t>양양</t>
    <phoneticPr fontId="12" type="noConversion"/>
  </si>
  <si>
    <t>영흥#1-6</t>
  </si>
  <si>
    <t>인천C/C</t>
  </si>
  <si>
    <t>한빛#1</t>
  </si>
  <si>
    <t>소수력 소계</t>
    <phoneticPr fontId="12" type="noConversion"/>
  </si>
  <si>
    <t>여주복합</t>
  </si>
  <si>
    <t>부천복합</t>
  </si>
  <si>
    <t>증류탑폐열</t>
  </si>
  <si>
    <t>예천</t>
    <phoneticPr fontId="12" type="noConversion"/>
  </si>
  <si>
    <t>태안#2-10</t>
    <phoneticPr fontId="12" type="noConversion"/>
  </si>
  <si>
    <t>일산C/C</t>
  </si>
  <si>
    <t>한빛#2</t>
  </si>
  <si>
    <t>영남파워</t>
  </si>
  <si>
    <t>송도복합</t>
  </si>
  <si>
    <t>천연가스 감압발전</t>
  </si>
  <si>
    <t>발</t>
    <phoneticPr fontId="12" type="noConversion"/>
  </si>
  <si>
    <t>청송</t>
    <phoneticPr fontId="12" type="noConversion"/>
  </si>
  <si>
    <t>하동#1-8</t>
  </si>
  <si>
    <t>제주LNG</t>
  </si>
  <si>
    <t>한빛#3</t>
  </si>
  <si>
    <t>수력 계</t>
    <phoneticPr fontId="12" type="noConversion"/>
  </si>
  <si>
    <t>오성복합</t>
  </si>
  <si>
    <t>수완에너지</t>
  </si>
  <si>
    <t>&lt;집단(유류)&gt;</t>
    <phoneticPr fontId="12" type="noConversion"/>
  </si>
  <si>
    <t>효천발전소 유화발전기</t>
  </si>
  <si>
    <t>평택C/C</t>
  </si>
  <si>
    <t>한빛#4</t>
  </si>
  <si>
    <t>울산GPS복합</t>
  </si>
  <si>
    <t>신정열병합</t>
  </si>
  <si>
    <t>무림파워텍</t>
  </si>
  <si>
    <t>자</t>
    <phoneticPr fontId="12" type="noConversion"/>
  </si>
  <si>
    <t>양수 소계</t>
    <phoneticPr fontId="12" type="noConversion"/>
  </si>
  <si>
    <t>한림C/C</t>
  </si>
  <si>
    <t>한빛#5</t>
  </si>
  <si>
    <t>&lt;대체에너지&gt;</t>
  </si>
  <si>
    <t>율촌복합</t>
  </si>
  <si>
    <t>아산배방열병합</t>
  </si>
  <si>
    <t>수원열병합</t>
  </si>
  <si>
    <t>회</t>
    <phoneticPr fontId="12" type="noConversion"/>
  </si>
  <si>
    <t>추산 소수력</t>
    <phoneticPr fontId="12" type="noConversion"/>
  </si>
  <si>
    <t>&lt;복합(유류)&gt;</t>
    <phoneticPr fontId="12" type="noConversion"/>
  </si>
  <si>
    <t>한빛#6</t>
  </si>
  <si>
    <t>태양광</t>
    <phoneticPr fontId="12" type="noConversion"/>
  </si>
  <si>
    <t>통영천연가스</t>
  </si>
  <si>
    <t>안산열병합</t>
  </si>
  <si>
    <t>사</t>
    <phoneticPr fontId="12" type="noConversion"/>
  </si>
  <si>
    <t>기타 소수력</t>
  </si>
  <si>
    <t>남제주C/C</t>
    <phoneticPr fontId="12" type="noConversion"/>
  </si>
  <si>
    <t>한울#1</t>
  </si>
  <si>
    <t>풍력</t>
    <phoneticPr fontId="12" type="noConversion"/>
  </si>
  <si>
    <t>파주문산복합</t>
  </si>
  <si>
    <t>안양열병합</t>
  </si>
  <si>
    <t>유연탄 소계</t>
  </si>
  <si>
    <t>내연 계</t>
    <phoneticPr fontId="12" type="noConversion"/>
  </si>
  <si>
    <t>복합 계</t>
    <phoneticPr fontId="12" type="noConversion"/>
  </si>
  <si>
    <t>한울#2</t>
  </si>
  <si>
    <t>바이오에너지</t>
    <phoneticPr fontId="12" type="noConversion"/>
  </si>
  <si>
    <t>포스코에너지</t>
  </si>
  <si>
    <t>양산열병합</t>
  </si>
  <si>
    <t>한울#3</t>
  </si>
  <si>
    <t>연료전지</t>
    <phoneticPr fontId="12" type="noConversion"/>
  </si>
  <si>
    <t>포천복합</t>
  </si>
  <si>
    <t>양주열병합</t>
  </si>
  <si>
    <t>&lt;집단(기타)&gt;</t>
    <phoneticPr fontId="12" type="noConversion"/>
  </si>
  <si>
    <t>석탄 계</t>
    <phoneticPr fontId="12" type="noConversion"/>
  </si>
  <si>
    <t>김포열벙합</t>
    <phoneticPr fontId="12" type="noConversion"/>
  </si>
  <si>
    <t>한울#4</t>
  </si>
  <si>
    <t>해양에너지</t>
    <phoneticPr fontId="12" type="noConversion"/>
  </si>
  <si>
    <t>포천천연복합</t>
  </si>
  <si>
    <t>위례열병합</t>
  </si>
  <si>
    <t>대전열병합</t>
  </si>
  <si>
    <t>세종천연가스</t>
    <phoneticPr fontId="12" type="noConversion"/>
  </si>
  <si>
    <t>한울#5</t>
  </si>
  <si>
    <t>인천공항</t>
  </si>
  <si>
    <t>신세종열병합</t>
    <phoneticPr fontId="12" type="noConversion"/>
  </si>
  <si>
    <t>한울#6</t>
  </si>
  <si>
    <t>&lt;복합(유류)&gt;</t>
  </si>
  <si>
    <t>청주열병합</t>
  </si>
  <si>
    <t>집단 계</t>
    <phoneticPr fontId="12" type="noConversion"/>
  </si>
  <si>
    <t>신한울#1</t>
  </si>
  <si>
    <t>대산복합</t>
  </si>
  <si>
    <t>춘천열병합</t>
  </si>
  <si>
    <t>바이오중유</t>
    <phoneticPr fontId="12" type="noConversion"/>
  </si>
  <si>
    <t>&lt;기타&gt;</t>
    <phoneticPr fontId="12" type="noConversion"/>
  </si>
  <si>
    <t>신한울#2</t>
    <phoneticPr fontId="12" type="noConversion"/>
  </si>
  <si>
    <t>파주열병합</t>
  </si>
  <si>
    <t>폐기물에너지</t>
    <phoneticPr fontId="12" type="noConversion"/>
  </si>
  <si>
    <t>판교열병합</t>
  </si>
  <si>
    <t>하남열병합</t>
  </si>
  <si>
    <t>대체 계</t>
    <phoneticPr fontId="12" type="noConversion"/>
  </si>
  <si>
    <t>기타 계</t>
    <phoneticPr fontId="12" type="noConversion"/>
  </si>
  <si>
    <t>원자력 계</t>
    <phoneticPr fontId="12" type="noConversion"/>
  </si>
  <si>
    <t>화성복합</t>
  </si>
  <si>
    <t>○ 회사별 설비용량</t>
    <phoneticPr fontId="12" type="noConversion"/>
  </si>
  <si>
    <t>(단위 : kW, %)</t>
    <phoneticPr fontId="12" type="noConversion"/>
  </si>
  <si>
    <t>한전</t>
    <phoneticPr fontId="12" type="noConversion"/>
  </si>
  <si>
    <t>발전자회사</t>
    <phoneticPr fontId="12" type="noConversion"/>
  </si>
  <si>
    <t>한전,발전자회사</t>
    <phoneticPr fontId="12" type="noConversion"/>
  </si>
  <si>
    <t>타 발전회사</t>
    <phoneticPr fontId="12" type="noConversion"/>
  </si>
  <si>
    <t>도서내연</t>
    <phoneticPr fontId="12" type="noConversion"/>
  </si>
  <si>
    <t>신재생</t>
    <phoneticPr fontId="12" type="noConversion"/>
  </si>
  <si>
    <t>소계</t>
    <phoneticPr fontId="12" type="noConversion"/>
  </si>
  <si>
    <t>양수</t>
    <phoneticPr fontId="12" type="noConversion"/>
  </si>
  <si>
    <t>석탄</t>
    <phoneticPr fontId="12" type="noConversion"/>
  </si>
  <si>
    <t>가스/복합</t>
    <phoneticPr fontId="12" type="noConversion"/>
  </si>
  <si>
    <t>집단</t>
    <phoneticPr fontId="12" type="noConversion"/>
  </si>
  <si>
    <t>계</t>
    <phoneticPr fontId="12" type="noConversion"/>
  </si>
  <si>
    <t>복합</t>
    <phoneticPr fontId="12" type="noConversion"/>
  </si>
  <si>
    <t>기타</t>
    <phoneticPr fontId="5" type="noConversion"/>
  </si>
  <si>
    <t xml:space="preserve">주) 신재생=대체에너지+일반수력+소수력            </t>
    <phoneticPr fontId="12" type="noConversion"/>
  </si>
  <si>
    <t xml:space="preserve">3. 발전회사 및 발전원별 발전설비용량(1/2) </t>
    <phoneticPr fontId="12" type="noConversion"/>
  </si>
  <si>
    <t xml:space="preserve">3. 발전회사 및 발전원별 발전설비용량(2/2) </t>
    <phoneticPr fontId="12" type="noConversion"/>
  </si>
  <si>
    <t xml:space="preserve">     Generation Capacity by GENCO's and Plant Type(1/2)</t>
    <phoneticPr fontId="12" type="noConversion"/>
  </si>
  <si>
    <t xml:space="preserve">     Generation Capacity by GENCO's and Plant Type(2/2)</t>
    <phoneticPr fontId="12" type="noConversion"/>
  </si>
  <si>
    <t>(단위 : MW)</t>
    <phoneticPr fontId="12" type="noConversion"/>
  </si>
  <si>
    <t xml:space="preserve">남          동 </t>
  </si>
  <si>
    <t>중         부</t>
    <phoneticPr fontId="12" type="noConversion"/>
  </si>
  <si>
    <t>중           부</t>
    <phoneticPr fontId="12" type="noConversion"/>
  </si>
  <si>
    <t>서          부</t>
  </si>
  <si>
    <t>남         부</t>
    <phoneticPr fontId="12" type="noConversion"/>
  </si>
  <si>
    <t>동</t>
    <phoneticPr fontId="12" type="noConversion"/>
  </si>
  <si>
    <t>서</t>
    <phoneticPr fontId="12" type="noConversion"/>
  </si>
  <si>
    <t>동          서</t>
    <phoneticPr fontId="12" type="noConversion"/>
  </si>
  <si>
    <t>한 국  수 력  원 자 력</t>
    <phoneticPr fontId="12" type="noConversion"/>
  </si>
  <si>
    <t>한  전</t>
    <phoneticPr fontId="12" type="noConversion"/>
  </si>
  <si>
    <t>타사</t>
    <phoneticPr fontId="12" type="noConversion"/>
  </si>
  <si>
    <t>복  합</t>
  </si>
  <si>
    <t>대체에너지</t>
    <phoneticPr fontId="12" type="noConversion"/>
  </si>
  <si>
    <t>가  스</t>
  </si>
  <si>
    <t>내  연</t>
  </si>
  <si>
    <t>기  타</t>
    <phoneticPr fontId="12" type="noConversion"/>
  </si>
  <si>
    <t>가  스</t>
    <phoneticPr fontId="12" type="noConversion"/>
  </si>
  <si>
    <t>복  합</t>
    <phoneticPr fontId="12" type="noConversion"/>
  </si>
  <si>
    <t>내연</t>
    <phoneticPr fontId="12" type="noConversion"/>
  </si>
  <si>
    <t>내 연</t>
    <phoneticPr fontId="12" type="noConversion"/>
  </si>
  <si>
    <t xml:space="preserve">  주1) 2012. 6월부터 신재생 발전설비 분리수록</t>
    <phoneticPr fontId="12" type="noConversion"/>
  </si>
  <si>
    <t xml:space="preserve">  주3) 세종천연가스발전소(집단)은 중부 복합으로 포함</t>
    <phoneticPr fontId="12" type="noConversion"/>
  </si>
  <si>
    <t xml:space="preserve">   주) 타사 세부 발전설비용량은 12, 13page 참고</t>
    <phoneticPr fontId="12" type="noConversion"/>
  </si>
  <si>
    <t xml:space="preserve">  주2) 대체에너지 : 태양광, 풍력 등 신재생에너지(일반수력, 소수력은 수력으로 별도구분)</t>
    <phoneticPr fontId="12" type="noConversion"/>
  </si>
  <si>
    <t xml:space="preserve">  주4) 기타 : 폐기물에너지('20년 1월부터 대체에너지에서 기타로 분류)</t>
    <phoneticPr fontId="12" type="noConversion"/>
  </si>
  <si>
    <t>3-1. 한전 및 발전자회사 상세 발전설비용량</t>
    <phoneticPr fontId="12" type="noConversion"/>
  </si>
  <si>
    <t xml:space="preserve">       Generation Capacity by Companies</t>
    <phoneticPr fontId="12" type="noConversion"/>
  </si>
  <si>
    <t>(단위 : kW)</t>
  </si>
  <si>
    <t xml:space="preserve">남동발전(주) </t>
    <phoneticPr fontId="12" type="noConversion"/>
  </si>
  <si>
    <t xml:space="preserve">남부발전(주) </t>
    <phoneticPr fontId="12" type="noConversion"/>
  </si>
  <si>
    <t>한국수력원자력(주)</t>
    <phoneticPr fontId="12" type="noConversion"/>
  </si>
  <si>
    <t xml:space="preserve"> 외   도</t>
  </si>
  <si>
    <t>80*2, 60*1</t>
  </si>
  <si>
    <t>X</t>
  </si>
  <si>
    <t xml:space="preserve"> 발  전  소</t>
  </si>
  <si>
    <t>호   기</t>
    <phoneticPr fontId="12" type="noConversion"/>
  </si>
  <si>
    <t>설비용량</t>
  </si>
  <si>
    <t>호   기</t>
  </si>
  <si>
    <t xml:space="preserve"> 외연도</t>
  </si>
  <si>
    <t>300*1, 150*3</t>
  </si>
  <si>
    <t xml:space="preserve"> 삼천포</t>
    <phoneticPr fontId="12" type="noConversion"/>
  </si>
  <si>
    <t>기</t>
    <phoneticPr fontId="12" type="noConversion"/>
  </si>
  <si>
    <t xml:space="preserve"> 하  동</t>
    <phoneticPr fontId="12" type="noConversion"/>
  </si>
  <si>
    <t xml:space="preserve"> 화  천</t>
    <phoneticPr fontId="12" type="noConversion"/>
  </si>
  <si>
    <t>기</t>
  </si>
  <si>
    <t xml:space="preserve"> 울   도</t>
  </si>
  <si>
    <t xml:space="preserve"> 삼척그린</t>
    <phoneticPr fontId="12" type="noConversion"/>
  </si>
  <si>
    <t xml:space="preserve"> 춘  천</t>
    <phoneticPr fontId="12" type="noConversion"/>
  </si>
  <si>
    <t xml:space="preserve"> 위   도</t>
  </si>
  <si>
    <t>1,000*1, 500*1</t>
  </si>
  <si>
    <t xml:space="preserve"> 영  흥</t>
    <phoneticPr fontId="12" type="noConversion"/>
  </si>
  <si>
    <t>력</t>
    <phoneticPr fontId="12" type="noConversion"/>
  </si>
  <si>
    <t>수</t>
    <phoneticPr fontId="12" type="noConversion"/>
  </si>
  <si>
    <t xml:space="preserve"> 의  암</t>
    <phoneticPr fontId="12" type="noConversion"/>
  </si>
  <si>
    <t>×</t>
    <phoneticPr fontId="12" type="noConversion"/>
  </si>
  <si>
    <t xml:space="preserve"> 신인천</t>
    <phoneticPr fontId="12" type="noConversion"/>
  </si>
  <si>
    <t>GT</t>
  </si>
  <si>
    <t xml:space="preserve"> 청  평</t>
    <phoneticPr fontId="12" type="noConversion"/>
  </si>
  <si>
    <t xml:space="preserve"> 육   도</t>
  </si>
  <si>
    <t xml:space="preserve"> 여  수</t>
  </si>
  <si>
    <t>ST</t>
  </si>
  <si>
    <t xml:space="preserve"> 율   도</t>
  </si>
  <si>
    <t xml:space="preserve"> 한림복합</t>
    <phoneticPr fontId="12" type="noConversion"/>
  </si>
  <si>
    <t xml:space="preserve"> 자월도</t>
  </si>
  <si>
    <t>500*3, 150*1</t>
  </si>
  <si>
    <t xml:space="preserve"> 팔  당</t>
    <phoneticPr fontId="12" type="noConversion"/>
  </si>
  <si>
    <t xml:space="preserve"> 장고도</t>
  </si>
  <si>
    <t>한수원</t>
    <phoneticPr fontId="12" type="noConversion"/>
  </si>
  <si>
    <t>복</t>
    <phoneticPr fontId="12" type="noConversion"/>
  </si>
  <si>
    <t xml:space="preserve"> 분  당</t>
    <phoneticPr fontId="12" type="noConversion"/>
  </si>
  <si>
    <t xml:space="preserve"> 부산복합 </t>
    <phoneticPr fontId="12" type="noConversion"/>
  </si>
  <si>
    <t>GT</t>
    <phoneticPr fontId="12" type="noConversion"/>
  </si>
  <si>
    <t xml:space="preserve"> 칠  보(섬진강)</t>
    <phoneticPr fontId="12" type="noConversion"/>
  </si>
  <si>
    <t xml:space="preserve"> 조   도</t>
  </si>
  <si>
    <t>800*3, 500*2</t>
  </si>
  <si>
    <t xml:space="preserve">14,400*1, 14,600*1 </t>
    <phoneticPr fontId="12" type="noConversion"/>
  </si>
  <si>
    <t>도</t>
    <phoneticPr fontId="12" type="noConversion"/>
  </si>
  <si>
    <t xml:space="preserve"> 초   도</t>
  </si>
  <si>
    <t>합</t>
    <phoneticPr fontId="12" type="noConversion"/>
  </si>
  <si>
    <t xml:space="preserve"> 영월복합 </t>
    <phoneticPr fontId="12" type="noConversion"/>
  </si>
  <si>
    <t xml:space="preserve"> 강  릉</t>
    <phoneticPr fontId="12" type="noConversion"/>
  </si>
  <si>
    <t xml:space="preserve"> 추   도</t>
  </si>
  <si>
    <t>100*2, 80*1</t>
  </si>
  <si>
    <t xml:space="preserve"> 수력  계</t>
    <phoneticPr fontId="12" type="noConversion"/>
  </si>
  <si>
    <t>대</t>
  </si>
  <si>
    <t xml:space="preserve"> 추자도</t>
  </si>
  <si>
    <t>1,000*4, 500*3</t>
  </si>
  <si>
    <t>바이오(영동#1,2)</t>
    <phoneticPr fontId="51" type="noConversion"/>
  </si>
  <si>
    <t xml:space="preserve"> 안동복합</t>
    <phoneticPr fontId="12" type="noConversion"/>
  </si>
  <si>
    <t>신</t>
    <phoneticPr fontId="12" type="noConversion"/>
  </si>
  <si>
    <t>소수력</t>
    <phoneticPr fontId="51" type="noConversion"/>
  </si>
  <si>
    <t xml:space="preserve"> 평   도</t>
  </si>
  <si>
    <t>ST</t>
    <phoneticPr fontId="12" type="noConversion"/>
  </si>
  <si>
    <t>재</t>
    <phoneticPr fontId="12" type="noConversion"/>
  </si>
  <si>
    <t>태양광</t>
    <phoneticPr fontId="51" type="noConversion"/>
  </si>
  <si>
    <t xml:space="preserve"> 평사도</t>
  </si>
  <si>
    <t xml:space="preserve"> 남제주복합</t>
    <phoneticPr fontId="12" type="noConversion"/>
  </si>
  <si>
    <t>생</t>
    <phoneticPr fontId="12" type="noConversion"/>
  </si>
  <si>
    <t xml:space="preserve"> 풍   도</t>
  </si>
  <si>
    <t>풍력</t>
    <phoneticPr fontId="51" type="noConversion"/>
  </si>
  <si>
    <t xml:space="preserve"> 하화도</t>
  </si>
  <si>
    <t>연료전지</t>
    <phoneticPr fontId="51" type="noConversion"/>
  </si>
  <si>
    <t xml:space="preserve"> 신세종열병합</t>
    <phoneticPr fontId="12" type="noConversion"/>
  </si>
  <si>
    <t xml:space="preserve">   합    계</t>
  </si>
  <si>
    <t xml:space="preserve"> 호   도</t>
  </si>
  <si>
    <t xml:space="preserve">   합    계</t>
    <phoneticPr fontId="12" type="noConversion"/>
  </si>
  <si>
    <t>KEPCO</t>
    <phoneticPr fontId="12" type="noConversion"/>
  </si>
  <si>
    <t xml:space="preserve"> 홍   도</t>
  </si>
  <si>
    <t>800*2, 500*1</t>
  </si>
  <si>
    <t xml:space="preserve">중부발전(주) </t>
  </si>
  <si>
    <t>울</t>
  </si>
  <si>
    <t>울릉도</t>
    <phoneticPr fontId="12" type="noConversion"/>
  </si>
  <si>
    <t xml:space="preserve"> 보   령</t>
    <phoneticPr fontId="12" type="noConversion"/>
  </si>
  <si>
    <t>릉</t>
  </si>
  <si>
    <t xml:space="preserve"> 화   도</t>
  </si>
  <si>
    <t>태양광</t>
  </si>
  <si>
    <t>도</t>
  </si>
  <si>
    <t xml:space="preserve"> 황제도</t>
    <phoneticPr fontId="12" type="noConversion"/>
  </si>
  <si>
    <t xml:space="preserve"> 신보령</t>
    <phoneticPr fontId="12" type="noConversion"/>
  </si>
  <si>
    <t xml:space="preserve"> 흑산도</t>
  </si>
  <si>
    <t>1,000*2, 750*2</t>
  </si>
  <si>
    <t xml:space="preserve"> 신서천</t>
    <phoneticPr fontId="12" type="noConversion"/>
  </si>
  <si>
    <t>바이오중유(남제주#1,2)</t>
    <phoneticPr fontId="12" type="noConversion"/>
  </si>
  <si>
    <t xml:space="preserve"> 울릉도계</t>
    <phoneticPr fontId="12" type="noConversion"/>
  </si>
  <si>
    <t>대</t>
    <phoneticPr fontId="12" type="noConversion"/>
  </si>
  <si>
    <t xml:space="preserve"> 보  령</t>
  </si>
  <si>
    <t xml:space="preserve"> 가거도</t>
    <phoneticPr fontId="12" type="noConversion"/>
  </si>
  <si>
    <t>300*1, 500*3</t>
    <phoneticPr fontId="12" type="noConversion"/>
  </si>
  <si>
    <t>기타도서소계</t>
    <phoneticPr fontId="12" type="noConversion"/>
  </si>
  <si>
    <t xml:space="preserve"> 인  천</t>
  </si>
  <si>
    <t>동서발전(주)</t>
    <phoneticPr fontId="12" type="noConversion"/>
  </si>
  <si>
    <t xml:space="preserve"> 가의도</t>
    <phoneticPr fontId="12" type="noConversion"/>
  </si>
  <si>
    <t xml:space="preserve"> 당  진</t>
    <phoneticPr fontId="12" type="noConversion"/>
  </si>
  <si>
    <t xml:space="preserve"> 가파도</t>
    <phoneticPr fontId="12" type="noConversion"/>
  </si>
  <si>
    <t xml:space="preserve"> 개야도</t>
    <phoneticPr fontId="12" type="noConversion"/>
  </si>
  <si>
    <t>500*2, 250*2</t>
    <phoneticPr fontId="12" type="noConversion"/>
  </si>
  <si>
    <t xml:space="preserve"> 거문도</t>
    <phoneticPr fontId="12" type="noConversion"/>
  </si>
  <si>
    <t>1,000*4, 500*1</t>
    <phoneticPr fontId="12" type="noConversion"/>
  </si>
  <si>
    <t xml:space="preserve"> 타사 화력</t>
    <phoneticPr fontId="12" type="noConversion"/>
  </si>
  <si>
    <t>력</t>
  </si>
  <si>
    <t xml:space="preserve"> 동  해</t>
  </si>
  <si>
    <t xml:space="preserve"> 고대도</t>
    <phoneticPr fontId="12" type="noConversion"/>
  </si>
  <si>
    <t>150*2, 100*1</t>
    <phoneticPr fontId="12" type="noConversion"/>
  </si>
  <si>
    <t xml:space="preserve"> 집단에너지</t>
    <phoneticPr fontId="12" type="noConversion"/>
  </si>
  <si>
    <t xml:space="preserve"> 고사도</t>
    <phoneticPr fontId="12" type="noConversion"/>
  </si>
  <si>
    <t xml:space="preserve"> 타사 신재생 등</t>
    <phoneticPr fontId="12" type="noConversion"/>
  </si>
  <si>
    <t xml:space="preserve"> 세종천연가스발전소(집)</t>
    <phoneticPr fontId="12" type="noConversion"/>
  </si>
  <si>
    <t xml:space="preserve"> 일  산   </t>
    <phoneticPr fontId="12" type="noConversion"/>
  </si>
  <si>
    <t xml:space="preserve"> 구자도</t>
    <phoneticPr fontId="12" type="noConversion"/>
  </si>
  <si>
    <t>X</t>
    <phoneticPr fontId="51" type="noConversion"/>
  </si>
  <si>
    <t xml:space="preserve"> 낙월도</t>
    <phoneticPr fontId="12" type="noConversion"/>
  </si>
  <si>
    <t xml:space="preserve"> 제주LNG복합</t>
    <phoneticPr fontId="51" type="noConversion"/>
  </si>
  <si>
    <t xml:space="preserve"> 내병도</t>
    <phoneticPr fontId="12" type="noConversion"/>
  </si>
  <si>
    <t>[ 설비용량 변경내역 ]</t>
    <phoneticPr fontId="52" type="noConversion"/>
  </si>
  <si>
    <t xml:space="preserve"> 울  산</t>
    <phoneticPr fontId="12" type="noConversion"/>
  </si>
  <si>
    <t xml:space="preserve"> 눌옥도</t>
    <phoneticPr fontId="12" type="noConversion"/>
  </si>
  <si>
    <t>1. '25.11.12 : 강원풍력발전기#1 용량 변경 등(-20.340MW)</t>
  </si>
  <si>
    <t xml:space="preserve"> 서울복합</t>
    <phoneticPr fontId="51" type="noConversion"/>
  </si>
  <si>
    <t xml:space="preserve">          </t>
  </si>
  <si>
    <t xml:space="preserve"> 당사도</t>
    <phoneticPr fontId="12" type="noConversion"/>
  </si>
  <si>
    <t>2. '25.11.19 : 이에너빌리티 태양광발전소 신설 등 (+210.832MW)</t>
  </si>
  <si>
    <t xml:space="preserve"> 대청도</t>
    <phoneticPr fontId="12" type="noConversion"/>
  </si>
  <si>
    <t>3. '25.11.27 : 건기 울산공장1호 2공장 태양광 신설 등 (+13.4MW)</t>
  </si>
  <si>
    <t>500*1, 450*1</t>
    <phoneticPr fontId="12" type="noConversion"/>
  </si>
  <si>
    <t>4. '25.12.3 : 창원누리에너지(CN-4) 연료전지 신설 등 (+15.085MW)</t>
  </si>
  <si>
    <t>신</t>
  </si>
  <si>
    <t xml:space="preserve"> 덕우도</t>
    <phoneticPr fontId="12" type="noConversion"/>
  </si>
  <si>
    <t>150*1, 80*3</t>
    <phoneticPr fontId="12" type="noConversion"/>
  </si>
  <si>
    <t>5. '25.12.10 : 당진행복솔라 태양광 신설 등 (+124.628MW)</t>
  </si>
  <si>
    <t>재</t>
  </si>
  <si>
    <t xml:space="preserve"> 덕적도</t>
    <phoneticPr fontId="12" type="noConversion"/>
  </si>
  <si>
    <t>500*4, 300*3</t>
    <phoneticPr fontId="12" type="noConversion"/>
  </si>
  <si>
    <t>6. '25.12.12 : 제주 한림 BESS 신설 등 (+12.0MW)</t>
  </si>
  <si>
    <t>생</t>
  </si>
  <si>
    <t xml:space="preserve"> 독거도</t>
    <phoneticPr fontId="12" type="noConversion"/>
  </si>
  <si>
    <t>80*1, 40*2</t>
    <phoneticPr fontId="12" type="noConversion"/>
  </si>
  <si>
    <t>7. '25.12.17 : 안양연료전지발전기 폐지 등 (+7.892MW)</t>
  </si>
  <si>
    <t>바이오중유(제주화력#2,3)</t>
    <phoneticPr fontId="12" type="noConversion"/>
  </si>
  <si>
    <t xml:space="preserve"> 득량도</t>
    <phoneticPr fontId="12" type="noConversion"/>
  </si>
  <si>
    <t>8. '25.12.26 : 풍백풍력발전소 신설 등 (+344.279MW)</t>
  </si>
  <si>
    <t xml:space="preserve">                  (제주내연#1,2)</t>
    <phoneticPr fontId="2" type="noConversion"/>
  </si>
  <si>
    <t xml:space="preserve"> 마라도</t>
    <phoneticPr fontId="12" type="noConversion"/>
  </si>
  <si>
    <t>300*1, 200*2</t>
    <phoneticPr fontId="12" type="noConversion"/>
  </si>
  <si>
    <t>9. '25.12.31 : 충주에코파크 연료전지 발전기 신설 등 (+81.631MW)</t>
  </si>
  <si>
    <t xml:space="preserve"> 매물도</t>
  </si>
  <si>
    <t>10. '26.1.1 : 태안#1 폐지 (-500.0MW)</t>
  </si>
  <si>
    <t xml:space="preserve"> 문갑도</t>
  </si>
  <si>
    <t>11. '26.1.7 : 지에스당진솔라팜 2호 태양광발전소 신설 등 (+60.992MW)</t>
  </si>
  <si>
    <t xml:space="preserve"> 백령도</t>
  </si>
  <si>
    <t>3,000*2, 1,500*6</t>
    <phoneticPr fontId="12" type="noConversion"/>
  </si>
  <si>
    <t>12. '26.1.15 : 지에스당진솔라팜 1-1호 태양광발전소 신설 등 (+417.142MW)</t>
  </si>
  <si>
    <t xml:space="preserve"> 고   리</t>
    <phoneticPr fontId="12" type="noConversion"/>
  </si>
  <si>
    <t xml:space="preserve"> 비안도</t>
  </si>
  <si>
    <t>13. '26.1.22 : 제주 북촌 BESS 신설 등 (+72.442MW)</t>
  </si>
  <si>
    <t>서부발전(주)</t>
    <phoneticPr fontId="12" type="noConversion"/>
  </si>
  <si>
    <t xml:space="preserve"> 비양도</t>
  </si>
  <si>
    <t>14. '26.1.28 : 지구살림 남산 태양광 신설 등 (+19.588MW)</t>
  </si>
  <si>
    <t xml:space="preserve"> 태  안</t>
    <phoneticPr fontId="12" type="noConversion"/>
  </si>
  <si>
    <t>원</t>
    <phoneticPr fontId="12" type="noConversion"/>
  </si>
  <si>
    <t xml:space="preserve"> 신고리</t>
    <phoneticPr fontId="12" type="noConversion"/>
  </si>
  <si>
    <t xml:space="preserve"> 삽시도</t>
  </si>
  <si>
    <t>500*2, 300*2</t>
  </si>
  <si>
    <t>15. '26.2.4 : 지에스당진솔라팜 1호 태양광발전소 신설 등 (+152.102MW)</t>
  </si>
  <si>
    <t xml:space="preserve"> 새   울</t>
    <phoneticPr fontId="12" type="noConversion"/>
  </si>
  <si>
    <t xml:space="preserve"> 상화도</t>
  </si>
  <si>
    <t>16. '26.2.11 : 신인천연료전지 3, 4단계 신설 등 (+104.383MW)</t>
  </si>
  <si>
    <t xml:space="preserve"> 월   성</t>
    <phoneticPr fontId="12" type="noConversion"/>
  </si>
  <si>
    <t xml:space="preserve"> 성남도</t>
  </si>
  <si>
    <t>80*1, 40*2</t>
  </si>
  <si>
    <t>17. '26.2.13 : 신인천연료전지 1~5단계 말소 (-97.440MW)</t>
  </si>
  <si>
    <t xml:space="preserve"> 평  택</t>
    <phoneticPr fontId="12" type="noConversion"/>
  </si>
  <si>
    <t xml:space="preserve"> 신월성</t>
    <phoneticPr fontId="12" type="noConversion"/>
  </si>
  <si>
    <t xml:space="preserve"> 소연평도</t>
  </si>
  <si>
    <t>250*2, 100*1</t>
  </si>
  <si>
    <t>18. '26.2.20 : 구미복합 신설 등 (528.142MW)</t>
  </si>
  <si>
    <t xml:space="preserve"> 한   빛</t>
    <phoneticPr fontId="12" type="noConversion"/>
  </si>
  <si>
    <t xml:space="preserve"> 소청도</t>
  </si>
  <si>
    <t>19. '26.2.25 : 대야태양광발전소 신설 등 (+8.592MW)</t>
  </si>
  <si>
    <t xml:space="preserve"> 서인천</t>
    <phoneticPr fontId="12" type="noConversion"/>
  </si>
  <si>
    <t xml:space="preserve"> 손죽도</t>
  </si>
  <si>
    <t>20. '26.3.5 : 대창1호 태양광발전소 신설 등 (+318.691MW)</t>
  </si>
  <si>
    <t xml:space="preserve"> 한   울</t>
    <phoneticPr fontId="12" type="noConversion"/>
  </si>
  <si>
    <t xml:space="preserve"> 송이도</t>
  </si>
  <si>
    <t>21. '26.3.11 : 평창횡계풍력 2호기 신설 등 (+22.249MW)</t>
  </si>
  <si>
    <t xml:space="preserve"> 군  산</t>
    <phoneticPr fontId="12" type="noConversion"/>
  </si>
  <si>
    <t xml:space="preserve"> 수우도</t>
  </si>
  <si>
    <t>22. '26.3.18 : 대구대학교태양광발전소 신설 등 (+74.384MW)</t>
  </si>
  <si>
    <t xml:space="preserve"> 신한울</t>
    <phoneticPr fontId="12" type="noConversion"/>
  </si>
  <si>
    <t>X</t>
    <phoneticPr fontId="12" type="noConversion"/>
  </si>
  <si>
    <t xml:space="preserve"> 슬  도</t>
  </si>
  <si>
    <t>23. '26.3.20 : 남제주 BESS 신설 등 (+23.335MW)</t>
  </si>
  <si>
    <t>김포열병합</t>
    <phoneticPr fontId="12" type="noConversion"/>
  </si>
  <si>
    <t xml:space="preserve"> 승봉도</t>
  </si>
  <si>
    <t>500*3, 150*3</t>
  </si>
  <si>
    <t>24. '26.3.25 : 누리넥스트에너지 태양광발전 신설 등 (+11.863MW)</t>
  </si>
  <si>
    <t>원자력계</t>
    <phoneticPr fontId="12" type="noConversion"/>
  </si>
  <si>
    <t xml:space="preserve"> 시산도</t>
  </si>
  <si>
    <t>25. '26.4.1 : 여안에너지 1 태양광발전소 신설 등 (+6.322MW)</t>
  </si>
  <si>
    <t>구미복합</t>
    <phoneticPr fontId="12" type="noConversion"/>
  </si>
  <si>
    <t xml:space="preserve"> 무   주</t>
    <phoneticPr fontId="12" type="noConversion"/>
  </si>
  <si>
    <t xml:space="preserve"> 어룡도</t>
  </si>
  <si>
    <t>26. '26.4.8 : 유에이치파워 연료전지 발전기 1 신설 등 (+51.115MW)</t>
  </si>
  <si>
    <t xml:space="preserve"> 양   양</t>
    <phoneticPr fontId="12" type="noConversion"/>
  </si>
  <si>
    <t xml:space="preserve"> 어의도</t>
  </si>
  <si>
    <t>27. '26.4.15 : 울산하이드로젠파워1호 신설 등 (+269.068MW)</t>
  </si>
  <si>
    <t>양</t>
    <phoneticPr fontId="12" type="noConversion"/>
  </si>
  <si>
    <t xml:space="preserve"> 삼랑진</t>
    <phoneticPr fontId="51" type="noConversion"/>
  </si>
  <si>
    <t xml:space="preserve"> 어청도</t>
  </si>
  <si>
    <t>500*1, 300*2</t>
  </si>
  <si>
    <t>28. '26.4.22 : 안양아삼파워 연료전지 신설 등 (+35.642MW)</t>
  </si>
  <si>
    <t>IGCC</t>
    <phoneticPr fontId="12" type="noConversion"/>
  </si>
  <si>
    <t xml:space="preserve"> 청   송</t>
    <phoneticPr fontId="12" type="noConversion"/>
  </si>
  <si>
    <t>29. '26.4.29 : 대소원에코파크 연료전지 발전기 신설 등 (+55.482MW)</t>
  </si>
  <si>
    <t xml:space="preserve"> 산   청</t>
    <phoneticPr fontId="12" type="noConversion"/>
  </si>
  <si>
    <t xml:space="preserve"> 여서도</t>
  </si>
  <si>
    <t>30. '26.5.6 : LG이노텍구미4공장 1호 태양광발전소 신설 등 (+14.477MW)</t>
  </si>
  <si>
    <t>소수력</t>
    <phoneticPr fontId="12" type="noConversion"/>
  </si>
  <si>
    <t xml:space="preserve"> 청   평</t>
    <phoneticPr fontId="12" type="noConversion"/>
  </si>
  <si>
    <t xml:space="preserve"> 여자도</t>
  </si>
  <si>
    <t xml:space="preserve"> 예   천</t>
    <phoneticPr fontId="12" type="noConversion"/>
  </si>
  <si>
    <t xml:space="preserve"> 연   도</t>
    <phoneticPr fontId="12" type="noConversion"/>
  </si>
  <si>
    <t xml:space="preserve"> 연평도</t>
  </si>
  <si>
    <t>1,900*3, 1,000*3</t>
  </si>
  <si>
    <t xml:space="preserve"> 영산도</t>
  </si>
  <si>
    <t xml:space="preserve"> 양수 계</t>
    <phoneticPr fontId="12" type="noConversion"/>
  </si>
  <si>
    <t xml:space="preserve"> 왕등도</t>
  </si>
  <si>
    <t>4. 에너지원별 발전설비용량</t>
    <phoneticPr fontId="12" type="noConversion"/>
  </si>
  <si>
    <t xml:space="preserve">    Generation Capacity by Energy Source </t>
    <phoneticPr fontId="12" type="noConversion"/>
  </si>
  <si>
    <t xml:space="preserve">(단위 : MW) </t>
    <phoneticPr fontId="12" type="noConversion"/>
  </si>
  <si>
    <t>구분</t>
    <phoneticPr fontId="12" type="noConversion"/>
  </si>
  <si>
    <t>가 스</t>
  </si>
  <si>
    <t xml:space="preserve">  주1) 자가용설비 제외, 집단에너지를 발전원별로 분류</t>
    <phoneticPr fontId="12" type="noConversion"/>
  </si>
  <si>
    <t xml:space="preserve">  주2) 신재생에너지는 대체에너지에 일반수력, 소수력 포함(양수발전 제외)</t>
    <phoneticPr fontId="14" type="noConversion"/>
  </si>
  <si>
    <t xml:space="preserve">  주3) 기타 : 증류탑폐열, 여열회수, 천연가스압터빈, 부생가스, 폐기물에너지('20년 1월 이후 신재생에서 기타로 분류)</t>
    <phoneticPr fontId="12" type="noConversion"/>
  </si>
  <si>
    <t>5. 행정구역별 발전설비용량</t>
    <phoneticPr fontId="56" type="noConversion"/>
  </si>
  <si>
    <t xml:space="preserve">     Generation Capacity by Province </t>
    <phoneticPr fontId="12" type="noConversion"/>
  </si>
  <si>
    <t xml:space="preserve">  (단위 : MW) </t>
    <phoneticPr fontId="12" type="noConversion"/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</si>
  <si>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</si>
  <si>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</si>
  <si>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</si>
  <si>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</si>
  <si>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</si>
  <si>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</si>
  <si>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</si>
  <si>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</si>
  <si>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</si>
  <si>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</si>
  <si>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</si>
  <si>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</si>
  <si>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</si>
  <si>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</si>
  <si>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</si>
  <si>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</si>
  <si>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</si>
  <si>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 xml:space="preserve">  주1) 자가용설비 제외</t>
    <phoneticPr fontId="12" type="noConversion"/>
  </si>
  <si>
    <t xml:space="preserve">  주2) 대체에너지 : 태양광, 풍력 등 신재생에너지(일반수력, 소수력은 데이터 일관성 유지를 위해 수력으로 별도 구분)</t>
    <phoneticPr fontId="14" type="noConversion"/>
  </si>
  <si>
    <t>6. 발전소 건설현황</t>
    <phoneticPr fontId="12" type="noConversion"/>
  </si>
  <si>
    <t xml:space="preserve">     Power Plants under Construction</t>
    <phoneticPr fontId="12" type="noConversion"/>
  </si>
  <si>
    <t xml:space="preserve">               2025년 하반기 기준  </t>
    <phoneticPr fontId="12" type="noConversion"/>
  </si>
  <si>
    <t>구      분</t>
  </si>
  <si>
    <t>발 전 소 명</t>
  </si>
  <si>
    <t>건 설 공 기</t>
    <phoneticPr fontId="12" type="noConversion"/>
  </si>
  <si>
    <t>비      고
(회 사 명)</t>
    <phoneticPr fontId="12" type="noConversion"/>
  </si>
  <si>
    <t>(MW)</t>
    <phoneticPr fontId="12" type="noConversion"/>
  </si>
  <si>
    <t>새울#3,4</t>
  </si>
  <si>
    <t>1,400×2</t>
  </si>
  <si>
    <t>'16. 06 ∼ '26. 11</t>
    <phoneticPr fontId="12" type="noConversion"/>
  </si>
  <si>
    <t>한국수력원자력</t>
  </si>
  <si>
    <t>신한울#3,4</t>
    <phoneticPr fontId="12" type="noConversion"/>
  </si>
  <si>
    <t>'24. 09 ∼ '33. 10</t>
    <phoneticPr fontId="12" type="noConversion"/>
  </si>
  <si>
    <t>한국수력원자력</t>
    <phoneticPr fontId="2" type="noConversion"/>
  </si>
  <si>
    <t>복     합</t>
  </si>
  <si>
    <t>음성천연가스발전소#1,2</t>
    <phoneticPr fontId="12" type="noConversion"/>
  </si>
  <si>
    <t>GT ×1, ST ×1 : 561
GT ×1, ST ×1 : 561</t>
    <phoneticPr fontId="12" type="noConversion"/>
  </si>
  <si>
    <t>'22. 11 ~ '28. 06</t>
    <phoneticPr fontId="12" type="noConversion"/>
  </si>
  <si>
    <t>한국동서발전</t>
    <phoneticPr fontId="12" type="noConversion"/>
  </si>
  <si>
    <t>함안복합</t>
    <phoneticPr fontId="12" type="noConversion"/>
  </si>
  <si>
    <t>GT : 337.545×1 (32°C 기준)
ST : 162.455×1 (32°C 기준)</t>
    <phoneticPr fontId="12" type="noConversion"/>
  </si>
  <si>
    <t>'25. 09 ~ '28. 09</t>
    <phoneticPr fontId="12" type="noConversion"/>
  </si>
  <si>
    <t>한국중부발전</t>
    <phoneticPr fontId="12" type="noConversion"/>
  </si>
  <si>
    <t>보령신복합 #1</t>
    <phoneticPr fontId="12" type="noConversion"/>
  </si>
  <si>
    <t>GT : 349.7×1 (32°C 기준)
ST : 173.6×1 (32°C 기준)</t>
    <phoneticPr fontId="12" type="noConversion"/>
  </si>
  <si>
    <t>'23. 10 ~ '26. 12</t>
    <phoneticPr fontId="12" type="noConversion"/>
  </si>
  <si>
    <t>구미 천연가스발전소</t>
    <phoneticPr fontId="12" type="noConversion"/>
  </si>
  <si>
    <t>GT : 409.8x1 (15°C 기준)
ST : 186.2x1 (15°C 기준)
GT : 337.5x1 (32°C 기준)
ST : 163.9x1 (32°C 기준)</t>
    <phoneticPr fontId="12" type="noConversion"/>
  </si>
  <si>
    <t>'22. 12 ~ '25. 12</t>
    <phoneticPr fontId="12" type="noConversion"/>
  </si>
  <si>
    <t>한국서부발전</t>
    <phoneticPr fontId="12" type="noConversion"/>
  </si>
  <si>
    <t>공주 천연가스발전소</t>
    <phoneticPr fontId="12" type="noConversion"/>
  </si>
  <si>
    <t>GT : 376.43x1 (15°C 기준)
ST : 183.53x1 (15°C 기준)
GT : 333.73x1 (32°C 기준)
ST : 166.27x1 (32°C 기준)</t>
    <phoneticPr fontId="12" type="noConversion"/>
  </si>
  <si>
    <t>'24. 05 ~ '27. 04</t>
    <phoneticPr fontId="12" type="noConversion"/>
  </si>
  <si>
    <t>고성 천연가스</t>
    <phoneticPr fontId="12" type="noConversion"/>
  </si>
  <si>
    <t>GTx2, HRSGx2, STx1 : 1,120</t>
    <phoneticPr fontId="12" type="noConversion"/>
  </si>
  <si>
    <t>'23. 12 ~ '27. 12</t>
    <phoneticPr fontId="12" type="noConversion"/>
  </si>
  <si>
    <t>한국남동발전</t>
    <phoneticPr fontId="12" type="noConversion"/>
  </si>
  <si>
    <t>안동 복합화력발전소 #2</t>
    <phoneticPr fontId="12" type="noConversion"/>
  </si>
  <si>
    <t>GT : 387×1 (15°C 기준)
ST : 182×1 (15°C 기준)
GT : 352×1 (32°C 기준)
ST : 172×1 (32°C 기준)</t>
    <phoneticPr fontId="12" type="noConversion"/>
  </si>
  <si>
    <t>'24. 07 ~ '27. 03</t>
    <phoneticPr fontId="12" type="noConversion"/>
  </si>
  <si>
    <t>한국남부발전</t>
    <phoneticPr fontId="12" type="noConversion"/>
  </si>
  <si>
    <t>씨지앤대산 천연가스 복합</t>
    <phoneticPr fontId="12" type="noConversion"/>
  </si>
  <si>
    <t>GT : 341x1 (30°C 기준)
ST : 171x1 (30°C 기준)
GT : 373.5x1 (15°C 기준)
ST : 183.5x1 (15°C 기준)</t>
    <phoneticPr fontId="12" type="noConversion"/>
  </si>
  <si>
    <t>'23. 11 ~ '26. 06</t>
    <phoneticPr fontId="12" type="noConversion"/>
  </si>
  <si>
    <t>씨지앤대산전력㈜</t>
    <phoneticPr fontId="12" type="noConversion"/>
  </si>
  <si>
    <t>영동양수발전소 #1,2</t>
    <phoneticPr fontId="12" type="noConversion"/>
  </si>
  <si>
    <t>250x2</t>
    <phoneticPr fontId="12" type="noConversion"/>
  </si>
  <si>
    <t>'24. 09 ~ '30. 12</t>
    <phoneticPr fontId="12" type="noConversion"/>
  </si>
  <si>
    <t>한국수력원자력</t>
    <phoneticPr fontId="12" type="noConversion"/>
  </si>
  <si>
    <t>홍천양수발전소 #1,2</t>
    <phoneticPr fontId="12" type="noConversion"/>
  </si>
  <si>
    <t>300x2</t>
    <phoneticPr fontId="12" type="noConversion"/>
  </si>
  <si>
    <t>'25. 09 ~ '32. 12</t>
    <phoneticPr fontId="12" type="noConversion"/>
  </si>
  <si>
    <t>부천열병합발전소</t>
    <phoneticPr fontId="12" type="noConversion"/>
  </si>
  <si>
    <t>GT : 342.11x2 (32°C 기준)
ST : 172.37x2 (32°C 기준)</t>
    <phoneticPr fontId="12" type="noConversion"/>
  </si>
  <si>
    <t>'23. 12 ∼ '29. 10</t>
    <phoneticPr fontId="12" type="noConversion"/>
  </si>
  <si>
    <t>GS파워㈜</t>
    <phoneticPr fontId="12" type="noConversion"/>
  </si>
  <si>
    <t xml:space="preserve">  주) KPX홈페이지(www.kpx.or.kr) 발전소 건설사업 추진현황 자료 참고</t>
    <phoneticPr fontId="12" type="noConversion"/>
  </si>
  <si>
    <t>Ⅲ. 발전량</t>
    <phoneticPr fontId="5" type="noConversion"/>
  </si>
  <si>
    <t>7.  발전원별</t>
    <phoneticPr fontId="5" type="noConversion"/>
  </si>
  <si>
    <t>8.  발전회사별</t>
    <phoneticPr fontId="5" type="noConversion"/>
  </si>
  <si>
    <t>9.  에너지원별</t>
    <phoneticPr fontId="5" type="noConversion"/>
  </si>
  <si>
    <t>10.  행정구역별</t>
    <phoneticPr fontId="5" type="noConversion"/>
  </si>
  <si>
    <t>11.  연료사용량</t>
    <phoneticPr fontId="5" type="noConversion"/>
  </si>
  <si>
    <t>7. 발전원별 발전량</t>
    <phoneticPr fontId="12" type="noConversion"/>
  </si>
  <si>
    <t xml:space="preserve">    Power Generation by Plant Type</t>
    <phoneticPr fontId="12" type="noConversion"/>
  </si>
  <si>
    <t xml:space="preserve">(단위 : GWh) </t>
    <phoneticPr fontId="12" type="noConversion"/>
  </si>
  <si>
    <t>2025.01~04</t>
  </si>
  <si>
    <t>2026.01~04</t>
  </si>
  <si>
    <t xml:space="preserve">  주1) 대체에너지 : 태양광, 풍력 등 신재생에너지(일반수력, 소수력은 데이터 일관성 유지를 위해 수력으로 별도 구분)</t>
    <phoneticPr fontId="12" type="noConversion"/>
  </si>
  <si>
    <t xml:space="preserve">  주2) 2015년까지 상용자가 발전분중 한전구입분(구역전기, 자가용 사업자가 한전에 판매한 발전량)은 복합으로 분류</t>
    <phoneticPr fontId="12" type="noConversion"/>
  </si>
  <si>
    <t>7-1. 발전전력량 (발전원별/에너지원별)</t>
    <phoneticPr fontId="12" type="noConversion"/>
  </si>
  <si>
    <t xml:space="preserve">       Power Generation by Plant Type and Energy Source</t>
    <phoneticPr fontId="12" type="noConversion"/>
  </si>
  <si>
    <t xml:space="preserve">(단위: MWh)  </t>
    <phoneticPr fontId="12" type="noConversion"/>
  </si>
  <si>
    <t xml:space="preserve">            발전원
에너지원</t>
    <phoneticPr fontId="12" type="noConversion"/>
  </si>
  <si>
    <t>상용자가</t>
  </si>
  <si>
    <t>총발전량</t>
  </si>
  <si>
    <t>발전원
        에너지원</t>
    <phoneticPr fontId="12" type="noConversion"/>
  </si>
  <si>
    <t>중유</t>
  </si>
  <si>
    <t>한전구입분</t>
  </si>
  <si>
    <t>신재생(기타)</t>
    <phoneticPr fontId="12" type="noConversion"/>
  </si>
  <si>
    <t>○ 발전원별 발전량</t>
    <phoneticPr fontId="12" type="noConversion"/>
  </si>
  <si>
    <t>(단위: MWh)</t>
    <phoneticPr fontId="12" type="noConversion"/>
  </si>
  <si>
    <t>구  분</t>
    <phoneticPr fontId="12" type="noConversion"/>
  </si>
  <si>
    <t>＊ 석탄 발전량(MWh) :</t>
    <phoneticPr fontId="12" type="noConversion"/>
  </si>
  <si>
    <t>발전량</t>
    <phoneticPr fontId="12" type="noConversion"/>
  </si>
  <si>
    <t>+(집단 유연탄)</t>
    <phoneticPr fontId="12" type="noConversion"/>
  </si>
  <si>
    <t>+(집단 바이오)</t>
    <phoneticPr fontId="12" type="noConversion"/>
  </si>
  <si>
    <t>+(집단 기타)</t>
    <phoneticPr fontId="12" type="noConversion"/>
  </si>
  <si>
    <t>＊ LNG 발전량(MWh) :</t>
    <phoneticPr fontId="12" type="noConversion"/>
  </si>
  <si>
    <t>+(집단 LNG)</t>
    <phoneticPr fontId="12" type="noConversion"/>
  </si>
  <si>
    <t>+ (상용자가)</t>
    <phoneticPr fontId="12" type="noConversion"/>
  </si>
  <si>
    <t>＊ 신재생 발전량(MWh) :</t>
    <phoneticPr fontId="12" type="noConversion"/>
  </si>
  <si>
    <t>＊ 유류 발전량(MWh) :</t>
    <phoneticPr fontId="12" type="noConversion"/>
  </si>
  <si>
    <t>(기력 중유)</t>
    <phoneticPr fontId="12" type="noConversion"/>
  </si>
  <si>
    <t>+(내연력)</t>
    <phoneticPr fontId="12" type="noConversion"/>
  </si>
  <si>
    <t>○ 에너지원별 발전량</t>
    <phoneticPr fontId="12" type="noConversion"/>
  </si>
  <si>
    <t>- 화력발전소의 혼소발전량을 에너지원별로 분리한 발전량(총 발전량의 세로값)</t>
    <phoneticPr fontId="12" type="noConversion"/>
  </si>
  <si>
    <t xml:space="preserve">  주1) 발전량은 자가용을 제외한 사업자용만 집계(한전에서 구입한 상용자가 발전량은 포함)</t>
    <phoneticPr fontId="12" type="noConversion"/>
  </si>
  <si>
    <t xml:space="preserve">  주3) 세부항목은 반올림되므로 합계와 총계의 차이가 있을수 있음</t>
    <phoneticPr fontId="12" type="noConversion"/>
  </si>
  <si>
    <t xml:space="preserve">  주4) '24년 6월부터 제주 급전가능재생에너지 발전량을 신재생(기타)로 분류</t>
    <phoneticPr fontId="12" type="noConversion"/>
  </si>
  <si>
    <t xml:space="preserve"> </t>
    <phoneticPr fontId="12" type="noConversion"/>
  </si>
  <si>
    <t>7-2. 발전전력량 (발전소별)</t>
    <phoneticPr fontId="12" type="noConversion"/>
  </si>
  <si>
    <t xml:space="preserve">        Power Generation by plants</t>
    <phoneticPr fontId="12" type="noConversion"/>
  </si>
  <si>
    <t xml:space="preserve">(단위 : MWh) </t>
    <phoneticPr fontId="12" type="noConversion"/>
  </si>
  <si>
    <t>&lt;집단(LNG)&gt;</t>
  </si>
  <si>
    <t>&lt;부생가스&gt;</t>
    <phoneticPr fontId="12" type="noConversion"/>
  </si>
  <si>
    <t>강릉안인#1~2</t>
    <phoneticPr fontId="12" type="noConversion"/>
  </si>
  <si>
    <t>소양강</t>
  </si>
  <si>
    <t>고성#1-2</t>
  </si>
  <si>
    <t>군장열병합</t>
    <phoneticPr fontId="12" type="noConversion"/>
  </si>
  <si>
    <t>&lt;폐기물에너지&gt;</t>
    <phoneticPr fontId="12" type="noConversion"/>
  </si>
  <si>
    <t>이에스파워 등</t>
    <phoneticPr fontId="12" type="noConversion"/>
  </si>
  <si>
    <t>당진#1-10</t>
    <phoneticPr fontId="12" type="noConversion"/>
  </si>
  <si>
    <t>분당C/C</t>
    <phoneticPr fontId="12" type="noConversion"/>
  </si>
  <si>
    <t>&lt;복합(LNG)&gt;</t>
  </si>
  <si>
    <t>보령#3-8</t>
    <phoneticPr fontId="12" type="noConversion"/>
  </si>
  <si>
    <t>서울C/C</t>
    <phoneticPr fontId="12" type="noConversion"/>
  </si>
  <si>
    <t>고려아연복합</t>
    <phoneticPr fontId="12" type="noConversion"/>
  </si>
  <si>
    <t>보임열병합</t>
  </si>
  <si>
    <t>삼척그린#1,2</t>
    <phoneticPr fontId="12" type="noConversion"/>
  </si>
  <si>
    <t>새울#3</t>
    <phoneticPr fontId="12" type="noConversion"/>
  </si>
  <si>
    <t>동남권열병합</t>
    <phoneticPr fontId="12" type="noConversion"/>
  </si>
  <si>
    <t>삼천포#3-6</t>
    <phoneticPr fontId="12" type="noConversion"/>
  </si>
  <si>
    <t>천연가스압터빈</t>
  </si>
  <si>
    <t>신보령#1,2</t>
    <phoneticPr fontId="12" type="noConversion"/>
  </si>
  <si>
    <t>신서천화력#1</t>
    <phoneticPr fontId="12" type="noConversion"/>
  </si>
  <si>
    <t>여수열병합</t>
  </si>
  <si>
    <t>음성C/C</t>
    <phoneticPr fontId="12" type="noConversion"/>
  </si>
  <si>
    <t>&lt;상용자가 구입&gt;</t>
  </si>
  <si>
    <t>부생가스</t>
  </si>
  <si>
    <t>폐기물</t>
  </si>
  <si>
    <t>이천SEC복합</t>
  </si>
  <si>
    <t>청주SEC복합</t>
  </si>
  <si>
    <t>&lt;집단&gt;</t>
    <phoneticPr fontId="12" type="noConversion"/>
  </si>
  <si>
    <t>김포열병합</t>
  </si>
  <si>
    <t>&lt;집단(부생)&gt;</t>
  </si>
  <si>
    <t>여천NCC</t>
  </si>
  <si>
    <t>&lt;집단(기타)&gt;</t>
  </si>
  <si>
    <t>대전열병합</t>
    <phoneticPr fontId="12" type="noConversion"/>
  </si>
  <si>
    <t>폐기물에너지</t>
  </si>
  <si>
    <t>신한울#2</t>
  </si>
  <si>
    <t>대산복합(유)</t>
  </si>
  <si>
    <t>○ 회사별 발전량</t>
    <phoneticPr fontId="12" type="noConversion"/>
  </si>
  <si>
    <t xml:space="preserve">(단위 : MWh, %) </t>
    <phoneticPr fontId="12" type="noConversion"/>
  </si>
  <si>
    <t>주1) 신재생 = 대체에너지 + 일반수력 + 소수력</t>
    <phoneticPr fontId="12" type="noConversion"/>
  </si>
  <si>
    <t>주3) 상용자가 한전구입분은 기타로 분류</t>
    <phoneticPr fontId="12" type="noConversion"/>
  </si>
  <si>
    <t xml:space="preserve"> 주2) '24년 6월부터 제주 급전가능재생에너지 발전량을 신재생(기타)로 분류</t>
    <phoneticPr fontId="12" type="noConversion"/>
  </si>
  <si>
    <t>8. 발전회사 및 발전원별 발전량(1/3)</t>
    <phoneticPr fontId="12" type="noConversion"/>
  </si>
  <si>
    <t>8. 발전회사 및 발전원별 발전량(2/3)</t>
    <phoneticPr fontId="12" type="noConversion"/>
  </si>
  <si>
    <t>8. 발전회사 및 발전원별 발전량(3/3)</t>
    <phoneticPr fontId="12" type="noConversion"/>
  </si>
  <si>
    <t xml:space="preserve">     Power Generation by GENCO's and Plant Type (1/3)</t>
    <phoneticPr fontId="12" type="noConversion"/>
  </si>
  <si>
    <t xml:space="preserve">     Power Generation by GENCO's and Plant Type (2/3)</t>
    <phoneticPr fontId="12" type="noConversion"/>
  </si>
  <si>
    <t xml:space="preserve">     Power Generation by GENCO's and Plant Type (3/3)</t>
    <phoneticPr fontId="12" type="noConversion"/>
  </si>
  <si>
    <t xml:space="preserve">   (단위 : GWh)</t>
  </si>
  <si>
    <t xml:space="preserve">남          동 </t>
    <phoneticPr fontId="12" type="noConversion"/>
  </si>
  <si>
    <t>서          부</t>
    <phoneticPr fontId="12" type="noConversion"/>
  </si>
  <si>
    <t>남          부</t>
    <phoneticPr fontId="12" type="noConversion"/>
  </si>
  <si>
    <t>동          서</t>
  </si>
  <si>
    <t>한 수 원</t>
    <phoneticPr fontId="12" type="noConversion"/>
  </si>
  <si>
    <t>타 사</t>
    <phoneticPr fontId="12" type="noConversion"/>
  </si>
  <si>
    <t>수력</t>
    <phoneticPr fontId="12" type="noConversion"/>
  </si>
  <si>
    <t>내  연</t>
    <phoneticPr fontId="12" type="noConversion"/>
  </si>
  <si>
    <t xml:space="preserve">  주1) 대체에너지 : 태양광, 풍력 등 신재생에너지(일반수력, 소수력은 수력으로 별도구분)</t>
    <phoneticPr fontId="12" type="noConversion"/>
  </si>
  <si>
    <t xml:space="preserve">  주2) 기타 : 폐기물에너지('20년 1월부터 대체에너지에서 기타로 분류)</t>
    <phoneticPr fontId="12" type="noConversion"/>
  </si>
  <si>
    <t xml:space="preserve">   주) 타사 세부 발전량은 32, 33page 참고</t>
    <phoneticPr fontId="12" type="noConversion"/>
  </si>
  <si>
    <t>9. 에너지원별 발전량</t>
    <phoneticPr fontId="56" type="noConversion"/>
  </si>
  <si>
    <t xml:space="preserve">    Power Generation by Energy Source </t>
    <phoneticPr fontId="12" type="noConversion"/>
  </si>
  <si>
    <t>(단위 : GWh)</t>
    <phoneticPr fontId="12" type="noConversion"/>
  </si>
  <si>
    <t xml:space="preserve">  주2) 2015년까지 상용자가 발전분중 한전구입분(구역전기, 자가용 사업자가 한전에 판매한 발전량)은 LNG로 분류</t>
  </si>
  <si>
    <t xml:space="preserve">  주3) 2015년까지 발전원별로 구분, 2016년도부터 한전 자회사 혼소발전량을 에너지원별 분류</t>
  </si>
  <si>
    <t xml:space="preserve">  주4) 신재생에너지는 대체에너지에 일반수력, 소수력 포함(양수발전 제외)</t>
    <phoneticPr fontId="12" type="noConversion"/>
  </si>
  <si>
    <t xml:space="preserve">  주5) 기타 : 증류탑폐열, 여열회수, 천연가스압터빈, 부생가스, 폐기물에너지('20년 1월 이후 신재생에서 기타로 분류)</t>
    <phoneticPr fontId="12" type="noConversion"/>
  </si>
  <si>
    <t>9-1. 행정구역별 신재생 발전설비 및 발전량</t>
    <phoneticPr fontId="56" type="noConversion"/>
  </si>
  <si>
    <t xml:space="preserve">         Generation Capacity and Power Generation for New &amp; Renewable energy by Province </t>
    <phoneticPr fontId="12" type="noConversion"/>
  </si>
  <si>
    <t xml:space="preserve">(단위 : MW, GWh)  </t>
    <phoneticPr fontId="12" type="noConversion"/>
  </si>
  <si>
    <t>구    분</t>
    <phoneticPr fontId="12" type="noConversion"/>
  </si>
  <si>
    <t>발전설비(MW)</t>
    <phoneticPr fontId="12" type="noConversion"/>
  </si>
  <si>
    <t>발전량(GWh)</t>
    <phoneticPr fontId="12" type="noConversion"/>
  </si>
  <si>
    <t>바이오</t>
    <phoneticPr fontId="12" type="noConversion"/>
  </si>
  <si>
    <t>해양</t>
    <phoneticPr fontId="12" type="noConversion"/>
  </si>
  <si>
    <t>IGCC</t>
  </si>
  <si>
    <r>
      <t xml:space="preserve">2026
누계
</t>
    </r>
    <r>
      <rPr>
        <sz val="6"/>
        <rFont val="맑은 고딕"/>
        <family val="3"/>
        <charset val="129"/>
        <scheme val="minor"/>
      </rPr>
      <t>(01~04)</t>
    </r>
    <phoneticPr fontId="12" type="noConversion"/>
  </si>
  <si>
    <t>세종</t>
    <phoneticPr fontId="12" type="noConversion"/>
  </si>
  <si>
    <t>2026.
04</t>
    <phoneticPr fontId="12" type="noConversion"/>
  </si>
  <si>
    <t xml:space="preserve">  주1) 자가용설비 제외, 수력에서 양수는 신재생에 포함되지 않음</t>
    <phoneticPr fontId="12" type="noConversion"/>
  </si>
  <si>
    <t xml:space="preserve">  주2) '24년 6월부터 제주 급전가능재생에너지 발전량을 신재생(기타)로 분류</t>
    <phoneticPr fontId="12" type="noConversion"/>
  </si>
  <si>
    <t>10. 행정구역별 발전량</t>
    <phoneticPr fontId="56" type="noConversion"/>
  </si>
  <si>
    <t xml:space="preserve">      Power Generation by Province </t>
    <phoneticPr fontId="12" type="noConversion"/>
  </si>
  <si>
    <t xml:space="preserve"> 2026년 4월</t>
    <phoneticPr fontId="12" type="noConversion"/>
  </si>
  <si>
    <t>전체 결과</t>
  </si>
  <si>
    <t xml:space="preserve">  주2) 대체에너지 : 태양광, 풍력 등 신재생에너지(일반수력, 소수력은 수력으로 별도구분)</t>
  </si>
  <si>
    <t>10-1. 행정구역별 발전량(누계)</t>
    <phoneticPr fontId="12" type="noConversion"/>
  </si>
  <si>
    <t xml:space="preserve">        Power Generation by Province </t>
    <phoneticPr fontId="12" type="noConversion"/>
  </si>
  <si>
    <t>(2026.01 ∼ 2026.04)</t>
    <phoneticPr fontId="12" type="noConversion"/>
  </si>
  <si>
    <t>11. 화력발전원별 연료사용량</t>
    <phoneticPr fontId="12" type="noConversion"/>
  </si>
  <si>
    <t xml:space="preserve">      Fuel Consumption by Thermal Power Plant</t>
    <phoneticPr fontId="12" type="noConversion"/>
  </si>
  <si>
    <t xml:space="preserve">          [단위  :  t (석탄),  t (LNG),  ㎘ (유류)]  </t>
    <phoneticPr fontId="12" type="noConversion"/>
  </si>
  <si>
    <t xml:space="preserve">                                       기                                                 력</t>
  </si>
  <si>
    <t>내   연   발  전  소</t>
    <phoneticPr fontId="12" type="noConversion"/>
  </si>
  <si>
    <t>복   합   화   력  발  전  소</t>
    <phoneticPr fontId="12" type="noConversion"/>
  </si>
  <si>
    <t>무  연  탄  발  전  소</t>
    <phoneticPr fontId="12" type="noConversion"/>
  </si>
  <si>
    <t>유  연  탄  발  전  소</t>
    <phoneticPr fontId="12" type="noConversion"/>
  </si>
  <si>
    <t>중  유  발  전  소</t>
    <phoneticPr fontId="12" type="noConversion"/>
  </si>
  <si>
    <t>L   N   G  발  전  소</t>
    <phoneticPr fontId="12" type="noConversion"/>
  </si>
  <si>
    <t>중 유</t>
    <phoneticPr fontId="12" type="noConversion"/>
  </si>
  <si>
    <t>경 유</t>
  </si>
  <si>
    <t>중 유</t>
  </si>
  <si>
    <t>경유</t>
  </si>
  <si>
    <t>-</t>
    <phoneticPr fontId="12" type="noConversion"/>
  </si>
  <si>
    <t xml:space="preserve">   주1) 한전, 자회사, 민간 4개사(포스코인터내셔널, GS EPS, GS POWER, CGN 율촌) 화력발전 연료사용량임</t>
    <phoneticPr fontId="12" type="noConversion"/>
  </si>
  <si>
    <t xml:space="preserve">   ※  기울임체 및 음영표시부분은 잠정실적</t>
  </si>
  <si>
    <t>11-1. 에너지원별 연료사용량</t>
    <phoneticPr fontId="12" type="noConversion"/>
  </si>
  <si>
    <t xml:space="preserve">         Fuel Consumption by Energy Source </t>
    <phoneticPr fontId="12" type="noConversion"/>
  </si>
  <si>
    <t xml:space="preserve">          [단위  :  t (석탄),  t(LNG),  ㎘ (유류)]  </t>
    <phoneticPr fontId="12" type="noConversion"/>
  </si>
  <si>
    <t xml:space="preserve">        석</t>
  </si>
  <si>
    <t>탄</t>
  </si>
  <si>
    <t xml:space="preserve">        (t)</t>
    <phoneticPr fontId="12" type="noConversion"/>
  </si>
  <si>
    <t xml:space="preserve">중 유 </t>
    <phoneticPr fontId="12" type="noConversion"/>
  </si>
  <si>
    <t>경 유</t>
    <phoneticPr fontId="12" type="noConversion"/>
  </si>
  <si>
    <t>LNG</t>
    <phoneticPr fontId="12" type="noConversion"/>
  </si>
  <si>
    <t>무 연 탄</t>
  </si>
  <si>
    <t>유 연 탄</t>
  </si>
  <si>
    <t xml:space="preserve">   주1) 시운전 연료 사용량 포함</t>
    <phoneticPr fontId="12" type="noConversion"/>
  </si>
  <si>
    <t xml:space="preserve">   주2) 한전, 자회사, 민간 4개사(포스코인터내셔널, GS EPS, GS POWER, CGN 율촌) 화력발전 연료사용량임</t>
    <phoneticPr fontId="12" type="noConversion"/>
  </si>
  <si>
    <t xml:space="preserve">   주3) 기울임체 및 음영표시부분은 잠정실적</t>
    <phoneticPr fontId="12" type="noConversion"/>
  </si>
  <si>
    <t>Ⅳ. 전력 구입</t>
    <phoneticPr fontId="5" type="noConversion"/>
  </si>
  <si>
    <t>12.  전력구입실적 종합</t>
    <phoneticPr fontId="5" type="noConversion"/>
  </si>
  <si>
    <t>13.  발전원별</t>
    <phoneticPr fontId="5" type="noConversion"/>
  </si>
  <si>
    <t>14.  발전회사별</t>
    <phoneticPr fontId="5" type="noConversion"/>
  </si>
  <si>
    <t>15. 전력시장 가격 및 정산단가</t>
    <phoneticPr fontId="5" type="noConversion"/>
  </si>
  <si>
    <r>
      <t xml:space="preserve">16.  PPA </t>
    </r>
    <r>
      <rPr>
        <sz val="13"/>
        <color theme="1"/>
        <rFont val="KoPub돋움체 Bold"/>
        <family val="1"/>
        <charset val="129"/>
      </rPr>
      <t>(Power Purchase Agreement)</t>
    </r>
    <phoneticPr fontId="5" type="noConversion"/>
  </si>
  <si>
    <t>12. 전력구입실적 종합 (잠정)</t>
    <phoneticPr fontId="12" type="noConversion"/>
  </si>
  <si>
    <t xml:space="preserve">      Summary of Power Purchase Results (Market &amp; PPA)</t>
    <phoneticPr fontId="79" type="noConversion"/>
  </si>
  <si>
    <t>단  위</t>
    <phoneticPr fontId="12" type="noConversion"/>
  </si>
  <si>
    <t>2025년</t>
    <phoneticPr fontId="79" type="noConversion"/>
  </si>
  <si>
    <t>2026년</t>
    <phoneticPr fontId="79" type="noConversion"/>
  </si>
  <si>
    <t>증 감 률 (%)</t>
    <phoneticPr fontId="79" type="noConversion"/>
  </si>
  <si>
    <t>점 유 율 (%)</t>
    <phoneticPr fontId="79" type="noConversion"/>
  </si>
  <si>
    <t>04월</t>
  </si>
  <si>
    <t>1~04월</t>
  </si>
  <si>
    <t>구 입 량</t>
  </si>
  <si>
    <t>전 력 
시 장</t>
    <phoneticPr fontId="80" type="noConversion"/>
  </si>
  <si>
    <t>기  저</t>
    <phoneticPr fontId="80" type="noConversion"/>
  </si>
  <si>
    <t>MWh</t>
  </si>
  <si>
    <t>일  반</t>
    <phoneticPr fontId="80" type="noConversion"/>
  </si>
  <si>
    <t>"</t>
  </si>
  <si>
    <t>소   계</t>
    <phoneticPr fontId="80" type="noConversion"/>
  </si>
  <si>
    <t>P P A</t>
    <phoneticPr fontId="80" type="noConversion"/>
  </si>
  <si>
    <t>"</t>
    <phoneticPr fontId="80" type="noConversion"/>
  </si>
  <si>
    <t>구 입 금 액</t>
  </si>
  <si>
    <t>백만원</t>
    <phoneticPr fontId="80" type="noConversion"/>
  </si>
  <si>
    <t>"</t>
    <phoneticPr fontId="79" type="noConversion"/>
  </si>
  <si>
    <t>구입금액 계
(RPS 제외)</t>
    <phoneticPr fontId="79" type="noConversion"/>
  </si>
  <si>
    <t>구입금액 계
(RPS 포함)</t>
    <phoneticPr fontId="79" type="noConversion"/>
  </si>
  <si>
    <t>구 입 단 가</t>
  </si>
  <si>
    <t>원/kWh</t>
    <phoneticPr fontId="80" type="noConversion"/>
  </si>
  <si>
    <t>평균
(RPS 제외)</t>
    <phoneticPr fontId="80" type="noConversion"/>
  </si>
  <si>
    <t>평균
(RPS 포함)</t>
    <phoneticPr fontId="80" type="noConversion"/>
  </si>
  <si>
    <t>한계가격</t>
    <phoneticPr fontId="80" type="noConversion"/>
  </si>
  <si>
    <t>SMP</t>
    <phoneticPr fontId="80" type="noConversion"/>
  </si>
  <si>
    <t>구입단가
발전원별</t>
    <phoneticPr fontId="79" type="noConversion"/>
  </si>
  <si>
    <t>발전원</t>
    <phoneticPr fontId="79" type="noConversion"/>
  </si>
  <si>
    <t>원자력</t>
    <phoneticPr fontId="79" type="noConversion"/>
  </si>
  <si>
    <t>유연탄</t>
    <phoneticPr fontId="79" type="noConversion"/>
  </si>
  <si>
    <t>무연탄</t>
    <phoneticPr fontId="79" type="noConversion"/>
  </si>
  <si>
    <t>유류</t>
    <phoneticPr fontId="79" type="noConversion"/>
  </si>
  <si>
    <t>LNG 복합</t>
    <phoneticPr fontId="79" type="noConversion"/>
  </si>
  <si>
    <t>수력</t>
    <phoneticPr fontId="79" type="noConversion"/>
  </si>
  <si>
    <t>양수</t>
    <phoneticPr fontId="79" type="noConversion"/>
  </si>
  <si>
    <t>대체에너지</t>
    <phoneticPr fontId="79" type="noConversion"/>
  </si>
  <si>
    <t>기타</t>
    <phoneticPr fontId="79" type="noConversion"/>
  </si>
  <si>
    <t>당월
(원/kWh)</t>
    <phoneticPr fontId="79" type="noConversion"/>
  </si>
  <si>
    <t>누계
(원/kWh)</t>
    <phoneticPr fontId="79" type="noConversion"/>
  </si>
  <si>
    <t>주1) 정산기준의 잠정 수치임</t>
    <phoneticPr fontId="80" type="noConversion"/>
  </si>
  <si>
    <t>주2) 기저발전기는 원자력, 석탄(유연탄), 국내탄(무연탄) 발전기를 말함</t>
    <phoneticPr fontId="79" type="noConversion"/>
  </si>
  <si>
    <t>주3) 시장 구입금액은 제약비 양수 정산금(COFPE)이 반영된 금액임</t>
    <phoneticPr fontId="79" type="noConversion"/>
  </si>
  <si>
    <t>주4) PPA는 2001.4월 발전분리 이전 민간발전사업자로 전력구입계약분(Power Purchase Agreement) 포함임</t>
    <phoneticPr fontId="79" type="noConversion"/>
  </si>
  <si>
    <t xml:space="preserve">주5) '07. 2월 이후 구역전기사업자 시장구입분 포함  </t>
    <phoneticPr fontId="79" type="noConversion"/>
  </si>
  <si>
    <t>주6) 구입금액 및 구입단가의 점유율은 RPS 제외 실적 대비 비율로 표시(기준=100)</t>
    <phoneticPr fontId="12" type="noConversion"/>
  </si>
  <si>
    <t>주7) RPS정산금은 월별 편차가 있어 세부 항목에는 미포함하였으며, 합계에만 RPS제외분과 RPS포함분을 각각 기재함</t>
    <phoneticPr fontId="12" type="noConversion"/>
  </si>
  <si>
    <t>주8) 대체에너지 : 태양광, 풍력 등 신재생에너지(일반수력, 소수력은 수력으로 별도 구분)</t>
    <phoneticPr fontId="12" type="noConversion"/>
  </si>
  <si>
    <t>주9) 기타 : 증류탑폐열, 여열회수, 천연가스압터빈, 부생가스, 폐기물에너지, 구역전기사업자(한전 직거래 등), DR 정산금</t>
    <phoneticPr fontId="79" type="noConversion"/>
  </si>
  <si>
    <t>13. 전력시장 발전원별 전력구입실적 (1/3)</t>
    <phoneticPr fontId="12" type="noConversion"/>
  </si>
  <si>
    <t>13. 전력시장 발전원별 전력구입실적 (2/3)</t>
    <phoneticPr fontId="12" type="noConversion"/>
  </si>
  <si>
    <t>13. 전력시장 발전원별 전력구입실적 (3/3)</t>
    <phoneticPr fontId="12" type="noConversion"/>
  </si>
  <si>
    <t xml:space="preserve">     Market Power Purchase Results by Plant Type (1/3)</t>
    <phoneticPr fontId="12" type="noConversion"/>
  </si>
  <si>
    <t xml:space="preserve">      Market Power Purchase Results by Plant Type (2/3)</t>
    <phoneticPr fontId="12" type="noConversion"/>
  </si>
  <si>
    <t xml:space="preserve">      Market Power Purchase Results by Plant Type (3/3)</t>
    <phoneticPr fontId="12" type="noConversion"/>
  </si>
  <si>
    <t xml:space="preserve"> (단위 : GWh) </t>
    <phoneticPr fontId="12" type="noConversion"/>
  </si>
  <si>
    <t xml:space="preserve">   (단위 : 억원) </t>
    <phoneticPr fontId="12" type="noConversion"/>
  </si>
  <si>
    <t xml:space="preserve">(단위 : 원/kWh) </t>
    <phoneticPr fontId="12" type="noConversion"/>
  </si>
  <si>
    <t>구   분</t>
  </si>
  <si>
    <t>구        입        량</t>
    <phoneticPr fontId="12" type="noConversion"/>
  </si>
  <si>
    <t>구       입       금       액</t>
    <phoneticPr fontId="12" type="noConversion"/>
  </si>
  <si>
    <t>구       입       단       가</t>
    <phoneticPr fontId="12" type="noConversion"/>
  </si>
  <si>
    <t xml:space="preserve">합   계 </t>
  </si>
  <si>
    <t>대체에너지</t>
  </si>
  <si>
    <t xml:space="preserve">합  계 </t>
    <phoneticPr fontId="12" type="noConversion"/>
  </si>
  <si>
    <t>DIV0</t>
  </si>
  <si>
    <t xml:space="preserve">   주1) '07. 2월 이후 구역전기사업자 시장구입분 포함  </t>
    <phoneticPr fontId="12" type="noConversion"/>
  </si>
  <si>
    <t>주1) 구입금액은 제약비양수 정산금(COFPE)이 반영된 금액임</t>
    <phoneticPr fontId="12" type="noConversion"/>
  </si>
  <si>
    <t xml:space="preserve">   주2) 대체에너지 : 태양광, 풍력 등 신재생에너지(일반수력, 소수력은 수력으로 별도 구분)</t>
    <phoneticPr fontId="12" type="noConversion"/>
  </si>
  <si>
    <t>주2) 전력기반기금의 지원금액 제외</t>
    <phoneticPr fontId="12" type="noConversion"/>
  </si>
  <si>
    <t>주3) 정산기준, RPS 제외</t>
    <phoneticPr fontId="12" type="noConversion"/>
  </si>
  <si>
    <t xml:space="preserve">주4) 기타 : DR, 부생가스('19.10월부터), 폐기물('20.1월부터), 구역전기(한전 직거래) 등 </t>
  </si>
  <si>
    <t>주5) '26.1 무연탄 구입금액에 ECR 포함</t>
    <phoneticPr fontId="12" type="noConversion"/>
  </si>
  <si>
    <t>14. 전력시장 발전회사별 전력구입실적 (1/3)</t>
    <phoneticPr fontId="12" type="noConversion"/>
  </si>
  <si>
    <t>14. 전력시장 발전회사별 전력구입실적 (2/3)</t>
    <phoneticPr fontId="12" type="noConversion"/>
  </si>
  <si>
    <t>14. 전력시장 발전회사별 전력구입실적 (3/3)</t>
    <phoneticPr fontId="12" type="noConversion"/>
  </si>
  <si>
    <t xml:space="preserve">      Market Power Purchase Results by Companies (1/3)</t>
    <phoneticPr fontId="12" type="noConversion"/>
  </si>
  <si>
    <t xml:space="preserve">      Market Power Purchase Results by Companies (2/3)</t>
    <phoneticPr fontId="12" type="noConversion"/>
  </si>
  <si>
    <t xml:space="preserve">      Market Power Purchase Results by Companies (3/3)</t>
    <phoneticPr fontId="12" type="noConversion"/>
  </si>
  <si>
    <t xml:space="preserve">        (단위 : GWh) </t>
    <phoneticPr fontId="12" type="noConversion"/>
  </si>
  <si>
    <t xml:space="preserve">         (단위 : 억원) </t>
    <phoneticPr fontId="12" type="noConversion"/>
  </si>
  <si>
    <t xml:space="preserve">     (단위 : 원/kWh) </t>
    <phoneticPr fontId="12" type="noConversion"/>
  </si>
  <si>
    <t>남   동</t>
    <phoneticPr fontId="12" type="noConversion"/>
  </si>
  <si>
    <t>중   부</t>
    <phoneticPr fontId="12" type="noConversion"/>
  </si>
  <si>
    <t>서   부</t>
    <phoneticPr fontId="12" type="noConversion"/>
  </si>
  <si>
    <t>남   부</t>
    <phoneticPr fontId="12" type="noConversion"/>
  </si>
  <si>
    <t>동   서</t>
    <phoneticPr fontId="12" type="noConversion"/>
  </si>
  <si>
    <t>기   타</t>
    <phoneticPr fontId="12" type="noConversion"/>
  </si>
  <si>
    <t>평  균</t>
    <phoneticPr fontId="12" type="noConversion"/>
  </si>
  <si>
    <t>주1) 거래금액은 제약비양수 정산금(COFPE)이 반영된 금액임</t>
    <phoneticPr fontId="12" type="noConversion"/>
  </si>
  <si>
    <t xml:space="preserve">   주2) 기타 : IPP중 전력시장에 참여하고 있는 발전사업자</t>
    <phoneticPr fontId="12" type="noConversion"/>
  </si>
  <si>
    <t>주4) DR 정산금은 기타회사에 포함</t>
  </si>
  <si>
    <t>15. 전력시장 가격 및 정산단가</t>
    <phoneticPr fontId="12" type="noConversion"/>
  </si>
  <si>
    <t xml:space="preserve">      Market Price &amp;  Unit Cost of Settlement </t>
    <phoneticPr fontId="12" type="noConversion"/>
  </si>
  <si>
    <t xml:space="preserve">               (단위 : 원/kWh, 원/kW-h) </t>
  </si>
  <si>
    <t>시  장  가  격</t>
    <phoneticPr fontId="12" type="noConversion"/>
  </si>
  <si>
    <t>가 격 결 정 요 소 별    정 산 단 가</t>
    <phoneticPr fontId="12" type="noConversion"/>
  </si>
  <si>
    <t>S M P</t>
    <phoneticPr fontId="12" type="noConversion"/>
  </si>
  <si>
    <t>S E P + M E P</t>
    <phoneticPr fontId="12" type="noConversion"/>
  </si>
  <si>
    <t>C P</t>
    <phoneticPr fontId="12" type="noConversion"/>
  </si>
  <si>
    <t xml:space="preserve">계 </t>
  </si>
  <si>
    <t xml:space="preserve">   주1) 가격결정요소 정산단가는 SMP, 정산보정계수 등으로 산출됨</t>
    <phoneticPr fontId="12" type="noConversion"/>
  </si>
  <si>
    <t xml:space="preserve">   주2) SEP/MEP(원/kWh) : 각 발전기의 거래시간별 전력량에 대한 정산금액</t>
  </si>
  <si>
    <t xml:space="preserve">         CP(원/kW-h) : 공급가능용량에 대하여 지급하는 정산금(용량정산금)</t>
  </si>
  <si>
    <t xml:space="preserve">         기타(원/kWh) : CON, COFF, XPRG, EBCO, A/S 등(~22.8월까지) / MWP, MAP, LOCRP 등(22.9월~)</t>
  </si>
  <si>
    <t xml:space="preserve">   주3) 정산기준, RPS 제외</t>
    <phoneticPr fontId="12" type="noConversion"/>
  </si>
  <si>
    <t>16. 전력구입실적 (PPA)</t>
    <phoneticPr fontId="10" type="noConversion"/>
  </si>
  <si>
    <t xml:space="preserve">      Power Purchase Results (PPA)</t>
    <phoneticPr fontId="10" type="noConversion"/>
  </si>
  <si>
    <t>원  별</t>
    <phoneticPr fontId="10" type="noConversion"/>
  </si>
  <si>
    <t>구  분</t>
    <phoneticPr fontId="10" type="noConversion"/>
  </si>
  <si>
    <t>단위</t>
    <phoneticPr fontId="10" type="noConversion"/>
  </si>
  <si>
    <t>2025년</t>
    <phoneticPr fontId="10" type="noConversion"/>
  </si>
  <si>
    <t>2026년</t>
    <phoneticPr fontId="10" type="noConversion"/>
  </si>
  <si>
    <t>4월</t>
    <phoneticPr fontId="10" type="noConversion"/>
  </si>
  <si>
    <t>1~4월</t>
    <phoneticPr fontId="10" type="noConversion"/>
  </si>
  <si>
    <t>2026년 4월</t>
    <phoneticPr fontId="10" type="noConversion"/>
  </si>
  <si>
    <t>복    합
화    력</t>
    <phoneticPr fontId="10" type="noConversion"/>
  </si>
  <si>
    <t>시설용량</t>
    <phoneticPr fontId="10" type="noConversion"/>
  </si>
  <si>
    <t>MW</t>
    <phoneticPr fontId="10" type="noConversion"/>
  </si>
  <si>
    <t>발전기 수</t>
  </si>
  <si>
    <t>개</t>
    <phoneticPr fontId="10" type="noConversion"/>
  </si>
  <si>
    <t>구입전력량</t>
  </si>
  <si>
    <t>MWh</t>
    <phoneticPr fontId="10" type="noConversion"/>
  </si>
  <si>
    <t>백만원</t>
    <phoneticPr fontId="10" type="noConversion"/>
  </si>
  <si>
    <t>단가</t>
    <phoneticPr fontId="10" type="noConversion"/>
  </si>
  <si>
    <t>신
재
생</t>
    <phoneticPr fontId="10" type="noConversion"/>
  </si>
  <si>
    <t>소
수
력</t>
    <phoneticPr fontId="10" type="noConversion"/>
  </si>
  <si>
    <t>바
이
오</t>
    <phoneticPr fontId="10" type="noConversion"/>
  </si>
  <si>
    <t>풍
력</t>
    <phoneticPr fontId="10" type="noConversion"/>
  </si>
  <si>
    <t>연
료
전
지</t>
    <phoneticPr fontId="10" type="noConversion"/>
  </si>
  <si>
    <t>해
양</t>
    <phoneticPr fontId="10" type="noConversion"/>
  </si>
  <si>
    <t>태
양
광</t>
    <phoneticPr fontId="10" type="noConversion"/>
  </si>
  <si>
    <t>소
계</t>
    <phoneticPr fontId="10" type="noConversion"/>
  </si>
  <si>
    <t>구    역
전    기</t>
    <phoneticPr fontId="10" type="noConversion"/>
  </si>
  <si>
    <t>기     타</t>
    <phoneticPr fontId="10" type="noConversion"/>
  </si>
  <si>
    <t>총     계</t>
    <phoneticPr fontId="10" type="noConversion"/>
  </si>
  <si>
    <t xml:space="preserve">   주1) 정산기준, PPA 실적은 익월 확정</t>
    <phoneticPr fontId="12" type="noConversion"/>
  </si>
  <si>
    <t xml:space="preserve">   주2) 구역전기 : 허가받은 공급구역 내 전기와 열을 동시에 공급</t>
    <phoneticPr fontId="12" type="noConversion"/>
  </si>
  <si>
    <t xml:space="preserve">   주3) 기타 : 폐기물에너지('20년 1월부터 신재생에서 기타로 분류)</t>
    <phoneticPr fontId="10" type="noConversion"/>
  </si>
  <si>
    <t xml:space="preserve">   주4) '23년 1월 이후 신재생에 제3자PPA 포함(발전실적에는 '23년 8월 이후 포함)</t>
    <phoneticPr fontId="10" type="noConversion"/>
  </si>
  <si>
    <t>16-1.  태양광 발전량 추계정보</t>
    <phoneticPr fontId="12" type="noConversion"/>
  </si>
  <si>
    <t>○ 태양광 발전량(추계치)</t>
    <phoneticPr fontId="12" type="noConversion"/>
  </si>
  <si>
    <t xml:space="preserve">(단위: MWh) </t>
    <phoneticPr fontId="12" type="noConversion"/>
  </si>
  <si>
    <t>전력시장 참여(실적)</t>
    <phoneticPr fontId="12" type="noConversion"/>
  </si>
  <si>
    <t>한전PPA(실적)</t>
    <phoneticPr fontId="12" type="noConversion"/>
  </si>
  <si>
    <t>자가용태양광(추계)</t>
    <phoneticPr fontId="12" type="noConversion"/>
  </si>
  <si>
    <t>772,935</t>
  </si>
  <si>
    <t>693,284</t>
  </si>
  <si>
    <t xml:space="preserve">   주1) 해당 정보는 `21.7월부터 작성</t>
    <phoneticPr fontId="12" type="noConversion"/>
  </si>
  <si>
    <t xml:space="preserve">   주4) 자가용태양광은 전력거래소에서 추정치로 공표</t>
    <phoneticPr fontId="12" type="noConversion"/>
  </si>
  <si>
    <t xml:space="preserve">   주5) 정산기준, PPA 전력구입량 실적은 16. PPA 실적으로 확인필요</t>
    <phoneticPr fontId="12" type="noConversion"/>
  </si>
  <si>
    <t>Ⅴ. 전력 판매</t>
    <phoneticPr fontId="5" type="noConversion"/>
  </si>
  <si>
    <t>17.  전력판매실적 (종합)</t>
    <phoneticPr fontId="5" type="noConversion"/>
  </si>
  <si>
    <t>18.  계약종별 (판매량, 호수, 판매수입)</t>
    <phoneticPr fontId="5" type="noConversion"/>
  </si>
  <si>
    <t>19.  용도별 (판매량, 호수, 판매수입)</t>
    <phoneticPr fontId="5" type="noConversion"/>
  </si>
  <si>
    <t>20.  행정구역별 (판매량, 호수, 판매수입)</t>
    <phoneticPr fontId="5" type="noConversion"/>
  </si>
  <si>
    <t>21.  산업분류 및 행정구역별</t>
    <phoneticPr fontId="5" type="noConversion"/>
  </si>
  <si>
    <t>17. 전력판매실적 종합</t>
    <phoneticPr fontId="12" type="noConversion"/>
  </si>
  <si>
    <t xml:space="preserve">      Summary of Customers and Power Sold </t>
    <phoneticPr fontId="12" type="noConversion"/>
  </si>
  <si>
    <t xml:space="preserve"> </t>
  </si>
  <si>
    <t>고 객 호 수  (1,000호)</t>
    <phoneticPr fontId="12" type="noConversion"/>
  </si>
  <si>
    <t>*요금적용
전력(MW)</t>
    <phoneticPr fontId="12" type="noConversion"/>
  </si>
  <si>
    <t xml:space="preserve">       판                  매                  량           </t>
    <phoneticPr fontId="12" type="noConversion"/>
  </si>
  <si>
    <t xml:space="preserve">    (MWh)</t>
    <phoneticPr fontId="12" type="noConversion"/>
  </si>
  <si>
    <t>판      매      수      입     (백만원)</t>
    <phoneticPr fontId="12" type="noConversion"/>
  </si>
  <si>
    <t>판  매  단  가  (원/kWh)</t>
    <phoneticPr fontId="12" type="noConversion"/>
  </si>
  <si>
    <t>저  압</t>
    <phoneticPr fontId="12" type="noConversion"/>
  </si>
  <si>
    <t>고  압</t>
    <phoneticPr fontId="12" type="noConversion"/>
  </si>
  <si>
    <t>증감률(%)</t>
    <phoneticPr fontId="12" type="noConversion"/>
  </si>
  <si>
    <t xml:space="preserve">   주) 요금적용전력 : 순수주택용 및 심야(갑)을 제외한 그 밖의 종별에 있어서 기본요금의 계산기준이 되는 전력</t>
    <phoneticPr fontId="12" type="noConversion"/>
  </si>
  <si>
    <t>18. 계약종별 판매량</t>
    <phoneticPr fontId="12" type="noConversion"/>
  </si>
  <si>
    <t xml:space="preserve">      Power Sold by Segments </t>
    <phoneticPr fontId="12" type="noConversion"/>
  </si>
  <si>
    <t xml:space="preserve">          (단위 : MWh, %) </t>
    <phoneticPr fontId="12" type="noConversion"/>
  </si>
  <si>
    <t>주 택 용</t>
    <phoneticPr fontId="12" type="noConversion"/>
  </si>
  <si>
    <t>일 반 용</t>
    <phoneticPr fontId="12" type="noConversion"/>
  </si>
  <si>
    <t>교 육 용</t>
    <phoneticPr fontId="12" type="noConversion"/>
  </si>
  <si>
    <t>산 업 용</t>
    <phoneticPr fontId="12" type="noConversion"/>
  </si>
  <si>
    <t>농 사 용</t>
    <phoneticPr fontId="12" type="noConversion"/>
  </si>
  <si>
    <t>가 로 등</t>
    <phoneticPr fontId="12" type="noConversion"/>
  </si>
  <si>
    <t>심    야</t>
    <phoneticPr fontId="12" type="noConversion"/>
  </si>
  <si>
    <t xml:space="preserve">   주)  증감률은 전년 동기 대비</t>
    <phoneticPr fontId="12" type="noConversion"/>
  </si>
  <si>
    <t>18-1. 계약종별 수용호수</t>
    <phoneticPr fontId="12" type="noConversion"/>
  </si>
  <si>
    <t xml:space="preserve">         Customers by Segments </t>
    <phoneticPr fontId="12" type="noConversion"/>
  </si>
  <si>
    <t xml:space="preserve">          (단위 : 호, %) </t>
    <phoneticPr fontId="12" type="noConversion"/>
  </si>
  <si>
    <t>18-2. 계약종별 판매수입</t>
    <phoneticPr fontId="12" type="noConversion"/>
  </si>
  <si>
    <t xml:space="preserve">         Revenues from Sales by Segments </t>
    <phoneticPr fontId="12" type="noConversion"/>
  </si>
  <si>
    <t xml:space="preserve">(단위 : 백만원, %) </t>
    <phoneticPr fontId="12" type="noConversion"/>
  </si>
  <si>
    <t>산 업 용</t>
  </si>
  <si>
    <t xml:space="preserve">   1)  증감률은 전년 동기 대비,</t>
    <phoneticPr fontId="12" type="noConversion"/>
  </si>
  <si>
    <t xml:space="preserve">   2)  '02. 1월부터 전력산업기반기금 제외, 양수펌핑수익 불포함</t>
    <phoneticPr fontId="12" type="noConversion"/>
  </si>
  <si>
    <t>19. 용도별 판매전력량</t>
    <phoneticPr fontId="12" type="noConversion"/>
  </si>
  <si>
    <t xml:space="preserve">      Power Sold by Use &amp; Industry </t>
    <phoneticPr fontId="12" type="noConversion"/>
  </si>
  <si>
    <t>가정용 (증감률)</t>
  </si>
  <si>
    <t>공 공   및   서 비 스 부 문</t>
    <phoneticPr fontId="12" type="noConversion"/>
  </si>
  <si>
    <t>생               산               부               문</t>
    <phoneticPr fontId="12" type="noConversion"/>
  </si>
  <si>
    <t>합   계  (증감률)</t>
  </si>
  <si>
    <t>공공용 (증감률)</t>
  </si>
  <si>
    <t>서비스업 및 기타 (증감률)</t>
    <phoneticPr fontId="12" type="noConversion"/>
  </si>
  <si>
    <t>소   계  (증감률)</t>
  </si>
  <si>
    <t>농림어업(증감률)</t>
    <phoneticPr fontId="12" type="noConversion"/>
  </si>
  <si>
    <t>광  업 (증감률)</t>
    <phoneticPr fontId="12" type="noConversion"/>
  </si>
  <si>
    <t>제조업 (증감률)</t>
    <phoneticPr fontId="12" type="noConversion"/>
  </si>
  <si>
    <t>소 계  (증감률)</t>
  </si>
  <si>
    <t xml:space="preserve">  주1)  증감률은 전년 동기 대비  </t>
    <phoneticPr fontId="12" type="noConversion"/>
  </si>
  <si>
    <t xml:space="preserve">  주2)  제10차 한국표준산업분류 개정으로 새 분류표 적용('18년 이후)</t>
    <phoneticPr fontId="12" type="noConversion"/>
  </si>
  <si>
    <t>19-1. 용도별 수용호수</t>
    <phoneticPr fontId="12" type="noConversion"/>
  </si>
  <si>
    <t xml:space="preserve">         Customers by Use &amp; Industry </t>
    <phoneticPr fontId="12" type="noConversion"/>
  </si>
  <si>
    <t xml:space="preserve">(단위 : 호, %) </t>
    <phoneticPr fontId="12" type="noConversion"/>
  </si>
  <si>
    <t>19-2. 용도별 판매수입</t>
    <phoneticPr fontId="12" type="noConversion"/>
  </si>
  <si>
    <t xml:space="preserve">         Revenues from Sales by Use &amp; Industry </t>
    <phoneticPr fontId="12" type="noConversion"/>
  </si>
  <si>
    <t xml:space="preserve">  주3) 양수펌핑수입 불포함</t>
    <phoneticPr fontId="12" type="noConversion"/>
  </si>
  <si>
    <t>20. 행정구역별 판매량</t>
    <phoneticPr fontId="12" type="noConversion"/>
  </si>
  <si>
    <t xml:space="preserve">      Power Sold by Province </t>
    <phoneticPr fontId="12" type="noConversion"/>
  </si>
  <si>
    <t xml:space="preserve">                  (단위 : MWh) </t>
    <phoneticPr fontId="12" type="noConversion"/>
  </si>
  <si>
    <t>서  울</t>
    <phoneticPr fontId="12" type="noConversion"/>
  </si>
  <si>
    <t>부  산</t>
    <phoneticPr fontId="12" type="noConversion"/>
  </si>
  <si>
    <t>대  구</t>
    <phoneticPr fontId="12" type="noConversion"/>
  </si>
  <si>
    <t>인  천</t>
    <phoneticPr fontId="12" type="noConversion"/>
  </si>
  <si>
    <t>광  주</t>
    <phoneticPr fontId="12" type="noConversion"/>
  </si>
  <si>
    <t>대  전</t>
    <phoneticPr fontId="12" type="noConversion"/>
  </si>
  <si>
    <t>울  산</t>
    <phoneticPr fontId="12" type="noConversion"/>
  </si>
  <si>
    <t>세  종</t>
    <phoneticPr fontId="12" type="noConversion"/>
  </si>
  <si>
    <t>경  기</t>
  </si>
  <si>
    <t>강  원</t>
  </si>
  <si>
    <t>충  북</t>
  </si>
  <si>
    <t>충  남</t>
  </si>
  <si>
    <t>전  북</t>
  </si>
  <si>
    <t>전  남</t>
  </si>
  <si>
    <t>경  북</t>
  </si>
  <si>
    <t>경  남</t>
  </si>
  <si>
    <t>제  주</t>
  </si>
  <si>
    <t>황  북</t>
    <phoneticPr fontId="12" type="noConversion"/>
  </si>
  <si>
    <t>합   계</t>
  </si>
  <si>
    <t xml:space="preserve">   주1)  2012년 10월부터 세종시 실적을 충남에서 분리</t>
    <phoneticPr fontId="12" type="noConversion"/>
  </si>
  <si>
    <t>20-1. 행정구역별 수용호수</t>
    <phoneticPr fontId="12" type="noConversion"/>
  </si>
  <si>
    <t xml:space="preserve">         Customers by Province </t>
    <phoneticPr fontId="12" type="noConversion"/>
  </si>
  <si>
    <t xml:space="preserve">                  (단위 : 호) </t>
    <phoneticPr fontId="12" type="noConversion"/>
  </si>
  <si>
    <t>황 북</t>
    <phoneticPr fontId="12" type="noConversion"/>
  </si>
  <si>
    <t>20-2. 행정구역별 판매수입</t>
    <phoneticPr fontId="12" type="noConversion"/>
  </si>
  <si>
    <t xml:space="preserve">         Revenues from Sales by Province </t>
    <phoneticPr fontId="12" type="noConversion"/>
  </si>
  <si>
    <t xml:space="preserve">                   (단위 : 백만원) </t>
    <phoneticPr fontId="12" type="noConversion"/>
  </si>
  <si>
    <t xml:space="preserve"> 주2) 양수펌핑수익 불포함</t>
    <phoneticPr fontId="12" type="noConversion"/>
  </si>
  <si>
    <t>20-3. 행정구역별 계약종별 판매량</t>
    <phoneticPr fontId="12" type="noConversion"/>
  </si>
  <si>
    <t xml:space="preserve">       Power Sold by Province &amp; Segments</t>
    <phoneticPr fontId="12" type="noConversion"/>
  </si>
  <si>
    <t xml:space="preserve">      (단위 : MWh) </t>
    <phoneticPr fontId="12" type="noConversion"/>
  </si>
  <si>
    <t>구              분</t>
  </si>
  <si>
    <t>서  울</t>
  </si>
  <si>
    <r>
      <t>황 북</t>
    </r>
    <r>
      <rPr>
        <vertAlign val="superscript"/>
        <sz val="8"/>
        <rFont val="맑은 고딕"/>
        <family val="3"/>
        <charset val="129"/>
        <scheme val="minor"/>
      </rPr>
      <t xml:space="preserve"> </t>
    </r>
    <phoneticPr fontId="12" type="noConversion"/>
  </si>
  <si>
    <t>합    계</t>
  </si>
  <si>
    <t>2025.
누계
(01~04)</t>
    <phoneticPr fontId="12" type="noConversion"/>
  </si>
  <si>
    <t>주택용</t>
  </si>
  <si>
    <t>일반용</t>
  </si>
  <si>
    <t>교육용</t>
  </si>
  <si>
    <t>산업용</t>
  </si>
  <si>
    <t>농사용</t>
  </si>
  <si>
    <t>가로등</t>
  </si>
  <si>
    <t>심야</t>
  </si>
  <si>
    <t>2026.
누계
(01~04)</t>
    <phoneticPr fontId="12" type="noConversion"/>
  </si>
  <si>
    <t>2025.
04</t>
    <phoneticPr fontId="12" type="noConversion"/>
  </si>
  <si>
    <t>21. 산업분류별 판매량</t>
    <phoneticPr fontId="12" type="noConversion"/>
  </si>
  <si>
    <t xml:space="preserve">      Power Sold by Industry </t>
    <phoneticPr fontId="12" type="noConversion"/>
  </si>
  <si>
    <t>가      정      용</t>
  </si>
  <si>
    <t>공      공      용</t>
    <phoneticPr fontId="12" type="noConversion"/>
  </si>
  <si>
    <t>서비스업 및 기타</t>
    <phoneticPr fontId="12" type="noConversion"/>
  </si>
  <si>
    <t>농   림   어   업</t>
    <phoneticPr fontId="12" type="noConversion"/>
  </si>
  <si>
    <t>광               업</t>
    <phoneticPr fontId="12" type="noConversion"/>
  </si>
  <si>
    <t>소     계</t>
    <phoneticPr fontId="12" type="noConversion"/>
  </si>
  <si>
    <t>식 료 품</t>
    <phoneticPr fontId="12" type="noConversion"/>
  </si>
  <si>
    <t>음     료</t>
    <phoneticPr fontId="12" type="noConversion"/>
  </si>
  <si>
    <t>담     배</t>
    <phoneticPr fontId="12" type="noConversion"/>
  </si>
  <si>
    <t>제</t>
    <phoneticPr fontId="12" type="noConversion"/>
  </si>
  <si>
    <t>섬유제품</t>
    <phoneticPr fontId="12" type="noConversion"/>
  </si>
  <si>
    <t>의복·모피</t>
    <phoneticPr fontId="12" type="noConversion"/>
  </si>
  <si>
    <t>가죽·가방</t>
    <phoneticPr fontId="12" type="noConversion"/>
  </si>
  <si>
    <t>목재·나무</t>
    <phoneticPr fontId="12" type="noConversion"/>
  </si>
  <si>
    <t>펄프·종이</t>
    <phoneticPr fontId="12" type="noConversion"/>
  </si>
  <si>
    <t>인쇄·매체</t>
    <phoneticPr fontId="12" type="noConversion"/>
  </si>
  <si>
    <t>연탄·석유</t>
    <phoneticPr fontId="12" type="noConversion"/>
  </si>
  <si>
    <t>조</t>
    <phoneticPr fontId="12" type="noConversion"/>
  </si>
  <si>
    <t>화     학</t>
    <phoneticPr fontId="12" type="noConversion"/>
  </si>
  <si>
    <t>의료·의약</t>
    <phoneticPr fontId="12" type="noConversion"/>
  </si>
  <si>
    <t>플라스틱</t>
    <phoneticPr fontId="12" type="noConversion"/>
  </si>
  <si>
    <t>비 금 속</t>
    <phoneticPr fontId="12" type="noConversion"/>
  </si>
  <si>
    <t>1차 금속</t>
    <phoneticPr fontId="12" type="noConversion"/>
  </si>
  <si>
    <t>금속가공</t>
    <phoneticPr fontId="12" type="noConversion"/>
  </si>
  <si>
    <t>전자·통신</t>
    <phoneticPr fontId="12" type="noConversion"/>
  </si>
  <si>
    <t>업</t>
    <phoneticPr fontId="12" type="noConversion"/>
  </si>
  <si>
    <t>의료·광학</t>
    <phoneticPr fontId="12" type="noConversion"/>
  </si>
  <si>
    <t>전기장비</t>
    <phoneticPr fontId="12" type="noConversion"/>
  </si>
  <si>
    <t>기타기계</t>
    <phoneticPr fontId="12" type="noConversion"/>
  </si>
  <si>
    <t>자 동 차</t>
    <phoneticPr fontId="12" type="noConversion"/>
  </si>
  <si>
    <t>기타운송</t>
    <phoneticPr fontId="12" type="noConversion"/>
  </si>
  <si>
    <t>가     구</t>
    <phoneticPr fontId="12" type="noConversion"/>
  </si>
  <si>
    <t>기타 제품</t>
    <phoneticPr fontId="12" type="noConversion"/>
  </si>
  <si>
    <t>산업기계</t>
    <phoneticPr fontId="12" type="noConversion"/>
  </si>
  <si>
    <t>합            계</t>
  </si>
  <si>
    <t xml:space="preserve">  주)  제10차 한국표준산업분류 개정으로 새 분류표 적용('18년 이후)</t>
    <phoneticPr fontId="12" type="noConversion"/>
  </si>
  <si>
    <t>21-1. 산업분류별 행정구역별 판매량</t>
    <phoneticPr fontId="12" type="noConversion"/>
  </si>
  <si>
    <t xml:space="preserve">        Power Sold by Industry &amp; Province </t>
    <phoneticPr fontId="12" type="noConversion"/>
  </si>
  <si>
    <t>(2026.04)</t>
    <phoneticPr fontId="12" type="noConversion"/>
  </si>
  <si>
    <t>부  산</t>
  </si>
  <si>
    <t>대  구</t>
  </si>
  <si>
    <t>인  천</t>
  </si>
  <si>
    <t>광  주</t>
  </si>
  <si>
    <t>대  전</t>
  </si>
  <si>
    <t>울  산</t>
  </si>
  <si>
    <t>세  종</t>
  </si>
  <si>
    <r>
      <t>황  북</t>
    </r>
    <r>
      <rPr>
        <vertAlign val="superscript"/>
        <sz val="8"/>
        <rFont val="맑은 고딕"/>
        <family val="3"/>
        <charset val="129"/>
        <scheme val="minor"/>
      </rPr>
      <t>주2)</t>
    </r>
    <phoneticPr fontId="12" type="noConversion"/>
  </si>
  <si>
    <t xml:space="preserve">  주1)  제10차 한국표준산업분류 개정으로 새 분류표 적용('18년 이후)</t>
    <phoneticPr fontId="12" type="noConversion"/>
  </si>
  <si>
    <t xml:space="preserve">  주2)  개성지사 판매 부분</t>
    <phoneticPr fontId="12" type="noConversion"/>
  </si>
  <si>
    <t>21-2. 산업분류별 행정구역별 판매량(누계)</t>
    <phoneticPr fontId="12" type="noConversion"/>
  </si>
  <si>
    <t>(2026. 01 ∼ 2026. 04)</t>
    <phoneticPr fontId="12" type="noConversion"/>
  </si>
  <si>
    <t>Ⅵ. 기    타</t>
    <phoneticPr fontId="5" type="noConversion"/>
  </si>
  <si>
    <t>22.  전력수급실적</t>
    <phoneticPr fontId="5" type="noConversion"/>
  </si>
  <si>
    <t>23.  인원</t>
    <phoneticPr fontId="5" type="noConversion"/>
  </si>
  <si>
    <t>22. 전력수급실적 (월별)</t>
    <phoneticPr fontId="12" type="noConversion"/>
  </si>
  <si>
    <t xml:space="preserve">     Power Supply &amp; Demand by Month</t>
    <phoneticPr fontId="12" type="noConversion"/>
  </si>
  <si>
    <t xml:space="preserve"> (단위 : MW, %) </t>
    <phoneticPr fontId="12" type="noConversion"/>
  </si>
  <si>
    <t>설비용량</t>
    <phoneticPr fontId="12" type="noConversion"/>
  </si>
  <si>
    <t>공급능력</t>
    <phoneticPr fontId="12" type="noConversion"/>
  </si>
  <si>
    <t>최대전력</t>
    <phoneticPr fontId="12" type="noConversion"/>
  </si>
  <si>
    <t>평균전력</t>
    <phoneticPr fontId="12" type="noConversion"/>
  </si>
  <si>
    <t>평   균
부하율</t>
    <phoneticPr fontId="12" type="noConversion"/>
  </si>
  <si>
    <t>평   균
이용률</t>
    <phoneticPr fontId="12" type="noConversion"/>
  </si>
  <si>
    <t>12.17(수)</t>
  </si>
  <si>
    <t>2.9(월)</t>
  </si>
  <si>
    <t>8.12(금)</t>
  </si>
  <si>
    <t>12.12(화)</t>
  </si>
  <si>
    <t>7. 24(화)</t>
  </si>
  <si>
    <t>8.13(화)</t>
  </si>
  <si>
    <t>8. 26(수)</t>
  </si>
  <si>
    <t>7. 27(화)</t>
  </si>
  <si>
    <t xml:space="preserve">   ※  기울임체는 잠정실적</t>
    <phoneticPr fontId="12" type="noConversion"/>
  </si>
  <si>
    <t xml:space="preserve">   주1)  상기 실적은 최대전력 발생시점 기준임. 단, 평균전력, 평균부하율, 평균이용률은 최대전력 발생시점 기준이 아닌 해당월 전체 평균값임</t>
    <phoneticPr fontId="12" type="noConversion"/>
  </si>
  <si>
    <t xml:space="preserve">   주2)  설비예비율[%] = (설비용량-최대전력) / 최대전력×100</t>
    <phoneticPr fontId="12" type="noConversion"/>
  </si>
  <si>
    <t xml:space="preserve">   주3)  공급예비율[%] = (공급능력-최대전력) / 최대전력×100</t>
    <phoneticPr fontId="12" type="noConversion"/>
  </si>
  <si>
    <t xml:space="preserve">   주4)  부하율 [%] = (평균전력 / 최대전력)×100</t>
    <phoneticPr fontId="12" type="noConversion"/>
  </si>
  <si>
    <t xml:space="preserve">   주5)  이용률 [%] = (평균전력 / 설비용량)×100</t>
    <phoneticPr fontId="12" type="noConversion"/>
  </si>
  <si>
    <t>설   비
예비력</t>
    <phoneticPr fontId="12" type="noConversion"/>
  </si>
  <si>
    <t xml:space="preserve"> 2026   1-4</t>
  </si>
  <si>
    <t xml:space="preserve">            5</t>
  </si>
  <si>
    <t xml:space="preserve">            6</t>
  </si>
  <si>
    <t xml:space="preserve">            7</t>
  </si>
  <si>
    <t xml:space="preserve">            8</t>
  </si>
  <si>
    <t xml:space="preserve">            9</t>
  </si>
  <si>
    <t xml:space="preserve">            10</t>
  </si>
  <si>
    <t xml:space="preserve">            11</t>
  </si>
  <si>
    <t xml:space="preserve">            12</t>
  </si>
  <si>
    <t>8. 20(화)</t>
  </si>
  <si>
    <t>8. 7(월)</t>
  </si>
  <si>
    <t>12. 23(금)</t>
  </si>
  <si>
    <t>최대전력</t>
  </si>
  <si>
    <t>22-1. 전력수급실적 (일별)</t>
    <phoneticPr fontId="12" type="noConversion"/>
  </si>
  <si>
    <t xml:space="preserve">        Power Supply &amp; Demand by Day</t>
    <phoneticPr fontId="12" type="noConversion"/>
  </si>
  <si>
    <t>설   비
예비율</t>
    <phoneticPr fontId="12" type="noConversion"/>
  </si>
  <si>
    <t>공   급
예비력</t>
    <phoneticPr fontId="12" type="noConversion"/>
  </si>
  <si>
    <t>공   급
예비율</t>
    <phoneticPr fontId="12" type="noConversion"/>
  </si>
  <si>
    <t>구     분</t>
  </si>
  <si>
    <t>04월01일</t>
  </si>
  <si>
    <t>수요일</t>
  </si>
  <si>
    <t>04월02일</t>
  </si>
  <si>
    <t>목요일</t>
  </si>
  <si>
    <t>04월03일</t>
  </si>
  <si>
    <t>금요일</t>
  </si>
  <si>
    <t>04월04일</t>
  </si>
  <si>
    <t>토요일</t>
  </si>
  <si>
    <t>04월05일</t>
  </si>
  <si>
    <t>일요일</t>
  </si>
  <si>
    <t>04월06일</t>
  </si>
  <si>
    <t>월요일</t>
  </si>
  <si>
    <t>04월07일</t>
  </si>
  <si>
    <t>화요일</t>
  </si>
  <si>
    <t>04월08일</t>
  </si>
  <si>
    <t>04월09일</t>
  </si>
  <si>
    <t>04월10일</t>
  </si>
  <si>
    <t>04월11일</t>
  </si>
  <si>
    <t>04월12일</t>
  </si>
  <si>
    <t>04월13일</t>
  </si>
  <si>
    <t>04월14일</t>
  </si>
  <si>
    <t>04월15일</t>
  </si>
  <si>
    <t>04월16일</t>
  </si>
  <si>
    <t>04월17일</t>
  </si>
  <si>
    <t>04월18일</t>
  </si>
  <si>
    <t>04월19일</t>
  </si>
  <si>
    <t>04월20일</t>
  </si>
  <si>
    <t>04월21일</t>
  </si>
  <si>
    <t>04월22일</t>
  </si>
  <si>
    <t>04월23일</t>
  </si>
  <si>
    <t>04월24일</t>
  </si>
  <si>
    <t>04월25일</t>
  </si>
  <si>
    <t>04월26일</t>
  </si>
  <si>
    <t>04월27일</t>
  </si>
  <si>
    <t>04월28일</t>
  </si>
  <si>
    <t>04월29일</t>
  </si>
  <si>
    <t>04월30일</t>
  </si>
  <si>
    <t>23. 인원 (회사별)</t>
    <phoneticPr fontId="12" type="noConversion"/>
  </si>
  <si>
    <t xml:space="preserve">      Employees  </t>
    <phoneticPr fontId="12" type="noConversion"/>
  </si>
  <si>
    <t xml:space="preserve">(단위 : 명, %) </t>
    <phoneticPr fontId="12" type="noConversion"/>
  </si>
  <si>
    <t>한</t>
  </si>
  <si>
    <t xml:space="preserve">          </t>
    <phoneticPr fontId="12" type="noConversion"/>
  </si>
  <si>
    <t>전</t>
  </si>
  <si>
    <t>발 전 자 회 사   및   거 래 소</t>
    <phoneticPr fontId="12" type="noConversion"/>
  </si>
  <si>
    <t>합  계</t>
  </si>
  <si>
    <t>증감률</t>
  </si>
  <si>
    <t>임원</t>
  </si>
  <si>
    <t>직속기구</t>
  </si>
  <si>
    <t>기획본부</t>
  </si>
  <si>
    <t>관리본부</t>
  </si>
  <si>
    <t>영업본부</t>
  </si>
  <si>
    <t>협력안전본부</t>
  </si>
  <si>
    <t>신성장동력본부</t>
  </si>
  <si>
    <t>전력계통
본부</t>
  </si>
  <si>
    <t>해외
사업본부</t>
  </si>
  <si>
    <t>원전수출
본부</t>
  </si>
  <si>
    <t>지역본부</t>
  </si>
  <si>
    <t>남 동</t>
  </si>
  <si>
    <t>중 부</t>
  </si>
  <si>
    <t>서 부</t>
  </si>
  <si>
    <t>남 부</t>
  </si>
  <si>
    <t>동 서</t>
  </si>
  <si>
    <t>수력
원자력</t>
  </si>
  <si>
    <t>발전
소계</t>
  </si>
  <si>
    <t>전력
거래소</t>
  </si>
  <si>
    <t>한전</t>
  </si>
  <si>
    <t>전 체</t>
    <phoneticPr fontId="12" type="noConversion"/>
  </si>
  <si>
    <t>임원</t>
    <phoneticPr fontId="12" type="noConversion"/>
  </si>
  <si>
    <t>직속기구</t>
    <phoneticPr fontId="12" type="noConversion"/>
  </si>
  <si>
    <t>기획본부</t>
    <phoneticPr fontId="12" type="noConversion"/>
  </si>
  <si>
    <t>관리본부</t>
    <phoneticPr fontId="12" type="noConversion"/>
  </si>
  <si>
    <t>영업본부</t>
    <phoneticPr fontId="12" type="noConversion"/>
  </si>
  <si>
    <t>상생협력본부</t>
    <phoneticPr fontId="12" type="noConversion"/>
  </si>
  <si>
    <t>기술본부</t>
    <phoneticPr fontId="12" type="noConversion"/>
  </si>
  <si>
    <t>전력계통
본부</t>
    <phoneticPr fontId="12" type="noConversion"/>
  </si>
  <si>
    <t>해외
사업본부</t>
    <phoneticPr fontId="12" type="noConversion"/>
  </si>
  <si>
    <t>원전수출
본부</t>
    <phoneticPr fontId="12" type="noConversion"/>
  </si>
  <si>
    <t>지역본부</t>
    <phoneticPr fontId="12" type="noConversion"/>
  </si>
  <si>
    <t>수력
원자력</t>
    <phoneticPr fontId="12" type="noConversion"/>
  </si>
  <si>
    <t>발전
소계</t>
    <phoneticPr fontId="12" type="noConversion"/>
  </si>
  <si>
    <t>전력
거래소</t>
    <phoneticPr fontId="12" type="noConversion"/>
  </si>
  <si>
    <t>전 체</t>
  </si>
  <si>
    <t>상생발전본부</t>
    <phoneticPr fontId="12" type="noConversion"/>
  </si>
  <si>
    <t>기술혁신
본부</t>
    <phoneticPr fontId="12" type="noConversion"/>
  </si>
  <si>
    <t>전력그리드
본부</t>
    <phoneticPr fontId="12" type="noConversion"/>
  </si>
  <si>
    <t>원전사업
본부</t>
    <phoneticPr fontId="12" type="noConversion"/>
  </si>
  <si>
    <t>경영지원
총괄본부</t>
    <phoneticPr fontId="12" type="noConversion"/>
  </si>
  <si>
    <t>사업총괄
본부</t>
    <phoneticPr fontId="12" type="noConversion"/>
  </si>
  <si>
    <t>상생발전  본부</t>
  </si>
  <si>
    <t>기술혁신
본부</t>
  </si>
  <si>
    <t>전력그리드
본부</t>
  </si>
  <si>
    <t>해외사업
본부</t>
  </si>
  <si>
    <t>미래전략기획본부</t>
  </si>
  <si>
    <t>전력혁신
본부</t>
    <phoneticPr fontId="12" type="noConversion"/>
  </si>
  <si>
    <t>상생관리
본부</t>
    <phoneticPr fontId="12" type="noConversion"/>
  </si>
  <si>
    <t>전력솔루션
본부</t>
    <phoneticPr fontId="12" type="noConversion"/>
  </si>
  <si>
    <t>해외원전
본부</t>
    <phoneticPr fontId="12" type="noConversion"/>
  </si>
  <si>
    <t>상생협력본부</t>
  </si>
  <si>
    <t>전력솔루션
본부</t>
  </si>
  <si>
    <t>신성장&amp;해외사업본부</t>
  </si>
  <si>
    <t>경영관리
부사장</t>
    <phoneticPr fontId="12" type="noConversion"/>
  </si>
  <si>
    <t>상생협력
본부</t>
    <phoneticPr fontId="12" type="noConversion"/>
  </si>
  <si>
    <t>안전&amp;영업배전
부사장</t>
    <phoneticPr fontId="12" type="noConversion"/>
  </si>
  <si>
    <t>해외원전
사업본부</t>
    <phoneticPr fontId="12" type="noConversion"/>
  </si>
  <si>
    <t xml:space="preserve">   주1)  발전부문 및 전력거래소 분리 (2001. 4. 2)</t>
    <phoneticPr fontId="12" type="noConversion"/>
  </si>
  <si>
    <t xml:space="preserve">   주2)  2018년 7월 이후 별정·청경 포함</t>
    <phoneticPr fontId="12" type="noConversion"/>
  </si>
  <si>
    <t>안전&amp;영업배전
부사장</t>
  </si>
  <si>
    <t>해외원전
사업본부</t>
  </si>
  <si>
    <t xml:space="preserve"> 한전(도서)계      [0.1 %]</t>
  </si>
  <si>
    <t xml:space="preserve"> 자회사 계         [52.9 %]</t>
  </si>
  <si>
    <t xml:space="preserve"> 한전,자회사 계   [53 %]</t>
  </si>
  <si>
    <t xml:space="preserve"> 타사발전계        [47 %]</t>
  </si>
  <si>
    <t xml:space="preserve"> 발전  총계         [100 %]</t>
  </si>
  <si>
    <t>4월</t>
  </si>
  <si>
    <t>1~4월</t>
  </si>
  <si>
    <t>8.25(월)</t>
  </si>
  <si>
    <t xml:space="preserve"> 2025   1-4</t>
  </si>
  <si>
    <t>4.14(월)</t>
  </si>
  <si>
    <t>5.21(수)</t>
  </si>
  <si>
    <t>6.30(월)</t>
  </si>
  <si>
    <t>7.8(화)</t>
  </si>
  <si>
    <t>9.1(월)</t>
  </si>
  <si>
    <t>10.15(수)</t>
  </si>
  <si>
    <t>11.18(화)</t>
  </si>
  <si>
    <t>12.23(화)</t>
  </si>
  <si>
    <t>경영관리본부</t>
  </si>
  <si>
    <t>기획부사장</t>
  </si>
  <si>
    <t>전체</t>
  </si>
  <si>
    <t>2025       4</t>
  </si>
  <si>
    <t>2026       1</t>
  </si>
  <si>
    <t>○ 발전원별 발전설비</t>
  </si>
  <si>
    <t>＊석탄 발전설비(kW) :</t>
  </si>
  <si>
    <t>(무연탄)</t>
  </si>
  <si>
    <t>+ (유연탄)</t>
  </si>
  <si>
    <t>+ (집단 유연)</t>
  </si>
  <si>
    <t>+ (집단 바이오혼소)</t>
  </si>
  <si>
    <t>＊ LNG 발전설비(kW) :</t>
  </si>
  <si>
    <t>(기력 LNG)</t>
  </si>
  <si>
    <t>+ (복합 LNG)</t>
  </si>
  <si>
    <t>+ (집단 LNG)</t>
  </si>
  <si>
    <t>＊ 신재생 발전설비(kW) :</t>
  </si>
  <si>
    <t>(일반,소수력)</t>
  </si>
  <si>
    <t>+ (대체 계)</t>
  </si>
  <si>
    <t xml:space="preserve">＊ 유류 발전설비(kW) : </t>
  </si>
  <si>
    <t>(기력 유류)</t>
  </si>
  <si>
    <t>+ (복합 유류)</t>
  </si>
  <si>
    <t>+ (내연력)</t>
  </si>
  <si>
    <t>+ (집단 유류)</t>
  </si>
  <si>
    <t>-</t>
    <phoneticPr fontId="2" type="noConversion"/>
  </si>
  <si>
    <t xml:space="preserve">   주2) '26.5월 전력시장 참여(실적)은 전력시장 최종정산 기준자료로, 변경될 수 있음</t>
    <phoneticPr fontId="12" type="noConversion"/>
  </si>
  <si>
    <t xml:space="preserve">   주3) '26.5월 한전PPA 전력구입량은 전력거래소의 추계기법을 통한 추정치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</si>
</sst>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#,##0.0_ "/>
    <numFmt numFmtId="178" formatCode="\(0.0\);\(\-0.0\)"/>
    <numFmt numFmtId="179" formatCode="_-* #,##0.0_-;\-* #,##0.0_-;_-* &quot;-&quot;_-;_-@_-"/>
    <numFmt numFmtId="180" formatCode="0.0%"/>
    <numFmt numFmtId="181" formatCode="_(* #,##0_);_(* \(#,##0\);_(* &quot;-&quot;_);_(@_)"/>
    <numFmt numFmtId="182" formatCode="_-* #,##0.00_-;\-* #,##0.00_-;_-* &quot;-&quot;_-;_-@_-"/>
    <numFmt numFmtId="183" formatCode="#,##0.00_);[Red]\(#,##0.00\)"/>
    <numFmt numFmtId="184" formatCode="_ * #,##0_ ;_ * \-#,##0_ ;_ * &quot;-&quot;_ ;_ @_ "/>
    <numFmt numFmtId="185" formatCode="h:mm;@"/>
    <numFmt numFmtId="186" formatCode="0.0_);[Red]\(0.0\)"/>
    <numFmt numFmtId="187" formatCode="_-* #,##0.0_-;\-* #,##0.0_-;_-* &quot;-&quot;?_-;_-@_-"/>
    <numFmt numFmtId="188" formatCode="0.0"/>
    <numFmt numFmtId="189" formatCode="#,##0_);[Red]\(#,##0\)"/>
    <numFmt numFmtId="190" formatCode="0.0_ "/>
    <numFmt numFmtId="191" formatCode="_-* #,##0.0000_-;\-* #,##0.0000_-;_-* &quot;-&quot;_-;_-@_-"/>
    <numFmt numFmtId="192" formatCode="#,##0.000_ "/>
    <numFmt numFmtId="193" formatCode="_-* #,##0.000_-;\-* #,##0.000_-;_-* &quot;-&quot;??_-;_-@_-"/>
    <numFmt numFmtId="194" formatCode="0_ "/>
    <numFmt numFmtId="195" formatCode="0_);[Red]\(0\)"/>
    <numFmt numFmtId="196" formatCode="0.00_ "/>
    <numFmt numFmtId="197" formatCode="#,##0.000000_ "/>
    <numFmt numFmtId="198" formatCode="_-* #,##0.000_-;\-* #,##0.000_-;_-* &quot;-&quot;_-;_-@_-"/>
    <numFmt numFmtId="199" formatCode="0.00000"/>
    <numFmt numFmtId="200" formatCode="0.0000000"/>
    <numFmt numFmtId="201" formatCode="#,##0.000_);[Red]\(#,##0.000\)"/>
    <numFmt numFmtId="202" formatCode="_-&quot;₩&quot;* #,##0.0_-;\-&quot;₩&quot;* #,##0.0_-;_-&quot;₩&quot;* &quot;-&quot;??_-;_-@_-"/>
    <numFmt numFmtId="203" formatCode="#,##0.00_ "/>
    <numFmt numFmtId="204" formatCode="0.00_);[Red]\(0.00\)"/>
    <numFmt numFmtId="205" formatCode="#,##0.0_);[Red]\(#,##0.0\)"/>
    <numFmt numFmtId="206" formatCode="_ * #,##0.00_ ;_ * \-#,##0.00_ ;_ * &quot;-&quot;_ ;_ @_ "/>
    <numFmt numFmtId="207" formatCode="_(* #,##0.0_);_(* \(#,##0.0\);_(* &quot;-&quot;_);_(@_)"/>
    <numFmt numFmtId="208" formatCode="_-* #,##0_-;\-* #,##0_-;_-* &quot;-&quot;??_-;_-@_-"/>
    <numFmt numFmtId="209" formatCode="#,##0.000;\-#,##0.000;#,##0.000;\@"/>
    <numFmt numFmtId="210" formatCode="#,##0_);\(#,##0\)"/>
    <numFmt numFmtId="211" formatCode="#,##0.0"/>
    <numFmt numFmtId="212" formatCode="#,##0.000000_);[Red]\(#,##0.000000\)"/>
    <numFmt numFmtId="213" formatCode="#,##0.0000_);[Red]\(#,##0.0000\)"/>
    <numFmt numFmtId="217" formatCode="mm&quot;월&quot;\ dd&quot;일&quot;"/>
  </numFmts>
  <fonts count="10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"/>
      <color rgb="FF000000"/>
      <name val="맑은 고딕"/>
      <family val="3"/>
      <charset val="129"/>
      <scheme val="minor"/>
    </font>
    <font>
      <b/>
      <sz val="2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6"/>
      <color theme="1"/>
      <name val="KoPub돋움체 Bold"/>
      <family val="1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22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.5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8.5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i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i/>
      <sz val="10"/>
      <name val="맑은 고딕"/>
      <family val="3"/>
      <charset val="129"/>
      <scheme val="minor"/>
    </font>
    <font>
      <sz val="11"/>
      <color theme="1"/>
      <name val="KoPub돋움체 Bold"/>
      <family val="1"/>
      <charset val="129"/>
    </font>
    <font>
      <sz val="11"/>
      <name val="바탕"/>
      <family val="1"/>
      <charset val="129"/>
    </font>
    <font>
      <sz val="12"/>
      <name val="돋움"/>
      <family val="3"/>
      <charset val="129"/>
    </font>
    <font>
      <sz val="7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9"/>
      <name val="바탕"/>
      <family val="1"/>
      <charset val="129"/>
    </font>
    <font>
      <sz val="10"/>
      <name val="돋움"/>
      <family val="3"/>
      <charset val="129"/>
    </font>
    <font>
      <sz val="6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22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2"/>
      <name val="돋움체"/>
      <family val="3"/>
      <charset val="129"/>
    </font>
    <font>
      <b/>
      <sz val="6"/>
      <name val="맑은 고딕"/>
      <family val="3"/>
      <charset val="129"/>
      <scheme val="minor"/>
    </font>
    <font>
      <sz val="16"/>
      <name val="바탕"/>
      <family val="1"/>
      <charset val="129"/>
    </font>
    <font>
      <sz val="9"/>
      <name val="돋움"/>
      <family val="3"/>
      <charset val="129"/>
    </font>
    <font>
      <sz val="7"/>
      <name val="바탕"/>
      <family val="1"/>
      <charset val="129"/>
    </font>
    <font>
      <sz val="7"/>
      <name val="돋움"/>
      <family val="3"/>
      <charset val="129"/>
    </font>
    <font>
      <i/>
      <sz val="11"/>
      <name val="돋움"/>
      <family val="3"/>
      <charset val="129"/>
    </font>
    <font>
      <i/>
      <sz val="11"/>
      <color rgb="FFFF0000"/>
      <name val="돋움"/>
      <family val="3"/>
      <charset val="129"/>
    </font>
    <font>
      <i/>
      <sz val="7"/>
      <name val="맑은 고딕"/>
      <family val="3"/>
      <charset val="129"/>
      <scheme val="minor"/>
    </font>
    <font>
      <sz val="11"/>
      <name val="Times New Roman"/>
      <family val="1"/>
    </font>
    <font>
      <u/>
      <sz val="11"/>
      <color theme="10"/>
      <name val="돋움"/>
      <family val="3"/>
      <charset val="129"/>
    </font>
    <font>
      <sz val="8"/>
      <name val="바탕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6"/>
      <name val="돋움"/>
      <family val="3"/>
      <charset val="129"/>
    </font>
    <font>
      <sz val="7"/>
      <name val="맑은 고딕"/>
      <family val="3"/>
      <charset val="129"/>
    </font>
    <font>
      <b/>
      <sz val="7"/>
      <name val="맑은 고딕"/>
      <family val="3"/>
      <charset val="129"/>
    </font>
    <font>
      <b/>
      <sz val="8"/>
      <name val="바탕"/>
      <family val="1"/>
      <charset val="129"/>
    </font>
    <font>
      <sz val="7.5"/>
      <name val="Times New Roman"/>
      <family val="1"/>
    </font>
    <font>
      <sz val="5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2"/>
      <name val="굴림체"/>
      <family val="3"/>
      <charset val="129"/>
    </font>
    <font>
      <i/>
      <sz val="9"/>
      <name val="맑은 고딕"/>
      <family val="3"/>
      <charset val="129"/>
      <scheme val="minor"/>
    </font>
    <font>
      <sz val="9"/>
      <name val="Times New Roman"/>
      <family val="1"/>
    </font>
    <font>
      <sz val="10"/>
      <color rgb="FFFF0000"/>
      <name val="맑은 고딕"/>
      <family val="3"/>
      <charset val="129"/>
      <scheme val="minor"/>
    </font>
    <font>
      <i/>
      <sz val="8"/>
      <name val="맑은 고딕"/>
      <family val="3"/>
      <charset val="129"/>
    </font>
    <font>
      <sz val="13"/>
      <color theme="1"/>
      <name val="KoPub돋움체 Bold"/>
      <family val="1"/>
      <charset val="129"/>
    </font>
    <font>
      <sz val="12"/>
      <name val="뼻뮝"/>
      <family val="3"/>
      <charset val="129"/>
    </font>
    <font>
      <b/>
      <sz val="18"/>
      <color indexed="8"/>
      <name val="궁서체"/>
      <family val="1"/>
      <charset val="129"/>
    </font>
    <font>
      <sz val="12"/>
      <color rgb="FFFF000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name val="Calibri"/>
      <family val="2"/>
    </font>
    <font>
      <sz val="22"/>
      <color theme="0"/>
      <name val="돋움"/>
      <family val="3"/>
      <charset val="129"/>
    </font>
    <font>
      <sz val="16"/>
      <color theme="1"/>
      <name val="KBIZ한마음고딕 M"/>
      <family val="1"/>
      <charset val="129"/>
    </font>
    <font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vertAlign val="superscript"/>
      <sz val="8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DCC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47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AFAE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61">
    <border>
      <left/>
      <right/>
      <top/>
      <bottom/>
      <diagonal/>
    </border>
    <border>
      <left style="thin">
        <color rgb="FF9DCCF7"/>
      </left>
      <right style="thin">
        <color rgb="FF9DCCF7"/>
      </right>
      <top style="thin">
        <color rgb="FF9DCCF7"/>
      </top>
      <bottom style="thin">
        <color rgb="FF9DCCF7"/>
      </bottom>
      <diagonal/>
    </border>
    <border>
      <left style="thin">
        <color rgb="FF9DCCF7"/>
      </left>
      <right/>
      <top style="thin">
        <color rgb="FF9DCCF7"/>
      </top>
      <bottom style="thin">
        <color rgb="FF9DCCF7"/>
      </bottom>
      <diagonal/>
    </border>
    <border>
      <left/>
      <right/>
      <top style="thin">
        <color rgb="FF9DCCF7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theme="1"/>
      </bottom>
      <diagonal/>
    </border>
    <border>
      <left style="hair">
        <color indexed="64"/>
      </left>
      <right style="thin">
        <color indexed="64"/>
      </right>
      <top/>
      <bottom style="thin">
        <color theme="1"/>
      </bottom>
      <diagonal/>
    </border>
    <border>
      <left style="hair">
        <color theme="1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thin">
        <color indexed="64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theme="1"/>
      </right>
      <top style="hair">
        <color theme="1"/>
      </top>
      <bottom/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rgb="FF000000"/>
      </right>
      <top style="thin">
        <color indexed="64"/>
      </top>
      <bottom/>
      <diagonal/>
    </border>
    <border>
      <left style="thin">
        <color indexed="64"/>
      </left>
      <right style="hair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hair">
        <color indexed="64"/>
      </right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81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184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81" fontId="10" fillId="0" borderId="0" applyFont="0" applyFill="0" applyBorder="0" applyAlignment="0" applyProtection="0"/>
    <xf numFmtId="42" fontId="10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2" fillId="0" borderId="0"/>
    <xf numFmtId="9" fontId="10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</cellStyleXfs>
  <cellXfs count="2793">
    <xf numFmtId="0" fontId="0" fillId="0" borderId="0" xfId="0">
      <alignment vertical="center"/>
    </xf>
    <xf numFmtId="0" fontId="1" fillId="0" borderId="0" xfId="1">
      <alignment vertical="center"/>
    </xf>
    <xf numFmtId="0" fontId="3" fillId="2" borderId="1" xfId="1" applyFont="1" applyFill="1" applyBorder="1" applyAlignment="1">
      <alignment horizontal="right" vertical="center" wrapText="1"/>
    </xf>
    <xf numFmtId="0" fontId="3" fillId="2" borderId="2" xfId="1" applyFont="1" applyFill="1" applyBorder="1" applyAlignment="1">
      <alignment horizontal="right" vertical="center" wrapText="1"/>
    </xf>
    <xf numFmtId="0" fontId="3" fillId="0" borderId="3" xfId="1" applyFont="1" applyBorder="1" applyAlignment="1">
      <alignment horizontal="justify" vertical="center" wrapText="1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 applyFill="1">
      <alignment vertical="center"/>
    </xf>
    <xf numFmtId="0" fontId="8" fillId="0" borderId="0" xfId="1" applyFont="1" applyFill="1">
      <alignment vertical="center"/>
    </xf>
    <xf numFmtId="0" fontId="1" fillId="3" borderId="0" xfId="1" applyFill="1">
      <alignment vertical="center"/>
    </xf>
    <xf numFmtId="0" fontId="9" fillId="0" borderId="0" xfId="1" applyFont="1" applyFill="1">
      <alignment vertical="center"/>
    </xf>
    <xf numFmtId="0" fontId="1" fillId="0" borderId="0" xfId="1" applyFont="1">
      <alignment vertical="center"/>
    </xf>
    <xf numFmtId="0" fontId="8" fillId="0" borderId="0" xfId="2" applyFont="1"/>
    <xf numFmtId="0" fontId="10" fillId="0" borderId="0" xfId="2"/>
    <xf numFmtId="0" fontId="8" fillId="0" borderId="0" xfId="2" applyFont="1" applyFill="1"/>
    <xf numFmtId="0" fontId="10" fillId="0" borderId="0" xfId="2" applyFill="1"/>
    <xf numFmtId="0" fontId="11" fillId="0" borderId="0" xfId="2" applyFont="1" applyFill="1" applyAlignment="1">
      <alignment horizontal="left"/>
    </xf>
    <xf numFmtId="0" fontId="7" fillId="0" borderId="0" xfId="2" applyFont="1" applyFill="1"/>
    <xf numFmtId="0" fontId="13" fillId="0" borderId="0" xfId="1" applyFont="1">
      <alignment vertical="center"/>
    </xf>
    <xf numFmtId="0" fontId="8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 applyFill="1">
      <alignment vertical="center"/>
    </xf>
    <xf numFmtId="0" fontId="17" fillId="0" borderId="0" xfId="1" applyFont="1" applyFill="1" applyAlignment="1">
      <alignment horizontal="right" vertical="center"/>
    </xf>
    <xf numFmtId="0" fontId="17" fillId="0" borderId="4" xfId="1" applyFont="1" applyFill="1" applyBorder="1" applyAlignment="1">
      <alignment horizontal="center" vertical="center"/>
    </xf>
    <xf numFmtId="2" fontId="5" fillId="0" borderId="5" xfId="1" applyNumberFormat="1" applyFont="1" applyFill="1" applyBorder="1" applyAlignment="1">
      <alignment horizontal="center" vertical="center"/>
    </xf>
    <xf numFmtId="2" fontId="5" fillId="0" borderId="6" xfId="1" applyNumberFormat="1" applyFont="1" applyFill="1" applyBorder="1" applyAlignment="1">
      <alignment horizontal="center" vertical="center"/>
    </xf>
    <xf numFmtId="0" fontId="19" fillId="4" borderId="4" xfId="1" applyFont="1" applyFill="1" applyBorder="1" applyAlignment="1">
      <alignment horizontal="center" vertical="center"/>
    </xf>
    <xf numFmtId="176" fontId="20" fillId="4" borderId="7" xfId="1" applyNumberFormat="1" applyFont="1" applyFill="1" applyBorder="1">
      <alignment vertical="center"/>
    </xf>
    <xf numFmtId="176" fontId="20" fillId="4" borderId="8" xfId="1" applyNumberFormat="1" applyFont="1" applyFill="1" applyBorder="1">
      <alignment vertical="center"/>
    </xf>
    <xf numFmtId="177" fontId="20" fillId="4" borderId="0" xfId="1" applyNumberFormat="1" applyFont="1" applyFill="1" applyBorder="1">
      <alignment vertical="center"/>
    </xf>
    <xf numFmtId="0" fontId="17" fillId="4" borderId="9" xfId="1" applyFont="1" applyFill="1" applyBorder="1" applyAlignment="1">
      <alignment horizontal="center" vertical="center"/>
    </xf>
    <xf numFmtId="178" fontId="5" fillId="4" borderId="10" xfId="3" applyNumberFormat="1" applyFont="1" applyFill="1" applyBorder="1" applyAlignment="1">
      <alignment horizontal="right" vertical="center"/>
    </xf>
    <xf numFmtId="178" fontId="5" fillId="4" borderId="11" xfId="3" applyNumberFormat="1" applyFont="1" applyFill="1" applyBorder="1" applyAlignment="1">
      <alignment horizontal="right" vertical="center"/>
    </xf>
    <xf numFmtId="176" fontId="5" fillId="0" borderId="12" xfId="3" applyNumberFormat="1" applyFont="1" applyFill="1" applyBorder="1" applyAlignment="1">
      <alignment horizontal="right" vertical="center"/>
    </xf>
    <xf numFmtId="176" fontId="5" fillId="0" borderId="13" xfId="3" applyNumberFormat="1" applyFont="1" applyFill="1" applyBorder="1" applyAlignment="1">
      <alignment horizontal="right" vertical="center"/>
    </xf>
    <xf numFmtId="0" fontId="17" fillId="0" borderId="14" xfId="1" applyFont="1" applyFill="1" applyBorder="1" applyAlignment="1">
      <alignment horizontal="center" vertical="center"/>
    </xf>
    <xf numFmtId="178" fontId="5" fillId="0" borderId="15" xfId="3" applyNumberFormat="1" applyFont="1" applyFill="1" applyBorder="1" applyAlignment="1">
      <alignment horizontal="right" vertical="center"/>
    </xf>
    <xf numFmtId="178" fontId="5" fillId="0" borderId="16" xfId="3" applyNumberFormat="1" applyFont="1" applyFill="1" applyBorder="1" applyAlignment="1">
      <alignment horizontal="right" vertical="center"/>
    </xf>
    <xf numFmtId="0" fontId="17" fillId="0" borderId="17" xfId="1" applyFont="1" applyFill="1" applyBorder="1" applyAlignment="1">
      <alignment horizontal="center" vertical="center"/>
    </xf>
    <xf numFmtId="176" fontId="5" fillId="0" borderId="18" xfId="3" applyNumberFormat="1" applyFont="1" applyFill="1" applyBorder="1" applyAlignment="1">
      <alignment horizontal="right" vertical="center"/>
    </xf>
    <xf numFmtId="176" fontId="5" fillId="0" borderId="19" xfId="3" applyNumberFormat="1" applyFont="1" applyFill="1" applyBorder="1" applyAlignment="1">
      <alignment horizontal="right" vertical="center"/>
    </xf>
    <xf numFmtId="0" fontId="17" fillId="0" borderId="9" xfId="1" applyFont="1" applyFill="1" applyBorder="1" applyAlignment="1">
      <alignment horizontal="center" vertical="center"/>
    </xf>
    <xf numFmtId="178" fontId="5" fillId="0" borderId="20" xfId="3" applyNumberFormat="1" applyFont="1" applyFill="1" applyBorder="1" applyAlignment="1">
      <alignment horizontal="right" vertical="center"/>
    </xf>
    <xf numFmtId="178" fontId="5" fillId="0" borderId="21" xfId="3" applyNumberFormat="1" applyFont="1" applyFill="1" applyBorder="1" applyAlignment="1">
      <alignment horizontal="right" vertical="center"/>
    </xf>
    <xf numFmtId="0" fontId="21" fillId="0" borderId="0" xfId="1" applyFont="1" applyFill="1" applyBorder="1" applyAlignment="1">
      <alignment vertical="center"/>
    </xf>
    <xf numFmtId="178" fontId="5" fillId="0" borderId="0" xfId="3" applyNumberFormat="1" applyFont="1" applyFill="1" applyBorder="1" applyAlignment="1">
      <alignment horizontal="right" vertical="center"/>
    </xf>
    <xf numFmtId="0" fontId="21" fillId="0" borderId="0" xfId="1" applyFont="1" applyFill="1">
      <alignment vertical="center"/>
    </xf>
    <xf numFmtId="0" fontId="17" fillId="0" borderId="0" xfId="1" applyFont="1" applyFill="1">
      <alignment vertical="center"/>
    </xf>
    <xf numFmtId="0" fontId="8" fillId="0" borderId="0" xfId="3" applyFont="1">
      <alignment vertical="center"/>
    </xf>
    <xf numFmtId="0" fontId="15" fillId="0" borderId="0" xfId="3" applyFont="1" applyFill="1">
      <alignment vertical="center"/>
    </xf>
    <xf numFmtId="0" fontId="8" fillId="0" borderId="0" xfId="3" applyFont="1" applyFill="1">
      <alignment vertical="center"/>
    </xf>
    <xf numFmtId="0" fontId="16" fillId="0" borderId="0" xfId="3" applyFont="1" applyFill="1">
      <alignment vertical="center"/>
    </xf>
    <xf numFmtId="0" fontId="17" fillId="0" borderId="0" xfId="3" applyFont="1" applyFill="1" applyAlignment="1">
      <alignment horizontal="right" vertical="center"/>
    </xf>
    <xf numFmtId="0" fontId="7" fillId="0" borderId="0" xfId="3" applyFont="1" applyFill="1">
      <alignment vertical="center"/>
    </xf>
    <xf numFmtId="0" fontId="17" fillId="0" borderId="4" xfId="3" applyFont="1" applyFill="1" applyBorder="1" applyAlignment="1">
      <alignment horizontal="center" vertical="center"/>
    </xf>
    <xf numFmtId="2" fontId="5" fillId="0" borderId="5" xfId="3" applyNumberFormat="1" applyFont="1" applyFill="1" applyBorder="1" applyAlignment="1">
      <alignment horizontal="center" vertical="center"/>
    </xf>
    <xf numFmtId="2" fontId="5" fillId="0" borderId="6" xfId="3" applyNumberFormat="1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/>
    </xf>
    <xf numFmtId="176" fontId="20" fillId="4" borderId="7" xfId="3" applyNumberFormat="1" applyFont="1" applyFill="1" applyBorder="1">
      <alignment vertical="center"/>
    </xf>
    <xf numFmtId="176" fontId="20" fillId="4" borderId="8" xfId="3" applyNumberFormat="1" applyFont="1" applyFill="1" applyBorder="1">
      <alignment vertical="center"/>
    </xf>
    <xf numFmtId="176" fontId="20" fillId="4" borderId="0" xfId="3" applyNumberFormat="1" applyFont="1" applyFill="1" applyBorder="1">
      <alignment vertical="center"/>
    </xf>
    <xf numFmtId="0" fontId="17" fillId="4" borderId="9" xfId="3" applyFont="1" applyFill="1" applyBorder="1" applyAlignment="1">
      <alignment horizontal="center" vertical="center"/>
    </xf>
    <xf numFmtId="177" fontId="20" fillId="4" borderId="0" xfId="3" applyNumberFormat="1" applyFont="1" applyFill="1" applyBorder="1">
      <alignment vertical="center"/>
    </xf>
    <xf numFmtId="176" fontId="5" fillId="0" borderId="0" xfId="3" applyNumberFormat="1" applyFont="1" applyFill="1" applyBorder="1">
      <alignment vertical="center"/>
    </xf>
    <xf numFmtId="0" fontId="17" fillId="0" borderId="14" xfId="3" applyFont="1" applyFill="1" applyBorder="1" applyAlignment="1">
      <alignment horizontal="center" vertical="center"/>
    </xf>
    <xf numFmtId="0" fontId="17" fillId="0" borderId="17" xfId="3" applyFont="1" applyFill="1" applyBorder="1" applyAlignment="1">
      <alignment horizontal="center" vertical="center"/>
    </xf>
    <xf numFmtId="178" fontId="5" fillId="0" borderId="22" xfId="3" applyNumberFormat="1" applyFont="1" applyFill="1" applyBorder="1" applyAlignment="1">
      <alignment horizontal="right" vertical="center"/>
    </xf>
    <xf numFmtId="178" fontId="5" fillId="0" borderId="23" xfId="3" applyNumberFormat="1" applyFont="1" applyFill="1" applyBorder="1" applyAlignment="1">
      <alignment horizontal="right" vertical="center"/>
    </xf>
    <xf numFmtId="178" fontId="5" fillId="0" borderId="24" xfId="3" applyNumberFormat="1" applyFont="1" applyFill="1" applyBorder="1" applyAlignment="1">
      <alignment horizontal="right" vertical="center"/>
    </xf>
    <xf numFmtId="0" fontId="17" fillId="0" borderId="25" xfId="3" applyFont="1" applyFill="1" applyBorder="1" applyAlignment="1">
      <alignment horizontal="center" vertical="center"/>
    </xf>
    <xf numFmtId="176" fontId="5" fillId="0" borderId="12" xfId="3" quotePrefix="1" applyNumberFormat="1" applyFont="1" applyFill="1" applyBorder="1" applyAlignment="1">
      <alignment horizontal="right" vertical="center"/>
    </xf>
    <xf numFmtId="0" fontId="17" fillId="0" borderId="9" xfId="3" applyFont="1" applyFill="1" applyBorder="1" applyAlignment="1">
      <alignment horizontal="center" vertical="center"/>
    </xf>
    <xf numFmtId="178" fontId="5" fillId="0" borderId="20" xfId="3" quotePrefix="1" applyNumberFormat="1" applyFont="1" applyFill="1" applyBorder="1" applyAlignment="1">
      <alignment horizontal="right" vertical="center"/>
    </xf>
    <xf numFmtId="178" fontId="5" fillId="0" borderId="21" xfId="3" quotePrefix="1" applyNumberFormat="1" applyFont="1" applyFill="1" applyBorder="1" applyAlignment="1">
      <alignment horizontal="right" vertical="center"/>
    </xf>
    <xf numFmtId="0" fontId="21" fillId="0" borderId="0" xfId="3" applyFont="1" applyFill="1">
      <alignment vertical="center"/>
    </xf>
    <xf numFmtId="0" fontId="18" fillId="0" borderId="26" xfId="3" applyFont="1" applyFill="1" applyBorder="1" applyAlignment="1">
      <alignment horizontal="center" vertical="center"/>
    </xf>
    <xf numFmtId="2" fontId="5" fillId="0" borderId="27" xfId="3" applyNumberFormat="1" applyFont="1" applyFill="1" applyBorder="1" applyAlignment="1">
      <alignment horizontal="center" vertical="center"/>
    </xf>
    <xf numFmtId="2" fontId="22" fillId="0" borderId="28" xfId="3" applyNumberFormat="1" applyFont="1" applyFill="1" applyBorder="1" applyAlignment="1">
      <alignment horizontal="center" vertical="center"/>
    </xf>
    <xf numFmtId="0" fontId="23" fillId="4" borderId="26" xfId="3" applyFont="1" applyFill="1" applyBorder="1" applyAlignment="1">
      <alignment horizontal="center" vertical="center"/>
    </xf>
    <xf numFmtId="176" fontId="20" fillId="4" borderId="27" xfId="3" applyNumberFormat="1" applyFont="1" applyFill="1" applyBorder="1" applyAlignment="1">
      <alignment horizontal="right" vertical="center"/>
    </xf>
    <xf numFmtId="176" fontId="24" fillId="4" borderId="29" xfId="3" applyNumberFormat="1" applyFont="1" applyFill="1" applyBorder="1" applyAlignment="1">
      <alignment horizontal="right" vertical="center"/>
    </xf>
    <xf numFmtId="0" fontId="18" fillId="4" borderId="30" xfId="3" applyFont="1" applyFill="1" applyBorder="1" applyAlignment="1">
      <alignment horizontal="center" vertical="center"/>
    </xf>
    <xf numFmtId="178" fontId="22" fillId="4" borderId="11" xfId="3" applyNumberFormat="1" applyFont="1" applyFill="1" applyBorder="1" applyAlignment="1">
      <alignment horizontal="right" vertical="center"/>
    </xf>
    <xf numFmtId="177" fontId="8" fillId="0" borderId="0" xfId="4" applyNumberFormat="1" applyFont="1">
      <alignment vertical="center"/>
    </xf>
    <xf numFmtId="0" fontId="18" fillId="0" borderId="31" xfId="3" applyFont="1" applyFill="1" applyBorder="1" applyAlignment="1">
      <alignment horizontal="center" vertical="center"/>
    </xf>
    <xf numFmtId="176" fontId="22" fillId="0" borderId="13" xfId="3" applyNumberFormat="1" applyFont="1" applyFill="1" applyBorder="1" applyAlignment="1">
      <alignment horizontal="right" vertical="center"/>
    </xf>
    <xf numFmtId="0" fontId="18" fillId="0" borderId="32" xfId="3" applyFont="1" applyFill="1" applyBorder="1" applyAlignment="1">
      <alignment horizontal="center" vertical="center"/>
    </xf>
    <xf numFmtId="178" fontId="22" fillId="0" borderId="16" xfId="3" applyNumberFormat="1" applyFont="1" applyFill="1" applyBorder="1" applyAlignment="1">
      <alignment horizontal="right" vertical="center"/>
    </xf>
    <xf numFmtId="0" fontId="18" fillId="0" borderId="33" xfId="3" applyFont="1" applyFill="1" applyBorder="1" applyAlignment="1">
      <alignment horizontal="center" vertical="center"/>
    </xf>
    <xf numFmtId="176" fontId="22" fillId="0" borderId="19" xfId="3" applyNumberFormat="1" applyFont="1" applyFill="1" applyBorder="1" applyAlignment="1">
      <alignment horizontal="right" vertical="center"/>
    </xf>
    <xf numFmtId="178" fontId="5" fillId="0" borderId="12" xfId="3" applyNumberFormat="1" applyFont="1" applyFill="1" applyBorder="1" applyAlignment="1">
      <alignment horizontal="right" vertical="center"/>
    </xf>
    <xf numFmtId="178" fontId="22" fillId="0" borderId="13" xfId="3" applyNumberFormat="1" applyFont="1" applyFill="1" applyBorder="1" applyAlignment="1">
      <alignment horizontal="right" vertical="center"/>
    </xf>
    <xf numFmtId="0" fontId="18" fillId="0" borderId="30" xfId="3" applyFont="1" applyFill="1" applyBorder="1" applyAlignment="1">
      <alignment horizontal="center" vertical="center"/>
    </xf>
    <xf numFmtId="178" fontId="5" fillId="0" borderId="10" xfId="3" applyNumberFormat="1" applyFont="1" applyFill="1" applyBorder="1" applyAlignment="1">
      <alignment horizontal="right" vertical="center"/>
    </xf>
    <xf numFmtId="178" fontId="22" fillId="0" borderId="11" xfId="3" applyNumberFormat="1" applyFont="1" applyFill="1" applyBorder="1" applyAlignment="1">
      <alignment horizontal="right" vertical="center"/>
    </xf>
    <xf numFmtId="0" fontId="21" fillId="0" borderId="0" xfId="3" applyFont="1">
      <alignment vertical="center"/>
    </xf>
    <xf numFmtId="179" fontId="8" fillId="0" borderId="0" xfId="4" applyNumberFormat="1" applyFont="1">
      <alignment vertical="center"/>
    </xf>
    <xf numFmtId="0" fontId="17" fillId="0" borderId="0" xfId="3" applyFont="1">
      <alignment vertical="center"/>
    </xf>
    <xf numFmtId="176" fontId="8" fillId="0" borderId="0" xfId="3" applyNumberFormat="1" applyFont="1">
      <alignment vertical="center"/>
    </xf>
    <xf numFmtId="0" fontId="15" fillId="0" borderId="0" xfId="3" applyFont="1">
      <alignment vertical="center"/>
    </xf>
    <xf numFmtId="0" fontId="5" fillId="0" borderId="27" xfId="3" applyFont="1" applyFill="1" applyBorder="1" applyAlignment="1">
      <alignment horizontal="center" vertical="center"/>
    </xf>
    <xf numFmtId="49" fontId="5" fillId="0" borderId="27" xfId="3" applyNumberFormat="1" applyFont="1" applyFill="1" applyBorder="1" applyAlignment="1">
      <alignment horizontal="center" vertical="center"/>
    </xf>
    <xf numFmtId="2" fontId="22" fillId="0" borderId="34" xfId="3" applyNumberFormat="1" applyFont="1" applyFill="1" applyBorder="1" applyAlignment="1">
      <alignment horizontal="center" vertical="center"/>
    </xf>
    <xf numFmtId="176" fontId="22" fillId="4" borderId="0" xfId="3" applyNumberFormat="1" applyFont="1" applyFill="1" applyBorder="1" applyAlignment="1">
      <alignment horizontal="right" vertical="center"/>
    </xf>
    <xf numFmtId="0" fontId="18" fillId="0" borderId="32" xfId="3" applyFont="1" applyBorder="1" applyAlignment="1">
      <alignment horizontal="center" vertical="center"/>
    </xf>
    <xf numFmtId="178" fontId="5" fillId="0" borderId="15" xfId="3" applyNumberFormat="1" applyFont="1" applyBorder="1" applyAlignment="1">
      <alignment horizontal="right" vertical="center"/>
    </xf>
    <xf numFmtId="0" fontId="26" fillId="0" borderId="0" xfId="3" applyFont="1">
      <alignment vertical="center"/>
    </xf>
    <xf numFmtId="49" fontId="8" fillId="0" borderId="0" xfId="3" applyNumberFormat="1" applyFont="1">
      <alignment vertical="center"/>
    </xf>
    <xf numFmtId="2" fontId="5" fillId="0" borderId="28" xfId="3" applyNumberFormat="1" applyFont="1" applyFill="1" applyBorder="1" applyAlignment="1">
      <alignment horizontal="center" vertical="center"/>
    </xf>
    <xf numFmtId="176" fontId="20" fillId="4" borderId="35" xfId="3" applyNumberFormat="1" applyFont="1" applyFill="1" applyBorder="1" applyAlignment="1">
      <alignment horizontal="right" vertical="center"/>
    </xf>
    <xf numFmtId="178" fontId="5" fillId="4" borderId="11" xfId="5" applyNumberFormat="1" applyFont="1" applyFill="1" applyBorder="1" applyAlignment="1">
      <alignment horizontal="right" vertical="center"/>
    </xf>
    <xf numFmtId="179" fontId="8" fillId="0" borderId="0" xfId="5" applyNumberFormat="1" applyFont="1">
      <alignment vertical="center"/>
    </xf>
    <xf numFmtId="0" fontId="18" fillId="0" borderId="30" xfId="3" applyFont="1" applyBorder="1" applyAlignment="1">
      <alignment horizontal="center" vertical="center"/>
    </xf>
    <xf numFmtId="178" fontId="5" fillId="0" borderId="10" xfId="3" applyNumberFormat="1" applyFont="1" applyBorder="1" applyAlignment="1">
      <alignment horizontal="right" vertical="center"/>
    </xf>
    <xf numFmtId="178" fontId="5" fillId="0" borderId="11" xfId="3" applyNumberFormat="1" applyFont="1" applyFill="1" applyBorder="1" applyAlignment="1">
      <alignment horizontal="right" vertical="center"/>
    </xf>
    <xf numFmtId="49" fontId="5" fillId="0" borderId="36" xfId="3" applyNumberFormat="1" applyFont="1" applyFill="1" applyBorder="1" applyAlignment="1">
      <alignment horizontal="right" vertical="center"/>
    </xf>
    <xf numFmtId="178" fontId="5" fillId="0" borderId="13" xfId="3" applyNumberFormat="1" applyFont="1" applyFill="1" applyBorder="1" applyAlignment="1">
      <alignment horizontal="right" vertical="center"/>
    </xf>
    <xf numFmtId="0" fontId="18" fillId="0" borderId="33" xfId="3" applyFont="1" applyBorder="1" applyAlignment="1">
      <alignment horizontal="center" vertical="center"/>
    </xf>
    <xf numFmtId="176" fontId="5" fillId="0" borderId="18" xfId="3" applyNumberFormat="1" applyFont="1" applyBorder="1" applyAlignment="1">
      <alignment horizontal="right" vertical="center"/>
    </xf>
    <xf numFmtId="176" fontId="5" fillId="0" borderId="19" xfId="3" applyNumberFormat="1" applyFont="1" applyBorder="1" applyAlignment="1">
      <alignment horizontal="right" vertical="center"/>
    </xf>
    <xf numFmtId="0" fontId="1" fillId="0" borderId="0" xfId="3" applyFont="1">
      <alignment vertical="center"/>
    </xf>
    <xf numFmtId="2" fontId="5" fillId="0" borderId="7" xfId="3" applyNumberFormat="1" applyFont="1" applyFill="1" applyBorder="1" applyAlignment="1">
      <alignment horizontal="center" vertical="center"/>
    </xf>
    <xf numFmtId="0" fontId="19" fillId="4" borderId="40" xfId="3" applyFont="1" applyFill="1" applyBorder="1" applyAlignment="1">
      <alignment horizontal="center" vertical="center"/>
    </xf>
    <xf numFmtId="176" fontId="20" fillId="4" borderId="5" xfId="3" applyNumberFormat="1" applyFont="1" applyFill="1" applyBorder="1">
      <alignment vertical="center"/>
    </xf>
    <xf numFmtId="176" fontId="20" fillId="4" borderId="37" xfId="3" applyNumberFormat="1" applyFont="1" applyFill="1" applyBorder="1">
      <alignment vertical="center"/>
    </xf>
    <xf numFmtId="176" fontId="5" fillId="0" borderId="44" xfId="3" applyNumberFormat="1" applyFont="1" applyFill="1" applyBorder="1">
      <alignment vertical="center"/>
    </xf>
    <xf numFmtId="176" fontId="5" fillId="0" borderId="45" xfId="3" applyNumberFormat="1" applyFont="1" applyFill="1" applyBorder="1">
      <alignment vertical="center"/>
    </xf>
    <xf numFmtId="0" fontId="17" fillId="0" borderId="46" xfId="3" applyFont="1" applyFill="1" applyBorder="1" applyAlignment="1">
      <alignment horizontal="center" vertical="center"/>
    </xf>
    <xf numFmtId="176" fontId="5" fillId="0" borderId="47" xfId="3" applyNumberFormat="1" applyFont="1" applyFill="1" applyBorder="1">
      <alignment vertical="center"/>
    </xf>
    <xf numFmtId="176" fontId="5" fillId="0" borderId="48" xfId="3" applyNumberFormat="1" applyFont="1" applyFill="1" applyBorder="1">
      <alignment vertical="center"/>
    </xf>
    <xf numFmtId="176" fontId="22" fillId="0" borderId="48" xfId="3" applyNumberFormat="1" applyFont="1" applyFill="1" applyBorder="1">
      <alignment vertical="center"/>
    </xf>
    <xf numFmtId="177" fontId="5" fillId="0" borderId="49" xfId="3" applyNumberFormat="1" applyFont="1" applyFill="1" applyBorder="1">
      <alignment vertical="center"/>
    </xf>
    <xf numFmtId="177" fontId="5" fillId="0" borderId="50" xfId="3" applyNumberFormat="1" applyFont="1" applyFill="1" applyBorder="1">
      <alignment vertical="center"/>
    </xf>
    <xf numFmtId="0" fontId="17" fillId="0" borderId="51" xfId="3" applyFont="1" applyFill="1" applyBorder="1" applyAlignment="1">
      <alignment horizontal="center" vertical="center"/>
    </xf>
    <xf numFmtId="177" fontId="5" fillId="0" borderId="52" xfId="3" applyNumberFormat="1" applyFont="1" applyFill="1" applyBorder="1">
      <alignment vertical="center"/>
    </xf>
    <xf numFmtId="177" fontId="22" fillId="0" borderId="53" xfId="3" applyNumberFormat="1" applyFont="1" applyFill="1" applyBorder="1">
      <alignment vertical="center"/>
    </xf>
    <xf numFmtId="0" fontId="16" fillId="0" borderId="0" xfId="3" applyFont="1">
      <alignment vertical="center"/>
    </xf>
    <xf numFmtId="2" fontId="21" fillId="0" borderId="58" xfId="3" applyNumberFormat="1" applyFont="1" applyBorder="1" applyAlignment="1">
      <alignment horizontal="center" vertical="center"/>
    </xf>
    <xf numFmtId="2" fontId="21" fillId="0" borderId="59" xfId="3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/>
    </xf>
    <xf numFmtId="0" fontId="21" fillId="0" borderId="16" xfId="3" applyFont="1" applyBorder="1" applyAlignment="1">
      <alignment horizontal="center" vertical="center"/>
    </xf>
    <xf numFmtId="41" fontId="21" fillId="0" borderId="32" xfId="5" applyFont="1" applyBorder="1" applyAlignment="1">
      <alignment horizontal="center" vertical="center"/>
    </xf>
    <xf numFmtId="41" fontId="21" fillId="0" borderId="15" xfId="5" applyFont="1" applyBorder="1" applyAlignment="1">
      <alignment horizontal="center" vertical="center"/>
    </xf>
    <xf numFmtId="180" fontId="21" fillId="0" borderId="16" xfId="7" applyNumberFormat="1" applyFont="1" applyBorder="1" applyAlignment="1">
      <alignment horizontal="center" vertical="center"/>
    </xf>
    <xf numFmtId="41" fontId="21" fillId="0" borderId="62" xfId="5" applyFont="1" applyBorder="1" applyAlignment="1">
      <alignment horizontal="center" vertical="center"/>
    </xf>
    <xf numFmtId="0" fontId="21" fillId="0" borderId="65" xfId="3" applyFont="1" applyBorder="1" applyAlignment="1">
      <alignment horizontal="center" vertical="center"/>
    </xf>
    <xf numFmtId="41" fontId="21" fillId="0" borderId="63" xfId="5" applyFont="1" applyBorder="1" applyAlignment="1">
      <alignment horizontal="center" vertical="center"/>
    </xf>
    <xf numFmtId="41" fontId="21" fillId="0" borderId="64" xfId="5" applyFont="1" applyBorder="1" applyAlignment="1">
      <alignment horizontal="center" vertical="center"/>
    </xf>
    <xf numFmtId="180" fontId="21" fillId="0" borderId="65" xfId="7" applyNumberFormat="1" applyFont="1" applyBorder="1" applyAlignment="1">
      <alignment horizontal="center" vertical="center"/>
    </xf>
    <xf numFmtId="41" fontId="21" fillId="0" borderId="63" xfId="5" applyFont="1" applyFill="1" applyBorder="1" applyAlignment="1">
      <alignment horizontal="center" vertical="center"/>
    </xf>
    <xf numFmtId="41" fontId="21" fillId="0" borderId="66" xfId="5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179" fontId="21" fillId="0" borderId="63" xfId="5" applyNumberFormat="1" applyFont="1" applyBorder="1" applyAlignment="1">
      <alignment horizontal="center" vertical="center"/>
    </xf>
    <xf numFmtId="179" fontId="21" fillId="0" borderId="63" xfId="5" applyNumberFormat="1" applyFont="1" applyFill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/>
    </xf>
    <xf numFmtId="0" fontId="21" fillId="0" borderId="59" xfId="3" applyFont="1" applyBorder="1" applyAlignment="1">
      <alignment horizontal="left" vertical="center"/>
    </xf>
    <xf numFmtId="179" fontId="21" fillId="0" borderId="58" xfId="5" applyNumberFormat="1" applyFont="1" applyBorder="1" applyAlignment="1">
      <alignment horizontal="center" vertical="center"/>
    </xf>
    <xf numFmtId="179" fontId="21" fillId="0" borderId="59" xfId="5" applyNumberFormat="1" applyFont="1" applyBorder="1" applyAlignment="1">
      <alignment horizontal="center" vertical="center"/>
    </xf>
    <xf numFmtId="180" fontId="21" fillId="0" borderId="60" xfId="7" applyNumberFormat="1" applyFont="1" applyBorder="1" applyAlignment="1">
      <alignment horizontal="center" vertical="center"/>
    </xf>
    <xf numFmtId="179" fontId="21" fillId="0" borderId="58" xfId="5" applyNumberFormat="1" applyFont="1" applyFill="1" applyBorder="1" applyAlignment="1">
      <alignment horizontal="center" vertical="center"/>
    </xf>
    <xf numFmtId="179" fontId="21" fillId="0" borderId="61" xfId="5" applyNumberFormat="1" applyFont="1" applyFill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41" fontId="21" fillId="0" borderId="0" xfId="5" applyFont="1">
      <alignment vertical="center"/>
    </xf>
    <xf numFmtId="41" fontId="21" fillId="0" borderId="71" xfId="5" applyFont="1" applyBorder="1">
      <alignment vertical="center"/>
    </xf>
    <xf numFmtId="180" fontId="21" fillId="0" borderId="71" xfId="7" applyNumberFormat="1" applyFont="1" applyBorder="1">
      <alignment vertical="center"/>
    </xf>
    <xf numFmtId="0" fontId="21" fillId="0" borderId="56" xfId="3" applyFont="1" applyBorder="1" applyAlignment="1">
      <alignment horizontal="center" vertical="center"/>
    </xf>
    <xf numFmtId="41" fontId="21" fillId="0" borderId="54" xfId="5" applyFont="1" applyBorder="1">
      <alignment vertical="center"/>
    </xf>
    <xf numFmtId="41" fontId="21" fillId="0" borderId="55" xfId="5" applyFont="1" applyBorder="1">
      <alignment vertical="center"/>
    </xf>
    <xf numFmtId="41" fontId="21" fillId="0" borderId="63" xfId="5" applyFont="1" applyBorder="1">
      <alignment vertical="center"/>
    </xf>
    <xf numFmtId="0" fontId="21" fillId="5" borderId="31" xfId="3" applyFont="1" applyFill="1" applyBorder="1">
      <alignment vertical="center"/>
    </xf>
    <xf numFmtId="0" fontId="21" fillId="0" borderId="64" xfId="3" applyFont="1" applyBorder="1">
      <alignment vertical="center"/>
    </xf>
    <xf numFmtId="179" fontId="21" fillId="0" borderId="63" xfId="5" applyNumberFormat="1" applyFont="1" applyBorder="1">
      <alignment vertical="center"/>
    </xf>
    <xf numFmtId="0" fontId="21" fillId="5" borderId="32" xfId="3" applyFont="1" applyFill="1" applyBorder="1">
      <alignment vertical="center"/>
    </xf>
    <xf numFmtId="41" fontId="21" fillId="0" borderId="58" xfId="5" applyFont="1" applyBorder="1">
      <alignment vertical="center"/>
    </xf>
    <xf numFmtId="41" fontId="21" fillId="0" borderId="59" xfId="5" applyFont="1" applyBorder="1">
      <alignment vertical="center"/>
    </xf>
    <xf numFmtId="41" fontId="21" fillId="0" borderId="59" xfId="5" applyFont="1" applyBorder="1" applyAlignment="1">
      <alignment horizontal="center" vertical="center"/>
    </xf>
    <xf numFmtId="41" fontId="21" fillId="0" borderId="58" xfId="5" applyFont="1" applyBorder="1" applyAlignment="1">
      <alignment horizontal="center" vertical="center"/>
    </xf>
    <xf numFmtId="41" fontId="21" fillId="0" borderId="61" xfId="5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8" fillId="0" borderId="0" xfId="3" applyFont="1" applyBorder="1">
      <alignment vertical="center"/>
    </xf>
    <xf numFmtId="0" fontId="30" fillId="0" borderId="0" xfId="3" applyFont="1">
      <alignment vertical="center"/>
    </xf>
    <xf numFmtId="0" fontId="27" fillId="3" borderId="54" xfId="3" applyFont="1" applyFill="1" applyBorder="1" applyAlignment="1">
      <alignment horizontal="center" vertical="center"/>
    </xf>
    <xf numFmtId="0" fontId="27" fillId="3" borderId="55" xfId="3" applyFont="1" applyFill="1" applyBorder="1" applyAlignment="1">
      <alignment horizontal="center" vertical="center"/>
    </xf>
    <xf numFmtId="0" fontId="27" fillId="3" borderId="73" xfId="3" applyFont="1" applyFill="1" applyBorder="1" applyAlignment="1">
      <alignment horizontal="center" vertical="center"/>
    </xf>
    <xf numFmtId="0" fontId="27" fillId="3" borderId="56" xfId="3" applyFont="1" applyFill="1" applyBorder="1" applyAlignment="1">
      <alignment horizontal="center" vertical="center" wrapText="1"/>
    </xf>
    <xf numFmtId="0" fontId="21" fillId="3" borderId="31" xfId="3" applyFont="1" applyFill="1" applyBorder="1">
      <alignment vertical="center"/>
    </xf>
    <xf numFmtId="0" fontId="21" fillId="0" borderId="74" xfId="3" applyFont="1" applyBorder="1" applyAlignment="1">
      <alignment horizontal="center" vertical="center" wrapText="1"/>
    </xf>
    <xf numFmtId="0" fontId="21" fillId="3" borderId="30" xfId="3" applyFont="1" applyFill="1" applyBorder="1">
      <alignment vertical="center"/>
    </xf>
    <xf numFmtId="0" fontId="21" fillId="0" borderId="76" xfId="3" applyFont="1" applyBorder="1" applyAlignment="1">
      <alignment horizontal="center" vertical="center" wrapText="1"/>
    </xf>
    <xf numFmtId="0" fontId="31" fillId="0" borderId="0" xfId="3" applyFont="1">
      <alignment vertical="center"/>
    </xf>
    <xf numFmtId="0" fontId="21" fillId="5" borderId="31" xfId="3" applyFont="1" applyFill="1" applyBorder="1" applyAlignment="1">
      <alignment horizontal="center" vertical="center"/>
    </xf>
    <xf numFmtId="0" fontId="21" fillId="0" borderId="64" xfId="3" applyFont="1" applyBorder="1" applyAlignment="1">
      <alignment horizontal="left" vertical="center" wrapText="1"/>
    </xf>
    <xf numFmtId="41" fontId="21" fillId="0" borderId="64" xfId="5" applyNumberFormat="1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5" fillId="0" borderId="58" xfId="9" applyFont="1" applyBorder="1" applyAlignment="1">
      <alignment horizontal="center" vertical="center"/>
    </xf>
    <xf numFmtId="0" fontId="5" fillId="0" borderId="59" xfId="9" applyFont="1" applyBorder="1" applyAlignment="1">
      <alignment horizontal="center" vertical="center"/>
    </xf>
    <xf numFmtId="0" fontId="5" fillId="0" borderId="76" xfId="9" applyFont="1" applyBorder="1" applyAlignment="1">
      <alignment horizontal="center" vertical="center"/>
    </xf>
    <xf numFmtId="0" fontId="8" fillId="0" borderId="0" xfId="9" applyFont="1" applyAlignment="1">
      <alignment vertical="center"/>
    </xf>
    <xf numFmtId="178" fontId="22" fillId="0" borderId="16" xfId="3" applyNumberFormat="1" applyFont="1" applyBorder="1" applyAlignment="1">
      <alignment horizontal="right" vertical="center"/>
    </xf>
    <xf numFmtId="0" fontId="5" fillId="0" borderId="60" xfId="9" applyFont="1" applyBorder="1" applyAlignment="1">
      <alignment horizontal="center" vertical="center"/>
    </xf>
    <xf numFmtId="41" fontId="35" fillId="0" borderId="66" xfId="5" applyFont="1" applyFill="1" applyBorder="1" applyAlignment="1">
      <alignment horizontal="center" vertical="center"/>
    </xf>
    <xf numFmtId="179" fontId="35" fillId="0" borderId="66" xfId="5" applyNumberFormat="1" applyFont="1" applyFill="1" applyBorder="1" applyAlignment="1">
      <alignment horizontal="center" vertical="center"/>
    </xf>
    <xf numFmtId="41" fontId="35" fillId="0" borderId="64" xfId="5" applyFont="1" applyBorder="1" applyAlignment="1">
      <alignment horizontal="center" vertical="center"/>
    </xf>
    <xf numFmtId="179" fontId="35" fillId="0" borderId="64" xfId="5" applyNumberFormat="1" applyFont="1" applyBorder="1" applyAlignment="1">
      <alignment horizontal="center" vertical="center"/>
    </xf>
    <xf numFmtId="41" fontId="35" fillId="0" borderId="64" xfId="5" applyFont="1" applyBorder="1">
      <alignment vertical="center"/>
    </xf>
    <xf numFmtId="179" fontId="35" fillId="0" borderId="64" xfId="5" applyNumberFormat="1" applyFont="1" applyBorder="1">
      <alignment vertical="center"/>
    </xf>
    <xf numFmtId="41" fontId="35" fillId="0" borderId="66" xfId="5" applyFont="1" applyBorder="1" applyAlignment="1">
      <alignment horizontal="center" vertical="center"/>
    </xf>
    <xf numFmtId="179" fontId="35" fillId="0" borderId="66" xfId="5" applyNumberFormat="1" applyFont="1" applyBorder="1" applyAlignment="1">
      <alignment horizontal="center" vertical="center"/>
    </xf>
    <xf numFmtId="180" fontId="35" fillId="0" borderId="65" xfId="7" applyNumberFormat="1" applyFont="1" applyBorder="1" applyAlignment="1">
      <alignment horizontal="center" vertical="center"/>
    </xf>
    <xf numFmtId="182" fontId="35" fillId="0" borderId="63" xfId="5" applyNumberFormat="1" applyFont="1" applyBorder="1">
      <alignment vertical="center"/>
    </xf>
    <xf numFmtId="182" fontId="35" fillId="0" borderId="66" xfId="5" applyNumberFormat="1" applyFont="1" applyBorder="1">
      <alignment vertical="center"/>
    </xf>
    <xf numFmtId="4" fontId="35" fillId="0" borderId="64" xfId="3" applyNumberFormat="1" applyFont="1" applyBorder="1">
      <alignment vertical="center"/>
    </xf>
    <xf numFmtId="182" fontId="35" fillId="0" borderId="75" xfId="5" applyNumberFormat="1" applyFont="1" applyBorder="1">
      <alignment vertical="center"/>
    </xf>
    <xf numFmtId="182" fontId="35" fillId="0" borderId="58" xfId="5" applyNumberFormat="1" applyFont="1" applyBorder="1">
      <alignment vertical="center"/>
    </xf>
    <xf numFmtId="182" fontId="35" fillId="0" borderId="61" xfId="5" applyNumberFormat="1" applyFont="1" applyBorder="1">
      <alignment vertical="center"/>
    </xf>
    <xf numFmtId="4" fontId="35" fillId="0" borderId="59" xfId="3" applyNumberFormat="1" applyFont="1" applyBorder="1">
      <alignment vertical="center"/>
    </xf>
    <xf numFmtId="182" fontId="35" fillId="0" borderId="70" xfId="5" applyNumberFormat="1" applyFont="1" applyBorder="1">
      <alignment vertical="center"/>
    </xf>
    <xf numFmtId="179" fontId="21" fillId="0" borderId="64" xfId="5" applyNumberFormat="1" applyFont="1" applyBorder="1">
      <alignment vertical="center"/>
    </xf>
    <xf numFmtId="179" fontId="21" fillId="0" borderId="64" xfId="5" applyNumberFormat="1" applyFont="1" applyBorder="1" applyAlignment="1">
      <alignment horizontal="center" vertical="center"/>
    </xf>
    <xf numFmtId="179" fontId="21" fillId="0" borderId="66" xfId="5" applyNumberFormat="1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 wrapText="1"/>
    </xf>
    <xf numFmtId="182" fontId="35" fillId="0" borderId="0" xfId="5" applyNumberFormat="1" applyFont="1" applyBorder="1">
      <alignment vertical="center"/>
    </xf>
    <xf numFmtId="4" fontId="35" fillId="0" borderId="0" xfId="3" applyNumberFormat="1" applyFont="1" applyBorder="1">
      <alignment vertical="center"/>
    </xf>
    <xf numFmtId="2" fontId="22" fillId="0" borderId="37" xfId="3" applyNumberFormat="1" applyFont="1" applyFill="1" applyBorder="1" applyAlignment="1">
      <alignment horizontal="center" vertical="center"/>
    </xf>
    <xf numFmtId="182" fontId="35" fillId="0" borderId="64" xfId="5" applyNumberFormat="1" applyFont="1" applyBorder="1">
      <alignment vertical="center"/>
    </xf>
    <xf numFmtId="182" fontId="35" fillId="0" borderId="59" xfId="5" applyNumberFormat="1" applyFont="1" applyBorder="1">
      <alignment vertical="center"/>
    </xf>
    <xf numFmtId="41" fontId="5" fillId="0" borderId="27" xfId="6" applyFont="1" applyFill="1" applyBorder="1" applyAlignment="1">
      <alignment horizontal="center"/>
    </xf>
    <xf numFmtId="41" fontId="5" fillId="0" borderId="10" xfId="6" applyFont="1" applyFill="1" applyBorder="1" applyAlignment="1">
      <alignment horizontal="center" vertical="top"/>
    </xf>
    <xf numFmtId="176" fontId="21" fillId="0" borderId="64" xfId="5" applyNumberFormat="1" applyFont="1" applyBorder="1" applyAlignment="1">
      <alignment horizontal="right" vertical="center"/>
    </xf>
    <xf numFmtId="182" fontId="35" fillId="0" borderId="59" xfId="5" applyNumberFormat="1" applyFont="1" applyBorder="1" applyAlignment="1">
      <alignment horizontal="right" vertical="center"/>
    </xf>
    <xf numFmtId="182" fontId="35" fillId="0" borderId="64" xfId="5" applyNumberFormat="1" applyFont="1" applyBorder="1" applyAlignment="1">
      <alignment horizontal="right" vertical="center"/>
    </xf>
    <xf numFmtId="41" fontId="5" fillId="0" borderId="39" xfId="6" applyFont="1" applyBorder="1" applyAlignment="1">
      <alignment horizontal="center" vertical="center" wrapText="1"/>
    </xf>
    <xf numFmtId="41" fontId="5" fillId="0" borderId="42" xfId="6" applyFont="1" applyBorder="1"/>
    <xf numFmtId="41" fontId="5" fillId="0" borderId="27" xfId="6" applyFont="1" applyBorder="1" applyAlignment="1">
      <alignment horizontal="center" vertical="center" wrapText="1"/>
    </xf>
    <xf numFmtId="41" fontId="5" fillId="0" borderId="10" xfId="6" applyFont="1" applyBorder="1"/>
    <xf numFmtId="41" fontId="5" fillId="0" borderId="27" xfId="6" applyFont="1" applyFill="1" applyBorder="1" applyAlignment="1">
      <alignment horizontal="center" vertical="center" wrapText="1"/>
    </xf>
    <xf numFmtId="41" fontId="5" fillId="0" borderId="10" xfId="6" applyFont="1" applyFill="1" applyBorder="1"/>
    <xf numFmtId="41" fontId="5" fillId="0" borderId="27" xfId="6" applyFont="1" applyBorder="1" applyAlignment="1">
      <alignment horizontal="center" vertical="center"/>
    </xf>
    <xf numFmtId="0" fontId="27" fillId="5" borderId="58" xfId="3" applyFont="1" applyFill="1" applyBorder="1" applyAlignment="1">
      <alignment horizontal="left" vertical="center"/>
    </xf>
    <xf numFmtId="0" fontId="27" fillId="5" borderId="59" xfId="3" applyFont="1" applyFill="1" applyBorder="1" applyAlignment="1">
      <alignment horizontal="left" vertical="center"/>
    </xf>
    <xf numFmtId="0" fontId="27" fillId="5" borderId="33" xfId="3" applyFont="1" applyFill="1" applyBorder="1" applyAlignment="1">
      <alignment horizontal="left" vertical="center"/>
    </xf>
    <xf numFmtId="0" fontId="27" fillId="5" borderId="64" xfId="3" applyFont="1" applyFill="1" applyBorder="1" applyAlignment="1">
      <alignment horizontal="left" vertical="center"/>
    </xf>
    <xf numFmtId="0" fontId="27" fillId="3" borderId="72" xfId="3" applyFont="1" applyFill="1" applyBorder="1" applyAlignment="1">
      <alignment horizontal="center" vertical="center"/>
    </xf>
    <xf numFmtId="0" fontId="27" fillId="3" borderId="36" xfId="3" applyFont="1" applyFill="1" applyBorder="1" applyAlignment="1">
      <alignment horizontal="center" vertical="center"/>
    </xf>
    <xf numFmtId="0" fontId="27" fillId="5" borderId="54" xfId="3" applyFont="1" applyFill="1" applyBorder="1" applyAlignment="1">
      <alignment horizontal="left" vertical="center"/>
    </xf>
    <xf numFmtId="0" fontId="27" fillId="5" borderId="55" xfId="3" applyFont="1" applyFill="1" applyBorder="1" applyAlignment="1">
      <alignment horizontal="left" vertical="center"/>
    </xf>
    <xf numFmtId="41" fontId="5" fillId="0" borderId="38" xfId="6" applyFont="1" applyBorder="1" applyAlignment="1">
      <alignment horizontal="center" vertical="center"/>
    </xf>
    <xf numFmtId="41" fontId="5" fillId="0" borderId="41" xfId="6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/>
    </xf>
    <xf numFmtId="0" fontId="27" fillId="5" borderId="32" xfId="3" applyFont="1" applyFill="1" applyBorder="1" applyAlignment="1">
      <alignment horizontal="left" vertical="center"/>
    </xf>
    <xf numFmtId="0" fontId="27" fillId="5" borderId="15" xfId="3" applyFont="1" applyFill="1" applyBorder="1" applyAlignment="1">
      <alignment horizontal="left" vertical="center"/>
    </xf>
    <xf numFmtId="0" fontId="27" fillId="5" borderId="63" xfId="3" applyFont="1" applyFill="1" applyBorder="1" applyAlignment="1">
      <alignment horizontal="left" vertical="center"/>
    </xf>
    <xf numFmtId="2" fontId="5" fillId="0" borderId="81" xfId="3" applyNumberFormat="1" applyFont="1" applyFill="1" applyBorder="1" applyAlignment="1">
      <alignment horizontal="center" vertical="center"/>
    </xf>
    <xf numFmtId="0" fontId="1" fillId="0" borderId="0" xfId="3">
      <alignment vertical="center"/>
    </xf>
    <xf numFmtId="0" fontId="3" fillId="2" borderId="1" xfId="3" applyFont="1" applyFill="1" applyBorder="1" applyAlignment="1">
      <alignment horizontal="right" vertical="center" wrapText="1"/>
    </xf>
    <xf numFmtId="0" fontId="3" fillId="2" borderId="2" xfId="3" applyFont="1" applyFill="1" applyBorder="1" applyAlignment="1">
      <alignment horizontal="right" vertical="center" wrapText="1"/>
    </xf>
    <xf numFmtId="0" fontId="3" fillId="0" borderId="3" xfId="3" applyFont="1" applyBorder="1" applyAlignment="1">
      <alignment horizontal="justify" vertical="center" wrapText="1"/>
    </xf>
    <xf numFmtId="0" fontId="4" fillId="0" borderId="0" xfId="3" applyFont="1">
      <alignment vertical="center"/>
    </xf>
    <xf numFmtId="0" fontId="6" fillId="0" borderId="0" xfId="3" applyFont="1">
      <alignment vertical="center"/>
    </xf>
    <xf numFmtId="0" fontId="36" fillId="0" borderId="0" xfId="3" applyFont="1">
      <alignment vertical="center"/>
    </xf>
    <xf numFmtId="0" fontId="15" fillId="0" borderId="0" xfId="2" applyFont="1" applyAlignment="1" applyProtection="1">
      <alignment vertical="center"/>
      <protection locked="0"/>
    </xf>
    <xf numFmtId="0" fontId="8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0" fontId="37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176" fontId="16" fillId="0" borderId="0" xfId="2" applyNumberFormat="1" applyFont="1" applyAlignment="1">
      <alignment vertical="center"/>
    </xf>
    <xf numFmtId="0" fontId="38" fillId="0" borderId="0" xfId="2" applyFont="1" applyAlignment="1">
      <alignment vertical="center"/>
    </xf>
    <xf numFmtId="41" fontId="21" fillId="0" borderId="0" xfId="2" applyNumberFormat="1" applyFont="1" applyAlignment="1">
      <alignment vertical="center"/>
    </xf>
    <xf numFmtId="43" fontId="21" fillId="0" borderId="0" xfId="2" applyNumberFormat="1" applyFont="1" applyAlignment="1">
      <alignment vertical="center"/>
    </xf>
    <xf numFmtId="176" fontId="21" fillId="0" borderId="0" xfId="2" applyNumberFormat="1" applyFont="1" applyAlignment="1">
      <alignment vertical="center"/>
    </xf>
    <xf numFmtId="0" fontId="8" fillId="0" borderId="0" xfId="2" applyFont="1"/>
    <xf numFmtId="0" fontId="21" fillId="0" borderId="0" xfId="2" applyFont="1" applyAlignment="1">
      <alignment vertical="top"/>
    </xf>
    <xf numFmtId="0" fontId="5" fillId="0" borderId="0" xfId="2" applyFont="1" applyAlignment="1">
      <alignment horizontal="right" vertical="center"/>
    </xf>
    <xf numFmtId="0" fontId="5" fillId="0" borderId="38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5" fillId="0" borderId="68" xfId="2" applyFont="1" applyBorder="1" applyAlignment="1">
      <alignment horizontal="center" vertical="center"/>
    </xf>
    <xf numFmtId="0" fontId="5" fillId="0" borderId="69" xfId="2" applyFont="1" applyBorder="1" applyAlignment="1">
      <alignment horizontal="center" vertical="center"/>
    </xf>
    <xf numFmtId="0" fontId="10" fillId="0" borderId="0" xfId="2" applyAlignment="1">
      <alignment vertical="center"/>
    </xf>
    <xf numFmtId="0" fontId="5" fillId="0" borderId="8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74" xfId="2" applyFont="1" applyBorder="1" applyAlignment="1">
      <alignment horizontal="center" vertical="center"/>
    </xf>
    <xf numFmtId="0" fontId="5" fillId="0" borderId="83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0" fontId="5" fillId="0" borderId="78" xfId="2" applyFont="1" applyBorder="1" applyAlignment="1">
      <alignment horizontal="center" vertical="center"/>
    </xf>
    <xf numFmtId="0" fontId="5" fillId="0" borderId="84" xfId="2" applyFont="1" applyBorder="1" applyAlignment="1">
      <alignment horizontal="center" vertical="center"/>
    </xf>
    <xf numFmtId="0" fontId="5" fillId="0" borderId="85" xfId="2" applyFont="1" applyBorder="1" applyAlignment="1">
      <alignment horizontal="center" vertical="center"/>
    </xf>
    <xf numFmtId="0" fontId="5" fillId="0" borderId="41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/>
    </xf>
    <xf numFmtId="0" fontId="29" fillId="0" borderId="82" xfId="2" quotePrefix="1" applyFont="1" applyBorder="1" applyAlignment="1">
      <alignment horizontal="center" vertical="center"/>
    </xf>
    <xf numFmtId="41" fontId="39" fillId="0" borderId="31" xfId="10" quotePrefix="1" applyFont="1" applyBorder="1" applyAlignment="1">
      <alignment horizontal="right" vertical="center"/>
    </xf>
    <xf numFmtId="41" fontId="39" fillId="0" borderId="12" xfId="10" quotePrefix="1" applyFont="1" applyBorder="1" applyAlignment="1">
      <alignment horizontal="right" vertical="center"/>
    </xf>
    <xf numFmtId="41" fontId="40" fillId="0" borderId="12" xfId="10" applyFont="1" applyBorder="1" applyAlignment="1">
      <alignment horizontal="right" vertical="center"/>
    </xf>
    <xf numFmtId="41" fontId="39" fillId="0" borderId="13" xfId="10" quotePrefix="1" applyFont="1" applyBorder="1" applyAlignment="1">
      <alignment horizontal="right" vertical="center"/>
    </xf>
    <xf numFmtId="41" fontId="39" fillId="0" borderId="77" xfId="10" quotePrefix="1" applyFont="1" applyBorder="1" applyAlignment="1">
      <alignment horizontal="right" vertical="center"/>
    </xf>
    <xf numFmtId="41" fontId="39" fillId="0" borderId="86" xfId="10" quotePrefix="1" applyFont="1" applyBorder="1" applyAlignment="1">
      <alignment horizontal="right" vertical="center"/>
    </xf>
    <xf numFmtId="41" fontId="39" fillId="0" borderId="0" xfId="10" quotePrefix="1" applyFont="1" applyBorder="1" applyAlignment="1">
      <alignment horizontal="right" vertical="center"/>
    </xf>
    <xf numFmtId="41" fontId="39" fillId="0" borderId="31" xfId="10" applyFont="1" applyBorder="1" applyAlignment="1">
      <alignment vertical="center"/>
    </xf>
    <xf numFmtId="41" fontId="39" fillId="0" borderId="12" xfId="10" applyFont="1" applyBorder="1" applyAlignment="1">
      <alignment vertical="center"/>
    </xf>
    <xf numFmtId="41" fontId="39" fillId="0" borderId="12" xfId="10" applyFont="1" applyBorder="1" applyAlignment="1">
      <alignment horizontal="right" vertical="center"/>
    </xf>
    <xf numFmtId="41" fontId="39" fillId="0" borderId="13" xfId="10" applyFont="1" applyBorder="1" applyAlignment="1">
      <alignment vertical="center"/>
    </xf>
    <xf numFmtId="41" fontId="39" fillId="0" borderId="77" xfId="10" applyFont="1" applyBorder="1" applyAlignment="1">
      <alignment vertical="center"/>
    </xf>
    <xf numFmtId="41" fontId="39" fillId="0" borderId="86" xfId="10" applyFont="1" applyBorder="1" applyAlignment="1">
      <alignment vertical="center"/>
    </xf>
    <xf numFmtId="0" fontId="5" fillId="0" borderId="82" xfId="2" quotePrefix="1" applyFont="1" applyBorder="1" applyAlignment="1">
      <alignment horizontal="center" vertical="center"/>
    </xf>
    <xf numFmtId="41" fontId="40" fillId="0" borderId="31" xfId="10" applyFont="1" applyBorder="1" applyAlignment="1">
      <alignment vertical="center"/>
    </xf>
    <xf numFmtId="41" fontId="40" fillId="0" borderId="12" xfId="10" applyFont="1" applyBorder="1" applyAlignment="1">
      <alignment vertical="center"/>
    </xf>
    <xf numFmtId="41" fontId="40" fillId="0" borderId="13" xfId="10" applyFont="1" applyBorder="1" applyAlignment="1">
      <alignment vertical="center"/>
    </xf>
    <xf numFmtId="41" fontId="40" fillId="0" borderId="77" xfId="10" applyFont="1" applyBorder="1" applyAlignment="1">
      <alignment vertical="center"/>
    </xf>
    <xf numFmtId="41" fontId="40" fillId="0" borderId="86" xfId="10" applyFont="1" applyBorder="1" applyAlignment="1">
      <alignment vertical="center"/>
    </xf>
    <xf numFmtId="49" fontId="5" fillId="0" borderId="82" xfId="2" quotePrefix="1" applyNumberFormat="1" applyFont="1" applyBorder="1" applyAlignment="1">
      <alignment horizontal="center" vertical="center"/>
    </xf>
    <xf numFmtId="49" fontId="5" fillId="0" borderId="87" xfId="2" quotePrefix="1" applyNumberFormat="1" applyFont="1" applyBorder="1" applyAlignment="1">
      <alignment horizontal="center" vertical="center"/>
    </xf>
    <xf numFmtId="41" fontId="40" fillId="0" borderId="33" xfId="10" applyFont="1" applyBorder="1" applyAlignment="1">
      <alignment vertical="center"/>
    </xf>
    <xf numFmtId="41" fontId="40" fillId="0" borderId="18" xfId="10" applyFont="1" applyBorder="1" applyAlignment="1">
      <alignment vertical="center"/>
    </xf>
    <xf numFmtId="41" fontId="40" fillId="0" borderId="18" xfId="10" applyFont="1" applyBorder="1" applyAlignment="1">
      <alignment horizontal="right" vertical="center"/>
    </xf>
    <xf numFmtId="41" fontId="39" fillId="0" borderId="18" xfId="10" quotePrefix="1" applyFont="1" applyBorder="1" applyAlignment="1">
      <alignment horizontal="right" vertical="center"/>
    </xf>
    <xf numFmtId="41" fontId="40" fillId="0" borderId="78" xfId="10" applyFont="1" applyBorder="1" applyAlignment="1">
      <alignment vertical="center"/>
    </xf>
    <xf numFmtId="41" fontId="40" fillId="0" borderId="19" xfId="10" applyFont="1" applyBorder="1" applyAlignment="1">
      <alignment vertical="center"/>
    </xf>
    <xf numFmtId="41" fontId="40" fillId="0" borderId="85" xfId="10" applyFont="1" applyBorder="1" applyAlignment="1">
      <alignment vertical="center"/>
    </xf>
    <xf numFmtId="2" fontId="5" fillId="0" borderId="82" xfId="2" quotePrefix="1" applyNumberFormat="1" applyFont="1" applyBorder="1" applyAlignment="1">
      <alignment horizontal="center" vertical="center"/>
    </xf>
    <xf numFmtId="2" fontId="5" fillId="0" borderId="87" xfId="2" quotePrefix="1" applyNumberFormat="1" applyFont="1" applyBorder="1" applyAlignment="1">
      <alignment horizontal="center" vertical="center"/>
    </xf>
    <xf numFmtId="2" fontId="5" fillId="0" borderId="41" xfId="2" quotePrefix="1" applyNumberFormat="1" applyFont="1" applyBorder="1" applyAlignment="1">
      <alignment horizontal="center" vertical="center"/>
    </xf>
    <xf numFmtId="41" fontId="40" fillId="0" borderId="42" xfId="10" applyFont="1" applyBorder="1" applyAlignment="1">
      <alignment vertical="center"/>
    </xf>
    <xf numFmtId="41" fontId="40" fillId="0" borderId="10" xfId="10" applyFont="1" applyBorder="1" applyAlignment="1">
      <alignment vertical="center"/>
    </xf>
    <xf numFmtId="41" fontId="40" fillId="0" borderId="10" xfId="10" applyFont="1" applyBorder="1" applyAlignment="1">
      <alignment horizontal="right" vertical="center"/>
    </xf>
    <xf numFmtId="41" fontId="39" fillId="0" borderId="10" xfId="10" quotePrefix="1" applyFont="1" applyBorder="1" applyAlignment="1">
      <alignment horizontal="right" vertical="center"/>
    </xf>
    <xf numFmtId="41" fontId="40" fillId="0" borderId="88" xfId="10" applyFont="1" applyBorder="1" applyAlignment="1">
      <alignment vertical="center"/>
    </xf>
    <xf numFmtId="41" fontId="40" fillId="0" borderId="11" xfId="10" applyFont="1" applyBorder="1" applyAlignment="1">
      <alignment vertical="center"/>
    </xf>
    <xf numFmtId="41" fontId="40" fillId="0" borderId="30" xfId="10" applyFont="1" applyBorder="1" applyAlignment="1">
      <alignment vertical="center"/>
    </xf>
    <xf numFmtId="0" fontId="5" fillId="0" borderId="0" xfId="2" applyFont="1" applyAlignment="1">
      <alignment vertical="center"/>
    </xf>
    <xf numFmtId="176" fontId="21" fillId="0" borderId="0" xfId="2" applyNumberFormat="1" applyFont="1" applyAlignment="1">
      <alignment horizontal="right" vertical="center"/>
    </xf>
    <xf numFmtId="187" fontId="21" fillId="0" borderId="0" xfId="2" applyNumberFormat="1" applyFont="1" applyAlignment="1">
      <alignment vertical="center"/>
    </xf>
    <xf numFmtId="0" fontId="17" fillId="0" borderId="0" xfId="2" applyFont="1" applyAlignment="1">
      <alignment vertical="center"/>
    </xf>
    <xf numFmtId="176" fontId="8" fillId="0" borderId="0" xfId="2" applyNumberFormat="1" applyFont="1" applyAlignment="1">
      <alignment vertical="center"/>
    </xf>
    <xf numFmtId="0" fontId="41" fillId="0" borderId="0" xfId="2" applyFont="1" applyAlignment="1">
      <alignment vertical="center"/>
    </xf>
    <xf numFmtId="0" fontId="41" fillId="0" borderId="0" xfId="2" applyFont="1" applyAlignment="1">
      <alignment horizontal="left" vertical="center" wrapText="1"/>
    </xf>
    <xf numFmtId="0" fontId="42" fillId="0" borderId="0" xfId="2" applyFont="1" applyAlignment="1">
      <alignment vertical="center"/>
    </xf>
    <xf numFmtId="0" fontId="15" fillId="0" borderId="0" xfId="9" applyFont="1" applyAlignment="1" applyProtection="1">
      <alignment vertical="center"/>
      <protection locked="0"/>
    </xf>
    <xf numFmtId="0" fontId="16" fillId="0" borderId="0" xfId="9" applyFont="1" applyAlignment="1">
      <alignment vertical="center"/>
    </xf>
    <xf numFmtId="176" fontId="16" fillId="0" borderId="0" xfId="9" applyNumberFormat="1" applyFont="1" applyAlignment="1">
      <alignment vertical="center"/>
    </xf>
    <xf numFmtId="0" fontId="27" fillId="0" borderId="0" xfId="9" applyFont="1" applyAlignment="1">
      <alignment vertical="center"/>
    </xf>
    <xf numFmtId="0" fontId="5" fillId="0" borderId="0" xfId="9" applyFont="1" applyAlignment="1">
      <alignment horizontal="right" vertical="center"/>
    </xf>
    <xf numFmtId="2" fontId="40" fillId="0" borderId="89" xfId="9" quotePrefix="1" applyNumberFormat="1" applyFont="1" applyBorder="1" applyAlignment="1">
      <alignment horizontal="left" vertical="center" wrapText="1"/>
    </xf>
    <xf numFmtId="2" fontId="5" fillId="0" borderId="71" xfId="9" quotePrefix="1" applyNumberFormat="1" applyFont="1" applyBorder="1" applyAlignment="1">
      <alignment horizontal="center" vertical="center"/>
    </xf>
    <xf numFmtId="2" fontId="5" fillId="0" borderId="90" xfId="9" quotePrefix="1" applyNumberFormat="1" applyFont="1" applyBorder="1" applyAlignment="1">
      <alignment horizontal="center" vertical="center"/>
    </xf>
    <xf numFmtId="2" fontId="5" fillId="0" borderId="91" xfId="9" quotePrefix="1" applyNumberFormat="1" applyFont="1" applyBorder="1" applyAlignment="1">
      <alignment horizontal="center" vertical="center"/>
    </xf>
    <xf numFmtId="2" fontId="5" fillId="0" borderId="38" xfId="9" quotePrefix="1" applyNumberFormat="1" applyFont="1" applyBorder="1" applyAlignment="1">
      <alignment horizontal="center" vertical="center"/>
    </xf>
    <xf numFmtId="2" fontId="5" fillId="0" borderId="38" xfId="9" quotePrefix="1" applyNumberFormat="1" applyFont="1" applyBorder="1" applyAlignment="1">
      <alignment horizontal="center" vertical="center" wrapText="1"/>
    </xf>
    <xf numFmtId="2" fontId="5" fillId="0" borderId="92" xfId="9" quotePrefix="1" applyNumberFormat="1" applyFont="1" applyBorder="1" applyAlignment="1">
      <alignment horizontal="center" vertical="center"/>
    </xf>
    <xf numFmtId="2" fontId="40" fillId="0" borderId="93" xfId="9" quotePrefix="1" applyNumberFormat="1" applyFont="1" applyBorder="1" applyAlignment="1">
      <alignment horizontal="left" vertical="center" wrapText="1"/>
    </xf>
    <xf numFmtId="2" fontId="40" fillId="0" borderId="94" xfId="9" quotePrefix="1" applyNumberFormat="1" applyFont="1" applyBorder="1" applyAlignment="1">
      <alignment horizontal="left" vertical="center"/>
    </xf>
    <xf numFmtId="2" fontId="5" fillId="0" borderId="43" xfId="9" quotePrefix="1" applyNumberFormat="1" applyFont="1" applyBorder="1" applyAlignment="1">
      <alignment horizontal="center" vertical="center"/>
    </xf>
    <xf numFmtId="2" fontId="5" fillId="0" borderId="41" xfId="9" quotePrefix="1" applyNumberFormat="1" applyFont="1" applyBorder="1" applyAlignment="1">
      <alignment horizontal="center" vertical="center"/>
    </xf>
    <xf numFmtId="2" fontId="5" fillId="0" borderId="41" xfId="9" quotePrefix="1" applyNumberFormat="1" applyFont="1" applyBorder="1" applyAlignment="1">
      <alignment horizontal="center" vertical="center"/>
    </xf>
    <xf numFmtId="2" fontId="5" fillId="0" borderId="41" xfId="9" quotePrefix="1" applyNumberFormat="1" applyFont="1" applyBorder="1" applyAlignment="1">
      <alignment horizontal="center" vertical="center" wrapText="1"/>
    </xf>
    <xf numFmtId="2" fontId="5" fillId="0" borderId="43" xfId="9" quotePrefix="1" applyNumberFormat="1" applyFont="1" applyBorder="1" applyAlignment="1">
      <alignment horizontal="center" vertical="center"/>
    </xf>
    <xf numFmtId="2" fontId="40" fillId="0" borderId="95" xfId="9" quotePrefix="1" applyNumberFormat="1" applyFont="1" applyBorder="1" applyAlignment="1">
      <alignment horizontal="left" vertical="center"/>
    </xf>
    <xf numFmtId="2" fontId="5" fillId="0" borderId="96" xfId="9" quotePrefix="1" applyNumberFormat="1" applyFont="1" applyBorder="1" applyAlignment="1">
      <alignment horizontal="center" vertical="center"/>
    </xf>
    <xf numFmtId="41" fontId="5" fillId="0" borderId="57" xfId="9" quotePrefix="1" applyNumberFormat="1" applyFont="1" applyBorder="1" applyAlignment="1">
      <alignment horizontal="right" vertical="center"/>
    </xf>
    <xf numFmtId="41" fontId="5" fillId="0" borderId="55" xfId="9" quotePrefix="1" applyNumberFormat="1" applyFont="1" applyBorder="1" applyAlignment="1">
      <alignment horizontal="right" vertical="center"/>
    </xf>
    <xf numFmtId="41" fontId="5" fillId="0" borderId="56" xfId="9" quotePrefix="1" applyNumberFormat="1" applyFont="1" applyBorder="1" applyAlignment="1">
      <alignment horizontal="right" vertical="center"/>
    </xf>
    <xf numFmtId="41" fontId="5" fillId="0" borderId="68" xfId="9" quotePrefix="1" applyNumberFormat="1" applyFont="1" applyBorder="1" applyAlignment="1">
      <alignment horizontal="right" vertical="center"/>
    </xf>
    <xf numFmtId="2" fontId="5" fillId="0" borderId="97" xfId="9" quotePrefix="1" applyNumberFormat="1" applyFont="1" applyBorder="1" applyAlignment="1">
      <alignment horizontal="center" vertical="center"/>
    </xf>
    <xf numFmtId="41" fontId="5" fillId="0" borderId="66" xfId="9" quotePrefix="1" applyNumberFormat="1" applyFont="1" applyBorder="1" applyAlignment="1">
      <alignment horizontal="right" vertical="center"/>
    </xf>
    <xf numFmtId="41" fontId="5" fillId="0" borderId="64" xfId="9" quotePrefix="1" applyNumberFormat="1" applyFont="1" applyBorder="1" applyAlignment="1">
      <alignment horizontal="right" vertical="center"/>
    </xf>
    <xf numFmtId="41" fontId="5" fillId="0" borderId="65" xfId="9" quotePrefix="1" applyNumberFormat="1" applyFont="1" applyBorder="1" applyAlignment="1">
      <alignment horizontal="right" vertical="center"/>
    </xf>
    <xf numFmtId="41" fontId="5" fillId="0" borderId="75" xfId="9" quotePrefix="1" applyNumberFormat="1" applyFont="1" applyBorder="1" applyAlignment="1">
      <alignment horizontal="right" vertical="center"/>
    </xf>
    <xf numFmtId="2" fontId="5" fillId="6" borderId="97" xfId="9" quotePrefix="1" applyNumberFormat="1" applyFont="1" applyFill="1" applyBorder="1" applyAlignment="1">
      <alignment horizontal="center" vertical="center"/>
    </xf>
    <xf numFmtId="41" fontId="5" fillId="6" borderId="66" xfId="9" quotePrefix="1" applyNumberFormat="1" applyFont="1" applyFill="1" applyBorder="1" applyAlignment="1">
      <alignment horizontal="right" vertical="center"/>
    </xf>
    <xf numFmtId="41" fontId="5" fillId="6" borderId="64" xfId="9" quotePrefix="1" applyNumberFormat="1" applyFont="1" applyFill="1" applyBorder="1" applyAlignment="1">
      <alignment horizontal="right" vertical="center"/>
    </xf>
    <xf numFmtId="41" fontId="5" fillId="6" borderId="65" xfId="9" quotePrefix="1" applyNumberFormat="1" applyFont="1" applyFill="1" applyBorder="1" applyAlignment="1">
      <alignment horizontal="right" vertical="center"/>
    </xf>
    <xf numFmtId="41" fontId="5" fillId="6" borderId="75" xfId="9" quotePrefix="1" applyNumberFormat="1" applyFont="1" applyFill="1" applyBorder="1" applyAlignment="1">
      <alignment horizontal="right" vertical="center"/>
    </xf>
    <xf numFmtId="2" fontId="5" fillId="6" borderId="98" xfId="9" quotePrefix="1" applyNumberFormat="1" applyFont="1" applyFill="1" applyBorder="1" applyAlignment="1">
      <alignment horizontal="center" vertical="center"/>
    </xf>
    <xf numFmtId="41" fontId="5" fillId="6" borderId="61" xfId="9" quotePrefix="1" applyNumberFormat="1" applyFont="1" applyFill="1" applyBorder="1" applyAlignment="1">
      <alignment horizontal="right" vertical="center"/>
    </xf>
    <xf numFmtId="41" fontId="5" fillId="6" borderId="59" xfId="9" quotePrefix="1" applyNumberFormat="1" applyFont="1" applyFill="1" applyBorder="1" applyAlignment="1">
      <alignment horizontal="right" vertical="center"/>
    </xf>
    <xf numFmtId="41" fontId="5" fillId="6" borderId="60" xfId="9" quotePrefix="1" applyNumberFormat="1" applyFont="1" applyFill="1" applyBorder="1" applyAlignment="1">
      <alignment horizontal="right" vertical="center"/>
    </xf>
    <xf numFmtId="41" fontId="5" fillId="6" borderId="70" xfId="9" quotePrefix="1" applyNumberFormat="1" applyFont="1" applyFill="1" applyBorder="1" applyAlignment="1">
      <alignment horizontal="right" vertical="center"/>
    </xf>
    <xf numFmtId="2" fontId="5" fillId="7" borderId="41" xfId="9" quotePrefix="1" applyNumberFormat="1" applyFont="1" applyFill="1" applyBorder="1" applyAlignment="1">
      <alignment horizontal="center" vertical="center"/>
    </xf>
    <xf numFmtId="41" fontId="5" fillId="7" borderId="43" xfId="9" quotePrefix="1" applyNumberFormat="1" applyFont="1" applyFill="1" applyBorder="1" applyAlignment="1">
      <alignment horizontal="right" vertical="center"/>
    </xf>
    <xf numFmtId="41" fontId="5" fillId="7" borderId="41" xfId="9" quotePrefix="1" applyNumberFormat="1" applyFont="1" applyFill="1" applyBorder="1" applyAlignment="1">
      <alignment horizontal="right" vertical="center"/>
    </xf>
    <xf numFmtId="2" fontId="5" fillId="0" borderId="36" xfId="9" quotePrefix="1" applyNumberFormat="1" applyFont="1" applyBorder="1" applyAlignment="1">
      <alignment horizontal="center" vertical="center"/>
    </xf>
    <xf numFmtId="2" fontId="21" fillId="0" borderId="0" xfId="9" quotePrefix="1" applyNumberFormat="1" applyFont="1" applyAlignment="1">
      <alignment horizontal="center" vertical="center"/>
    </xf>
    <xf numFmtId="0" fontId="21" fillId="0" borderId="0" xfId="9" applyFont="1" applyAlignment="1">
      <alignment horizontal="right" vertical="center"/>
    </xf>
    <xf numFmtId="0" fontId="21" fillId="0" borderId="0" xfId="9" applyFont="1" applyAlignment="1">
      <alignment vertical="center"/>
    </xf>
    <xf numFmtId="2" fontId="17" fillId="0" borderId="54" xfId="9" quotePrefix="1" applyNumberFormat="1" applyFont="1" applyBorder="1" applyAlignment="1">
      <alignment horizontal="center" vertical="center"/>
    </xf>
    <xf numFmtId="2" fontId="17" fillId="0" borderId="55" xfId="9" quotePrefix="1" applyNumberFormat="1" applyFont="1" applyBorder="1" applyAlignment="1">
      <alignment horizontal="center" vertical="center"/>
    </xf>
    <xf numFmtId="2" fontId="17" fillId="0" borderId="56" xfId="9" quotePrefix="1" applyNumberFormat="1" applyFont="1" applyBorder="1" applyAlignment="1">
      <alignment horizontal="center" vertical="center"/>
    </xf>
    <xf numFmtId="0" fontId="19" fillId="0" borderId="0" xfId="9" applyFont="1"/>
    <xf numFmtId="2" fontId="17" fillId="0" borderId="0" xfId="9" quotePrefix="1" applyNumberFormat="1" applyFont="1" applyAlignment="1">
      <alignment horizontal="center" vertical="center"/>
    </xf>
    <xf numFmtId="176" fontId="19" fillId="0" borderId="0" xfId="9" applyNumberFormat="1" applyFont="1" applyAlignment="1">
      <alignment horizontal="right"/>
    </xf>
    <xf numFmtId="0" fontId="31" fillId="0" borderId="0" xfId="9" applyFont="1" applyAlignment="1">
      <alignment horizontal="center" vertical="center" wrapText="1"/>
    </xf>
    <xf numFmtId="2" fontId="17" fillId="0" borderId="63" xfId="9" quotePrefix="1" applyNumberFormat="1" applyFont="1" applyBorder="1" applyAlignment="1">
      <alignment horizontal="center" vertical="center"/>
    </xf>
    <xf numFmtId="176" fontId="17" fillId="0" borderId="64" xfId="10" quotePrefix="1" applyNumberFormat="1" applyFont="1" applyBorder="1" applyAlignment="1">
      <alignment vertical="center" shrinkToFit="1"/>
    </xf>
    <xf numFmtId="176" fontId="17" fillId="0" borderId="65" xfId="10" quotePrefix="1" applyNumberFormat="1" applyFont="1" applyBorder="1" applyAlignment="1">
      <alignment vertical="center" shrinkToFit="1"/>
    </xf>
    <xf numFmtId="0" fontId="5" fillId="0" borderId="0" xfId="9" applyFont="1" applyAlignment="1">
      <alignment horizontal="left" vertical="center" indent="1"/>
    </xf>
    <xf numFmtId="176" fontId="5" fillId="0" borderId="0" xfId="10" quotePrefix="1" applyNumberFormat="1" applyFont="1" applyBorder="1" applyAlignment="1">
      <alignment horizontal="left" vertical="center"/>
    </xf>
    <xf numFmtId="0" fontId="5" fillId="0" borderId="0" xfId="9" applyFont="1" applyAlignment="1">
      <alignment vertical="center"/>
    </xf>
    <xf numFmtId="0" fontId="5" fillId="0" borderId="0" xfId="9" applyFont="1" applyAlignment="1">
      <alignment horizontal="left" vertical="center" shrinkToFit="1"/>
    </xf>
    <xf numFmtId="0" fontId="5" fillId="0" borderId="0" xfId="9" quotePrefix="1" applyFont="1" applyAlignment="1">
      <alignment horizontal="left" vertical="center" shrinkToFit="1"/>
    </xf>
    <xf numFmtId="2" fontId="17" fillId="0" borderId="58" xfId="9" quotePrefix="1" applyNumberFormat="1" applyFont="1" applyBorder="1" applyAlignment="1">
      <alignment horizontal="center" vertical="center"/>
    </xf>
    <xf numFmtId="188" fontId="17" fillId="0" borderId="59" xfId="9" quotePrefix="1" applyNumberFormat="1" applyFont="1" applyBorder="1" applyAlignment="1">
      <alignment horizontal="center" vertical="center"/>
    </xf>
    <xf numFmtId="188" fontId="17" fillId="0" borderId="60" xfId="9" quotePrefix="1" applyNumberFormat="1" applyFont="1" applyBorder="1" applyAlignment="1">
      <alignment horizontal="center" vertical="center"/>
    </xf>
    <xf numFmtId="0" fontId="27" fillId="0" borderId="0" xfId="9" quotePrefix="1" applyFont="1" applyAlignment="1">
      <alignment vertical="center"/>
    </xf>
    <xf numFmtId="0" fontId="5" fillId="0" borderId="0" xfId="9" applyFont="1" applyAlignment="1">
      <alignment horizontal="left" vertical="center" indent="1" shrinkToFit="1"/>
    </xf>
    <xf numFmtId="41" fontId="17" fillId="0" borderId="64" xfId="10" quotePrefix="1" applyFont="1" applyBorder="1" applyAlignment="1">
      <alignment horizontal="center" vertical="center" shrinkToFit="1"/>
    </xf>
    <xf numFmtId="41" fontId="17" fillId="0" borderId="65" xfId="10" quotePrefix="1" applyFont="1" applyBorder="1" applyAlignment="1">
      <alignment horizontal="center" vertical="center" shrinkToFit="1"/>
    </xf>
    <xf numFmtId="188" fontId="17" fillId="0" borderId="0" xfId="9" quotePrefix="1" applyNumberFormat="1" applyFont="1" applyAlignment="1">
      <alignment horizontal="center" vertical="center"/>
    </xf>
    <xf numFmtId="0" fontId="5" fillId="0" borderId="0" xfId="9" applyFont="1" applyAlignment="1">
      <alignment horizontal="left" vertical="center"/>
    </xf>
    <xf numFmtId="0" fontId="5" fillId="0" borderId="0" xfId="9" applyFont="1" applyAlignment="1">
      <alignment vertical="center" shrinkToFit="1"/>
    </xf>
    <xf numFmtId="0" fontId="17" fillId="0" borderId="0" xfId="9" quotePrefix="1" applyFont="1" applyAlignment="1">
      <alignment horizontal="left" vertical="center" indent="1"/>
    </xf>
    <xf numFmtId="176" fontId="21" fillId="0" borderId="0" xfId="10" quotePrefix="1" applyNumberFormat="1" applyFont="1" applyBorder="1" applyAlignment="1">
      <alignment horizontal="left" vertical="center"/>
    </xf>
    <xf numFmtId="0" fontId="15" fillId="0" borderId="0" xfId="9" applyFont="1"/>
    <xf numFmtId="176" fontId="40" fillId="0" borderId="0" xfId="9" applyNumberFormat="1" applyFont="1"/>
    <xf numFmtId="0" fontId="40" fillId="0" borderId="0" xfId="9" applyFont="1"/>
    <xf numFmtId="0" fontId="8" fillId="0" borderId="0" xfId="9" applyFont="1"/>
    <xf numFmtId="0" fontId="5" fillId="0" borderId="0" xfId="9" applyFont="1" applyAlignment="1">
      <alignment vertical="top"/>
    </xf>
    <xf numFmtId="0" fontId="27" fillId="0" borderId="0" xfId="2" applyFont="1" applyAlignment="1">
      <alignment vertical="center"/>
    </xf>
    <xf numFmtId="176" fontId="5" fillId="0" borderId="0" xfId="9" applyNumberFormat="1" applyFont="1" applyAlignment="1">
      <alignment vertical="top"/>
    </xf>
    <xf numFmtId="0" fontId="5" fillId="0" borderId="0" xfId="9" quotePrefix="1" applyFont="1" applyAlignment="1">
      <alignment vertical="top"/>
    </xf>
    <xf numFmtId="41" fontId="5" fillId="0" borderId="0" xfId="9" applyNumberFormat="1" applyFont="1" applyAlignment="1">
      <alignment vertical="top"/>
    </xf>
    <xf numFmtId="0" fontId="5" fillId="0" borderId="0" xfId="9" quotePrefix="1" applyFont="1" applyAlignment="1">
      <alignment horizontal="right" vertical="top"/>
    </xf>
    <xf numFmtId="0" fontId="5" fillId="0" borderId="0" xfId="2" applyFont="1" applyAlignment="1">
      <alignment vertical="top"/>
    </xf>
    <xf numFmtId="41" fontId="17" fillId="0" borderId="26" xfId="6" applyFont="1" applyFill="1" applyBorder="1" applyAlignment="1">
      <alignment horizontal="center" vertical="center"/>
    </xf>
    <xf numFmtId="41" fontId="17" fillId="0" borderId="27" xfId="6" applyFont="1" applyBorder="1" applyAlignment="1">
      <alignment horizontal="center" vertical="center"/>
    </xf>
    <xf numFmtId="41" fontId="17" fillId="0" borderId="27" xfId="6" applyFont="1" applyFill="1" applyBorder="1" applyAlignment="1">
      <alignment horizontal="center" vertical="center"/>
    </xf>
    <xf numFmtId="41" fontId="17" fillId="0" borderId="73" xfId="6" applyFont="1" applyBorder="1" applyAlignment="1">
      <alignment horizontal="center" vertical="center"/>
    </xf>
    <xf numFmtId="41" fontId="17" fillId="0" borderId="67" xfId="6" applyFont="1" applyBorder="1" applyAlignment="1">
      <alignment horizontal="center" vertical="center"/>
    </xf>
    <xf numFmtId="41" fontId="17" fillId="0" borderId="68" xfId="6" applyFont="1" applyBorder="1" applyAlignment="1">
      <alignment horizontal="center" vertical="center"/>
    </xf>
    <xf numFmtId="41" fontId="17" fillId="0" borderId="30" xfId="6" applyFont="1" applyFill="1" applyBorder="1" applyAlignment="1">
      <alignment horizontal="center" vertical="center"/>
    </xf>
    <xf numFmtId="41" fontId="17" fillId="0" borderId="59" xfId="6" applyFont="1" applyFill="1" applyBorder="1" applyAlignment="1">
      <alignment horizontal="center" vertical="center"/>
    </xf>
    <xf numFmtId="41" fontId="17" fillId="0" borderId="10" xfId="6" applyFont="1" applyFill="1" applyBorder="1" applyAlignment="1">
      <alignment horizontal="center" vertical="center"/>
    </xf>
    <xf numFmtId="41" fontId="17" fillId="0" borderId="59" xfId="6" applyFont="1" applyBorder="1" applyAlignment="1">
      <alignment horizontal="center" vertical="center"/>
    </xf>
    <xf numFmtId="41" fontId="17" fillId="0" borderId="60" xfId="6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41" fontId="17" fillId="0" borderId="31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center" vertical="center" shrinkToFit="1"/>
    </xf>
    <xf numFmtId="176" fontId="5" fillId="0" borderId="12" xfId="10" applyNumberFormat="1" applyFont="1" applyFill="1" applyBorder="1" applyAlignment="1">
      <alignment horizontal="right" vertical="center"/>
    </xf>
    <xf numFmtId="41" fontId="5" fillId="0" borderId="12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right" vertical="center"/>
    </xf>
    <xf numFmtId="41" fontId="5" fillId="0" borderId="18" xfId="10" applyFont="1" applyFill="1" applyBorder="1" applyAlignment="1">
      <alignment horizontal="center" vertical="center"/>
    </xf>
    <xf numFmtId="41" fontId="5" fillId="0" borderId="18" xfId="10" applyFont="1" applyFill="1" applyBorder="1" applyAlignment="1">
      <alignment horizontal="right" vertical="center"/>
    </xf>
    <xf numFmtId="41" fontId="5" fillId="0" borderId="27" xfId="10" applyFont="1" applyFill="1" applyBorder="1" applyAlignment="1">
      <alignment horizontal="right" vertical="center"/>
    </xf>
    <xf numFmtId="41" fontId="17" fillId="0" borderId="27" xfId="10" applyFont="1" applyFill="1" applyBorder="1" applyAlignment="1">
      <alignment horizontal="center" vertical="center"/>
    </xf>
    <xf numFmtId="41" fontId="5" fillId="0" borderId="77" xfId="10" applyFont="1" applyFill="1" applyBorder="1" applyAlignment="1">
      <alignment horizontal="center" vertical="center"/>
    </xf>
    <xf numFmtId="41" fontId="5" fillId="0" borderId="12" xfId="6" quotePrefix="1" applyFont="1" applyBorder="1" applyAlignment="1">
      <alignment horizontal="left" vertical="center" shrinkToFit="1"/>
    </xf>
    <xf numFmtId="41" fontId="5" fillId="0" borderId="77" xfId="10" applyFont="1" applyFill="1" applyBorder="1" applyAlignment="1">
      <alignment horizontal="center" vertical="center" shrinkToFit="1"/>
    </xf>
    <xf numFmtId="41" fontId="5" fillId="0" borderId="27" xfId="10" applyFont="1" applyFill="1" applyBorder="1" applyAlignment="1">
      <alignment horizontal="center" vertical="center"/>
    </xf>
    <xf numFmtId="41" fontId="5" fillId="0" borderId="77" xfId="6" applyFont="1" applyBorder="1" applyAlignment="1">
      <alignment horizontal="center" vertical="center" shrinkToFit="1"/>
    </xf>
    <xf numFmtId="41" fontId="5" fillId="0" borderId="29" xfId="10" applyFont="1" applyFill="1" applyBorder="1" applyAlignment="1">
      <alignment horizontal="center" vertical="center"/>
    </xf>
    <xf numFmtId="0" fontId="43" fillId="0" borderId="0" xfId="2" applyFont="1"/>
    <xf numFmtId="189" fontId="5" fillId="0" borderId="12" xfId="10" applyNumberFormat="1" applyFont="1" applyFill="1" applyBorder="1" applyAlignment="1">
      <alignment horizontal="right" vertical="center"/>
    </xf>
    <xf numFmtId="41" fontId="17" fillId="0" borderId="12" xfId="10" applyFont="1" applyFill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left" vertical="center" shrinkToFit="1"/>
    </xf>
    <xf numFmtId="41" fontId="5" fillId="0" borderId="12" xfId="10" quotePrefix="1" applyFont="1" applyFill="1" applyBorder="1" applyAlignment="1">
      <alignment horizontal="center" vertical="center"/>
    </xf>
    <xf numFmtId="41" fontId="5" fillId="0" borderId="12" xfId="6" applyFont="1" applyBorder="1" applyAlignment="1">
      <alignment horizontal="center" vertical="center"/>
    </xf>
    <xf numFmtId="41" fontId="5" fillId="0" borderId="13" xfId="10" applyFont="1" applyFill="1" applyBorder="1" applyAlignment="1">
      <alignment horizontal="center" vertical="center"/>
    </xf>
    <xf numFmtId="0" fontId="31" fillId="0" borderId="0" xfId="2" applyFont="1"/>
    <xf numFmtId="41" fontId="5" fillId="0" borderId="12" xfId="6" applyFont="1" applyBorder="1" applyAlignment="1">
      <alignment horizontal="center" vertical="center" shrinkToFit="1"/>
    </xf>
    <xf numFmtId="0" fontId="5" fillId="0" borderId="12" xfId="9" applyFont="1" applyBorder="1" applyAlignment="1">
      <alignment horizontal="center" vertical="center"/>
    </xf>
    <xf numFmtId="189" fontId="5" fillId="0" borderId="12" xfId="9" applyNumberFormat="1" applyFont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/>
    </xf>
    <xf numFmtId="176" fontId="5" fillId="8" borderId="64" xfId="10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right" vertical="center"/>
    </xf>
    <xf numFmtId="41" fontId="5" fillId="0" borderId="12" xfId="6" quotePrefix="1" applyFont="1" applyBorder="1" applyAlignment="1">
      <alignment horizontal="center" vertical="center"/>
    </xf>
    <xf numFmtId="41" fontId="5" fillId="0" borderId="77" xfId="6" applyFont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41" fontId="44" fillId="0" borderId="31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center" vertical="center" shrinkToFit="1"/>
    </xf>
    <xf numFmtId="176" fontId="5" fillId="9" borderId="64" xfId="10" applyNumberFormat="1" applyFont="1" applyFill="1" applyBorder="1" applyAlignment="1">
      <alignment horizontal="right" vertical="center"/>
    </xf>
    <xf numFmtId="41" fontId="44" fillId="0" borderId="12" xfId="10" applyFont="1" applyFill="1" applyBorder="1" applyAlignment="1">
      <alignment horizontal="center" vertical="center"/>
    </xf>
    <xf numFmtId="41" fontId="19" fillId="0" borderId="31" xfId="10" applyFont="1" applyFill="1" applyBorder="1" applyAlignment="1">
      <alignment horizontal="center" vertical="center"/>
    </xf>
    <xf numFmtId="41" fontId="19" fillId="0" borderId="12" xfId="10" applyFont="1" applyFill="1" applyBorder="1" applyAlignment="1">
      <alignment horizontal="center" vertical="center"/>
    </xf>
    <xf numFmtId="41" fontId="29" fillId="0" borderId="12" xfId="10" applyFont="1" applyFill="1" applyBorder="1" applyAlignment="1">
      <alignment horizontal="center" vertical="center"/>
    </xf>
    <xf numFmtId="0" fontId="5" fillId="0" borderId="77" xfId="9" applyFont="1" applyBorder="1" applyAlignment="1">
      <alignment horizontal="center" vertical="center"/>
    </xf>
    <xf numFmtId="41" fontId="5" fillId="8" borderId="66" xfId="10" applyFont="1" applyFill="1" applyBorder="1" applyAlignment="1">
      <alignment horizontal="center" vertical="center" shrinkToFit="1"/>
    </xf>
    <xf numFmtId="0" fontId="19" fillId="0" borderId="12" xfId="9" applyFont="1" applyBorder="1"/>
    <xf numFmtId="41" fontId="5" fillId="8" borderId="66" xfId="10" applyFont="1" applyFill="1" applyBorder="1" applyAlignment="1">
      <alignment horizontal="center" vertical="center"/>
    </xf>
    <xf numFmtId="176" fontId="5" fillId="0" borderId="15" xfId="10" applyNumberFormat="1" applyFont="1" applyFill="1" applyBorder="1" applyAlignment="1">
      <alignment horizontal="right" vertical="center"/>
    </xf>
    <xf numFmtId="189" fontId="5" fillId="0" borderId="12" xfId="2" applyNumberFormat="1" applyFont="1" applyBorder="1" applyAlignment="1">
      <alignment horizontal="right" vertical="center"/>
    </xf>
    <xf numFmtId="0" fontId="5" fillId="0" borderId="12" xfId="2" applyFont="1" applyBorder="1" applyAlignment="1">
      <alignment horizontal="right" vertical="center"/>
    </xf>
    <xf numFmtId="0" fontId="5" fillId="0" borderId="12" xfId="9" applyFont="1" applyBorder="1" applyAlignment="1">
      <alignment horizontal="right" vertical="center"/>
    </xf>
    <xf numFmtId="41" fontId="5" fillId="0" borderId="12" xfId="10" applyFont="1" applyBorder="1" applyAlignment="1">
      <alignment horizontal="center" vertical="center"/>
    </xf>
    <xf numFmtId="41" fontId="5" fillId="0" borderId="77" xfId="6" quotePrefix="1" applyFont="1" applyBorder="1" applyAlignment="1">
      <alignment horizontal="center" vertical="center"/>
    </xf>
    <xf numFmtId="41" fontId="5" fillId="0" borderId="15" xfId="10" applyFont="1" applyFill="1" applyBorder="1" applyAlignment="1">
      <alignment horizontal="center" vertical="center"/>
    </xf>
    <xf numFmtId="0" fontId="5" fillId="0" borderId="15" xfId="9" applyFont="1" applyBorder="1" applyAlignment="1">
      <alignment horizontal="center" vertical="center"/>
    </xf>
    <xf numFmtId="0" fontId="5" fillId="0" borderId="15" xfId="9" applyFont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 shrinkToFit="1"/>
    </xf>
    <xf numFmtId="41" fontId="28" fillId="0" borderId="12" xfId="10" applyFont="1" applyFill="1" applyBorder="1" applyAlignment="1">
      <alignment horizontal="center" vertical="center"/>
    </xf>
    <xf numFmtId="41" fontId="28" fillId="0" borderId="80" xfId="10" applyFont="1" applyFill="1" applyBorder="1" applyAlignment="1">
      <alignment horizontal="center" vertical="center"/>
    </xf>
    <xf numFmtId="176" fontId="5" fillId="0" borderId="12" xfId="9" applyNumberFormat="1" applyFont="1" applyBorder="1" applyAlignment="1">
      <alignment horizontal="right" vertical="center"/>
    </xf>
    <xf numFmtId="41" fontId="5" fillId="0" borderId="12" xfId="6" applyFont="1" applyFill="1" applyBorder="1" applyAlignment="1">
      <alignment horizontal="center" vertical="center"/>
    </xf>
    <xf numFmtId="0" fontId="45" fillId="0" borderId="12" xfId="9" applyFont="1" applyBorder="1" applyAlignment="1">
      <alignment horizontal="center" vertical="center"/>
    </xf>
    <xf numFmtId="0" fontId="45" fillId="0" borderId="12" xfId="9" applyFont="1" applyBorder="1" applyAlignment="1">
      <alignment horizontal="right" vertical="center"/>
    </xf>
    <xf numFmtId="0" fontId="45" fillId="0" borderId="12" xfId="9" applyFont="1" applyBorder="1" applyAlignment="1">
      <alignment horizontal="center" vertical="center" shrinkToFit="1"/>
    </xf>
    <xf numFmtId="41" fontId="45" fillId="0" borderId="12" xfId="9" applyNumberFormat="1" applyFont="1" applyBorder="1" applyAlignment="1">
      <alignment horizontal="right" vertical="center"/>
    </xf>
    <xf numFmtId="41" fontId="45" fillId="0" borderId="12" xfId="10" applyFont="1" applyFill="1" applyBorder="1" applyAlignment="1">
      <alignment horizontal="center" vertical="center"/>
    </xf>
    <xf numFmtId="0" fontId="28" fillId="0" borderId="77" xfId="9" applyFont="1" applyBorder="1" applyAlignment="1">
      <alignment horizontal="center" vertical="center"/>
    </xf>
    <xf numFmtId="41" fontId="28" fillId="0" borderId="77" xfId="10" applyFont="1" applyFill="1" applyBorder="1" applyAlignment="1">
      <alignment horizontal="center" vertical="center"/>
    </xf>
    <xf numFmtId="41" fontId="28" fillId="0" borderId="13" xfId="10" applyFont="1" applyFill="1" applyBorder="1" applyAlignment="1">
      <alignment horizontal="center" vertical="center"/>
    </xf>
    <xf numFmtId="41" fontId="17" fillId="0" borderId="30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right" vertical="center"/>
    </xf>
    <xf numFmtId="41" fontId="5" fillId="0" borderId="10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right" vertical="center"/>
    </xf>
    <xf numFmtId="176" fontId="5" fillId="8" borderId="59" xfId="10" applyNumberFormat="1" applyFont="1" applyFill="1" applyBorder="1" applyAlignment="1">
      <alignment horizontal="right" vertical="center"/>
    </xf>
    <xf numFmtId="41" fontId="17" fillId="0" borderId="10" xfId="10" applyFont="1" applyFill="1" applyBorder="1" applyAlignment="1">
      <alignment horizontal="center" vertical="center"/>
    </xf>
    <xf numFmtId="41" fontId="5" fillId="8" borderId="61" xfId="10" applyFont="1" applyFill="1" applyBorder="1" applyAlignment="1">
      <alignment horizontal="center" vertical="center"/>
    </xf>
    <xf numFmtId="0" fontId="5" fillId="0" borderId="10" xfId="9" applyFont="1" applyBorder="1" applyAlignment="1">
      <alignment horizontal="center" vertical="center"/>
    </xf>
    <xf numFmtId="41" fontId="5" fillId="8" borderId="60" xfId="10" applyFont="1" applyFill="1" applyBorder="1" applyAlignment="1">
      <alignment horizontal="center" vertical="center"/>
    </xf>
    <xf numFmtId="41" fontId="5" fillId="0" borderId="0" xfId="10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76" fontId="5" fillId="0" borderId="36" xfId="2" applyNumberFormat="1" applyFont="1" applyBorder="1" applyAlignment="1">
      <alignment horizontal="center" vertical="center"/>
    </xf>
    <xf numFmtId="41" fontId="5" fillId="0" borderId="36" xfId="10" applyFont="1" applyFill="1" applyBorder="1" applyAlignment="1">
      <alignment horizontal="center" vertical="center"/>
    </xf>
    <xf numFmtId="41" fontId="5" fillId="0" borderId="0" xfId="2" applyNumberFormat="1" applyFont="1" applyAlignment="1">
      <alignment horizontal="center" vertical="center"/>
    </xf>
    <xf numFmtId="0" fontId="5" fillId="0" borderId="0" xfId="2" applyFont="1"/>
    <xf numFmtId="41" fontId="27" fillId="0" borderId="99" xfId="10" applyFont="1" applyFill="1" applyBorder="1" applyAlignment="1">
      <alignment horizontal="left" vertical="center" shrinkToFit="1"/>
    </xf>
    <xf numFmtId="41" fontId="5" fillId="0" borderId="99" xfId="10" applyFont="1" applyFill="1" applyBorder="1" applyAlignment="1">
      <alignment horizontal="center" vertical="center"/>
    </xf>
    <xf numFmtId="0" fontId="5" fillId="0" borderId="99" xfId="9" applyFont="1" applyBorder="1" applyAlignment="1">
      <alignment horizontal="center" vertical="center"/>
    </xf>
    <xf numFmtId="0" fontId="5" fillId="0" borderId="0" xfId="9" applyFont="1" applyAlignment="1">
      <alignment horizontal="center" vertical="center"/>
    </xf>
    <xf numFmtId="0" fontId="5" fillId="0" borderId="0" xfId="9" applyFont="1"/>
    <xf numFmtId="41" fontId="17" fillId="10" borderId="72" xfId="10" applyFont="1" applyFill="1" applyBorder="1" applyAlignment="1">
      <alignment horizontal="center" vertical="center" shrinkToFit="1"/>
    </xf>
    <xf numFmtId="41" fontId="17" fillId="10" borderId="36" xfId="10" applyFont="1" applyFill="1" applyBorder="1" applyAlignment="1">
      <alignment horizontal="center" vertical="center" shrinkToFit="1"/>
    </xf>
    <xf numFmtId="41" fontId="17" fillId="10" borderId="39" xfId="10" applyFont="1" applyFill="1" applyBorder="1" applyAlignment="1">
      <alignment horizontal="center" vertical="center" shrinkToFit="1"/>
    </xf>
    <xf numFmtId="41" fontId="17" fillId="10" borderId="73" xfId="10" applyFont="1" applyFill="1" applyBorder="1" applyAlignment="1">
      <alignment horizontal="center" vertical="center" shrinkToFit="1"/>
    </xf>
    <xf numFmtId="41" fontId="17" fillId="10" borderId="67" xfId="10" applyFont="1" applyFill="1" applyBorder="1" applyAlignment="1">
      <alignment horizontal="center" vertical="center" shrinkToFit="1"/>
    </xf>
    <xf numFmtId="0" fontId="17" fillId="10" borderId="67" xfId="9" applyFont="1" applyFill="1" applyBorder="1" applyAlignment="1">
      <alignment horizontal="center" vertical="center"/>
    </xf>
    <xf numFmtId="0" fontId="17" fillId="10" borderId="57" xfId="9" applyFont="1" applyFill="1" applyBorder="1" applyAlignment="1">
      <alignment horizontal="center" vertical="center"/>
    </xf>
    <xf numFmtId="41" fontId="19" fillId="10" borderId="56" xfId="10" applyFont="1" applyFill="1" applyBorder="1" applyAlignment="1">
      <alignment horizontal="center" vertical="center" shrinkToFit="1"/>
    </xf>
    <xf numFmtId="41" fontId="17" fillId="10" borderId="69" xfId="10" applyFont="1" applyFill="1" applyBorder="1" applyAlignment="1">
      <alignment horizontal="center" vertical="center"/>
    </xf>
    <xf numFmtId="41" fontId="17" fillId="10" borderId="67" xfId="10" applyFont="1" applyFill="1" applyBorder="1" applyAlignment="1">
      <alignment horizontal="center" vertical="center"/>
    </xf>
    <xf numFmtId="41" fontId="17" fillId="10" borderId="68" xfId="10" applyFont="1" applyFill="1" applyBorder="1" applyAlignment="1">
      <alignment horizontal="center" vertical="center"/>
    </xf>
    <xf numFmtId="41" fontId="17" fillId="10" borderId="38" xfId="10" applyFont="1" applyFill="1" applyBorder="1" applyAlignment="1">
      <alignment horizontal="center" vertical="center" shrinkToFit="1"/>
    </xf>
    <xf numFmtId="41" fontId="17" fillId="10" borderId="63" xfId="10" applyFont="1" applyFill="1" applyBorder="1" applyAlignment="1">
      <alignment horizontal="center" vertical="center" shrinkToFit="1"/>
    </xf>
    <xf numFmtId="41" fontId="17" fillId="10" borderId="64" xfId="10" applyFont="1" applyFill="1" applyBorder="1" applyAlignment="1">
      <alignment horizontal="center" vertical="center"/>
    </xf>
    <xf numFmtId="41" fontId="17" fillId="10" borderId="74" xfId="10" applyFont="1" applyFill="1" applyBorder="1" applyAlignment="1">
      <alignment horizontal="center" vertical="center"/>
    </xf>
    <xf numFmtId="41" fontId="19" fillId="10" borderId="65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/>
    </xf>
    <xf numFmtId="41" fontId="17" fillId="10" borderId="100" xfId="10" applyFont="1" applyFill="1" applyBorder="1" applyAlignment="1">
      <alignment horizontal="center" vertical="center" shrinkToFit="1"/>
    </xf>
    <xf numFmtId="41" fontId="5" fillId="0" borderId="63" xfId="10" applyFont="1" applyFill="1" applyBorder="1" applyAlignment="1">
      <alignment horizontal="center" vertical="center"/>
    </xf>
    <xf numFmtId="41" fontId="5" fillId="0" borderId="64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right" vertical="center"/>
    </xf>
    <xf numFmtId="41" fontId="5" fillId="0" borderId="74" xfId="10" applyFont="1" applyFill="1" applyBorder="1" applyAlignment="1">
      <alignment horizontal="center" vertical="center"/>
    </xf>
    <xf numFmtId="176" fontId="5" fillId="0" borderId="62" xfId="10" applyNumberFormat="1" applyFont="1" applyFill="1" applyBorder="1" applyAlignment="1">
      <alignment vertical="center"/>
    </xf>
    <xf numFmtId="176" fontId="5" fillId="0" borderId="64" xfId="10" applyNumberFormat="1" applyFont="1" applyFill="1" applyBorder="1" applyAlignment="1">
      <alignment vertical="center"/>
    </xf>
    <xf numFmtId="41" fontId="5" fillId="0" borderId="74" xfId="10" applyFont="1" applyFill="1" applyBorder="1" applyAlignment="1">
      <alignment vertical="center"/>
    </xf>
    <xf numFmtId="41" fontId="20" fillId="0" borderId="65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center" vertical="center"/>
    </xf>
    <xf numFmtId="41" fontId="20" fillId="0" borderId="74" xfId="10" applyFont="1" applyFill="1" applyBorder="1" applyAlignment="1">
      <alignment horizontal="center" vertical="center"/>
    </xf>
    <xf numFmtId="41" fontId="20" fillId="0" borderId="97" xfId="10" applyFont="1" applyFill="1" applyBorder="1" applyAlignment="1">
      <alignment horizontal="center" vertical="center"/>
    </xf>
    <xf numFmtId="41" fontId="5" fillId="0" borderId="80" xfId="10" applyFont="1" applyFill="1" applyBorder="1" applyAlignment="1">
      <alignment horizontal="center" vertical="center"/>
    </xf>
    <xf numFmtId="190" fontId="5" fillId="0" borderId="30" xfId="2" applyNumberFormat="1" applyFont="1" applyBorder="1" applyAlignment="1">
      <alignment vertical="center"/>
    </xf>
    <xf numFmtId="190" fontId="5" fillId="0" borderId="10" xfId="2" applyNumberFormat="1" applyFont="1" applyBorder="1" applyAlignment="1">
      <alignment vertical="center"/>
    </xf>
    <xf numFmtId="0" fontId="43" fillId="0" borderId="0" xfId="2" applyFont="1" applyAlignment="1">
      <alignment vertical="center"/>
    </xf>
    <xf numFmtId="190" fontId="5" fillId="0" borderId="76" xfId="2" applyNumberFormat="1" applyFont="1" applyBorder="1" applyAlignment="1">
      <alignment vertical="center"/>
    </xf>
    <xf numFmtId="190" fontId="20" fillId="0" borderId="60" xfId="2" applyNumberFormat="1" applyFont="1" applyBorder="1" applyAlignment="1">
      <alignment vertical="center"/>
    </xf>
    <xf numFmtId="190" fontId="20" fillId="0" borderId="88" xfId="2" applyNumberFormat="1" applyFont="1" applyBorder="1" applyAlignment="1">
      <alignment vertical="center"/>
    </xf>
    <xf numFmtId="190" fontId="20" fillId="0" borderId="41" xfId="2" applyNumberFormat="1" applyFont="1" applyBorder="1" applyAlignment="1">
      <alignment vertical="center"/>
    </xf>
    <xf numFmtId="41" fontId="5" fillId="0" borderId="0" xfId="10" applyFont="1" applyFill="1" applyBorder="1" applyAlignment="1">
      <alignment horizontal="left" vertical="center" wrapText="1"/>
    </xf>
    <xf numFmtId="41" fontId="5" fillId="0" borderId="0" xfId="10" applyFont="1" applyAlignment="1">
      <alignment horizontal="left" vertical="center"/>
    </xf>
    <xf numFmtId="41" fontId="5" fillId="0" borderId="0" xfId="10" applyFont="1" applyFill="1" applyAlignment="1">
      <alignment horizontal="center" vertical="center"/>
    </xf>
    <xf numFmtId="41" fontId="5" fillId="0" borderId="0" xfId="6" applyFont="1" applyFill="1" applyBorder="1" applyAlignment="1">
      <alignment horizontal="center" vertical="center"/>
    </xf>
    <xf numFmtId="41" fontId="5" fillId="0" borderId="0" xfId="10" applyFont="1" applyBorder="1" applyAlignment="1">
      <alignment horizontal="center" vertical="center"/>
    </xf>
    <xf numFmtId="41" fontId="40" fillId="0" borderId="0" xfId="10" applyFont="1" applyFill="1"/>
    <xf numFmtId="41" fontId="40" fillId="0" borderId="0" xfId="10" applyFont="1" applyAlignment="1">
      <alignment horizontal="left" vertical="center"/>
    </xf>
    <xf numFmtId="41" fontId="40" fillId="0" borderId="0" xfId="10" applyFont="1" applyFill="1" applyBorder="1" applyAlignment="1">
      <alignment horizontal="center" vertical="center" wrapText="1"/>
    </xf>
    <xf numFmtId="41" fontId="40" fillId="0" borderId="0" xfId="10" applyFont="1" applyFill="1" applyBorder="1" applyAlignment="1">
      <alignment vertical="top"/>
    </xf>
    <xf numFmtId="41" fontId="40" fillId="0" borderId="0" xfId="10" quotePrefix="1" applyFont="1" applyFill="1" applyBorder="1" applyAlignment="1">
      <alignment vertical="center"/>
    </xf>
    <xf numFmtId="41" fontId="40" fillId="0" borderId="0" xfId="10" applyFont="1" applyFill="1" applyBorder="1" applyAlignment="1">
      <alignment vertical="center"/>
    </xf>
    <xf numFmtId="41" fontId="40" fillId="0" borderId="0" xfId="10" applyFont="1" applyFill="1" applyAlignment="1">
      <alignment horizontal="center"/>
    </xf>
    <xf numFmtId="41" fontId="40" fillId="0" borderId="0" xfId="10" applyFont="1" applyFill="1" applyAlignment="1">
      <alignment vertical="center"/>
    </xf>
    <xf numFmtId="41" fontId="46" fillId="0" borderId="0" xfId="10" applyFont="1" applyFill="1" applyBorder="1" applyAlignment="1">
      <alignment vertical="center"/>
    </xf>
    <xf numFmtId="41" fontId="5" fillId="0" borderId="0" xfId="10" applyFont="1" applyAlignment="1">
      <alignment horizontal="left"/>
    </xf>
    <xf numFmtId="0" fontId="16" fillId="0" borderId="0" xfId="2" applyFont="1"/>
    <xf numFmtId="176" fontId="16" fillId="0" borderId="0" xfId="2" applyNumberFormat="1" applyFont="1"/>
    <xf numFmtId="176" fontId="17" fillId="0" borderId="0" xfId="2" applyNumberFormat="1" applyFont="1"/>
    <xf numFmtId="41" fontId="40" fillId="0" borderId="0" xfId="6" applyFont="1" applyFill="1"/>
    <xf numFmtId="0" fontId="5" fillId="0" borderId="0" xfId="2" applyFont="1" applyAlignment="1">
      <alignment horizontal="center" vertical="center" wrapText="1"/>
    </xf>
    <xf numFmtId="176" fontId="5" fillId="0" borderId="0" xfId="2" quotePrefix="1" applyNumberFormat="1" applyFont="1" applyAlignment="1">
      <alignment vertical="center"/>
    </xf>
    <xf numFmtId="176" fontId="5" fillId="0" borderId="0" xfId="2" applyNumberFormat="1" applyFont="1" applyAlignment="1">
      <alignment vertical="center"/>
    </xf>
    <xf numFmtId="41" fontId="40" fillId="0" borderId="0" xfId="10" applyFont="1" applyFill="1" applyBorder="1"/>
    <xf numFmtId="0" fontId="40" fillId="0" borderId="0" xfId="2" applyFont="1"/>
    <xf numFmtId="176" fontId="40" fillId="0" borderId="0" xfId="2" applyNumberFormat="1" applyFont="1"/>
    <xf numFmtId="176" fontId="20" fillId="0" borderId="0" xfId="2" applyNumberFormat="1" applyFont="1" applyAlignment="1">
      <alignment vertical="center"/>
    </xf>
    <xf numFmtId="41" fontId="16" fillId="0" borderId="0" xfId="2" applyNumberFormat="1" applyFont="1"/>
    <xf numFmtId="41" fontId="8" fillId="0" borderId="0" xfId="2" applyNumberFormat="1" applyFont="1"/>
    <xf numFmtId="176" fontId="47" fillId="0" borderId="0" xfId="2" applyNumberFormat="1" applyFont="1" applyAlignment="1">
      <alignment vertical="center"/>
    </xf>
    <xf numFmtId="176" fontId="5" fillId="0" borderId="0" xfId="2" applyNumberFormat="1" applyFont="1"/>
    <xf numFmtId="191" fontId="21" fillId="0" borderId="0" xfId="2" applyNumberFormat="1" applyFont="1"/>
    <xf numFmtId="192" fontId="40" fillId="0" borderId="0" xfId="2" applyNumberFormat="1" applyFont="1"/>
    <xf numFmtId="2" fontId="5" fillId="0" borderId="0" xfId="2" applyNumberFormat="1" applyFont="1"/>
    <xf numFmtId="188" fontId="5" fillId="0" borderId="0" xfId="2" applyNumberFormat="1" applyFont="1"/>
    <xf numFmtId="0" fontId="15" fillId="0" borderId="0" xfId="2" applyFont="1"/>
    <xf numFmtId="0" fontId="48" fillId="0" borderId="0" xfId="2" applyFont="1" applyAlignment="1" applyProtection="1">
      <alignment vertical="center"/>
      <protection locked="0"/>
    </xf>
    <xf numFmtId="0" fontId="16" fillId="0" borderId="0" xfId="2" applyFont="1" applyAlignment="1">
      <alignment horizontal="left" vertical="center"/>
    </xf>
    <xf numFmtId="0" fontId="5" fillId="0" borderId="99" xfId="2" applyFont="1" applyBorder="1" applyAlignment="1">
      <alignment horizontal="right" vertical="center"/>
    </xf>
    <xf numFmtId="0" fontId="21" fillId="0" borderId="0" xfId="2" applyFont="1" applyAlignment="1">
      <alignment horizontal="center" vertical="center"/>
    </xf>
    <xf numFmtId="0" fontId="21" fillId="0" borderId="0" xfId="2" applyFont="1" applyAlignment="1">
      <alignment horizontal="right" vertical="top"/>
    </xf>
    <xf numFmtId="0" fontId="5" fillId="0" borderId="0" xfId="2" applyFont="1" applyAlignment="1">
      <alignment horizontal="left" vertical="center"/>
    </xf>
    <xf numFmtId="0" fontId="5" fillId="0" borderId="69" xfId="2" applyFont="1" applyBorder="1" applyAlignment="1">
      <alignment horizontal="centerContinuous" vertical="center"/>
    </xf>
    <xf numFmtId="0" fontId="5" fillId="0" borderId="36" xfId="2" applyFont="1" applyBorder="1" applyAlignment="1">
      <alignment horizontal="center" vertical="center"/>
    </xf>
    <xf numFmtId="0" fontId="5" fillId="0" borderId="36" xfId="2" applyFont="1" applyBorder="1" applyAlignment="1">
      <alignment horizontal="centerContinuous" vertical="center"/>
    </xf>
    <xf numFmtId="0" fontId="5" fillId="0" borderId="92" xfId="2" applyFont="1" applyBorder="1" applyAlignment="1">
      <alignment horizontal="centerContinuous" vertical="center"/>
    </xf>
    <xf numFmtId="0" fontId="5" fillId="0" borderId="61" xfId="2" applyFont="1" applyBorder="1" applyAlignment="1">
      <alignment horizontal="center" vertical="center" wrapText="1"/>
    </xf>
    <xf numFmtId="0" fontId="5" fillId="0" borderId="60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 wrapText="1"/>
    </xf>
    <xf numFmtId="0" fontId="5" fillId="0" borderId="101" xfId="2" applyFont="1" applyBorder="1" applyAlignment="1">
      <alignment horizontal="center" vertical="center"/>
    </xf>
    <xf numFmtId="0" fontId="5" fillId="0" borderId="98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176" fontId="5" fillId="0" borderId="31" xfId="10" applyNumberFormat="1" applyFont="1" applyBorder="1" applyAlignment="1">
      <alignment horizontal="right" vertical="center"/>
    </xf>
    <xf numFmtId="176" fontId="5" fillId="0" borderId="12" xfId="10" applyNumberFormat="1" applyFont="1" applyBorder="1" applyAlignment="1">
      <alignment horizontal="right" vertical="center"/>
    </xf>
    <xf numFmtId="41" fontId="5" fillId="0" borderId="12" xfId="10" applyFont="1" applyBorder="1" applyAlignment="1">
      <alignment horizontal="right" vertical="center"/>
    </xf>
    <xf numFmtId="176" fontId="5" fillId="0" borderId="13" xfId="10" applyNumberFormat="1" applyFont="1" applyBorder="1" applyAlignment="1">
      <alignment horizontal="right" vertical="center"/>
    </xf>
    <xf numFmtId="176" fontId="5" fillId="0" borderId="86" xfId="10" applyNumberFormat="1" applyFont="1" applyBorder="1" applyAlignment="1">
      <alignment horizontal="right" vertical="center"/>
    </xf>
    <xf numFmtId="0" fontId="5" fillId="0" borderId="82" xfId="9" quotePrefix="1" applyFont="1" applyBorder="1" applyAlignment="1">
      <alignment horizontal="center" vertical="center"/>
    </xf>
    <xf numFmtId="176" fontId="5" fillId="0" borderId="77" xfId="10" applyNumberFormat="1" applyFont="1" applyBorder="1" applyAlignment="1">
      <alignment horizontal="right" vertical="center"/>
    </xf>
    <xf numFmtId="41" fontId="5" fillId="0" borderId="27" xfId="10" applyFont="1" applyBorder="1" applyAlignment="1">
      <alignment horizontal="right" vertical="center"/>
    </xf>
    <xf numFmtId="176" fontId="5" fillId="0" borderId="80" xfId="10" applyNumberFormat="1" applyFont="1" applyBorder="1" applyAlignment="1">
      <alignment horizontal="right" vertical="center"/>
    </xf>
    <xf numFmtId="176" fontId="5" fillId="0" borderId="92" xfId="10" applyNumberFormat="1" applyFont="1" applyBorder="1" applyAlignment="1">
      <alignment horizontal="right" vertical="center"/>
    </xf>
    <xf numFmtId="41" fontId="5" fillId="0" borderId="13" xfId="10" applyFont="1" applyBorder="1" applyAlignment="1">
      <alignment horizontal="right" vertical="center"/>
    </xf>
    <xf numFmtId="41" fontId="5" fillId="0" borderId="31" xfId="10" applyFont="1" applyBorder="1" applyAlignment="1">
      <alignment horizontal="right" vertical="center"/>
    </xf>
    <xf numFmtId="41" fontId="29" fillId="0" borderId="12" xfId="10" applyFont="1" applyBorder="1" applyAlignment="1">
      <alignment horizontal="right" vertical="center"/>
    </xf>
    <xf numFmtId="49" fontId="5" fillId="0" borderId="100" xfId="2" quotePrefix="1" applyNumberFormat="1" applyFont="1" applyBorder="1" applyAlignment="1">
      <alignment horizontal="center" vertical="center"/>
    </xf>
    <xf numFmtId="176" fontId="5" fillId="0" borderId="32" xfId="10" applyNumberFormat="1" applyFont="1" applyBorder="1" applyAlignment="1">
      <alignment horizontal="right" vertical="center"/>
    </xf>
    <xf numFmtId="41" fontId="5" fillId="0" borderId="15" xfId="10" applyFont="1" applyBorder="1" applyAlignment="1">
      <alignment horizontal="right" vertical="center"/>
    </xf>
    <xf numFmtId="176" fontId="5" fillId="0" borderId="15" xfId="10" applyNumberFormat="1" applyFont="1" applyBorder="1" applyAlignment="1">
      <alignment horizontal="right" vertical="center"/>
    </xf>
    <xf numFmtId="176" fontId="5" fillId="0" borderId="16" xfId="10" applyNumberFormat="1" applyFont="1" applyBorder="1" applyAlignment="1">
      <alignment horizontal="right" vertical="center"/>
    </xf>
    <xf numFmtId="176" fontId="5" fillId="0" borderId="62" xfId="10" applyNumberFormat="1" applyFont="1" applyBorder="1" applyAlignment="1">
      <alignment horizontal="right" vertical="center"/>
    </xf>
    <xf numFmtId="176" fontId="5" fillId="0" borderId="102" xfId="10" applyNumberFormat="1" applyFont="1" applyBorder="1" applyAlignment="1">
      <alignment horizontal="right" vertical="center"/>
    </xf>
    <xf numFmtId="41" fontId="29" fillId="0" borderId="15" xfId="10" applyFont="1" applyBorder="1" applyAlignment="1">
      <alignment horizontal="right" vertical="center"/>
    </xf>
    <xf numFmtId="41" fontId="5" fillId="0" borderId="16" xfId="10" applyFont="1" applyBorder="1" applyAlignment="1">
      <alignment horizontal="right" vertical="center"/>
    </xf>
    <xf numFmtId="41" fontId="5" fillId="0" borderId="32" xfId="10" applyFont="1" applyBorder="1" applyAlignment="1">
      <alignment horizontal="right" vertical="center"/>
    </xf>
    <xf numFmtId="176" fontId="5" fillId="0" borderId="103" xfId="10" applyNumberFormat="1" applyFont="1" applyBorder="1" applyAlignment="1">
      <alignment horizontal="right" vertical="center"/>
    </xf>
    <xf numFmtId="2" fontId="5" fillId="0" borderId="104" xfId="2" quotePrefix="1" applyNumberFormat="1" applyFont="1" applyBorder="1" applyAlignment="1">
      <alignment horizontal="center" vertical="center"/>
    </xf>
    <xf numFmtId="176" fontId="5" fillId="0" borderId="33" xfId="10" applyNumberFormat="1" applyFont="1" applyBorder="1" applyAlignment="1">
      <alignment horizontal="right" vertical="center"/>
    </xf>
    <xf numFmtId="41" fontId="5" fillId="0" borderId="18" xfId="10" applyFont="1" applyBorder="1" applyAlignment="1">
      <alignment horizontal="right" vertical="center"/>
    </xf>
    <xf numFmtId="176" fontId="5" fillId="0" borderId="18" xfId="10" applyNumberFormat="1" applyFont="1" applyBorder="1" applyAlignment="1">
      <alignment horizontal="right" vertical="center"/>
    </xf>
    <xf numFmtId="176" fontId="5" fillId="0" borderId="19" xfId="10" applyNumberFormat="1" applyFont="1" applyBorder="1" applyAlignment="1">
      <alignment horizontal="right" vertical="center"/>
    </xf>
    <xf numFmtId="176" fontId="5" fillId="0" borderId="85" xfId="10" applyNumberFormat="1" applyFont="1" applyBorder="1" applyAlignment="1">
      <alignment horizontal="right" vertical="center"/>
    </xf>
    <xf numFmtId="176" fontId="5" fillId="0" borderId="78" xfId="10" applyNumberFormat="1" applyFont="1" applyBorder="1" applyAlignment="1">
      <alignment horizontal="right" vertical="center"/>
    </xf>
    <xf numFmtId="41" fontId="29" fillId="0" borderId="18" xfId="10" applyFont="1" applyBorder="1" applyAlignment="1">
      <alignment horizontal="right" vertical="center"/>
    </xf>
    <xf numFmtId="41" fontId="5" fillId="0" borderId="19" xfId="10" applyFont="1" applyBorder="1" applyAlignment="1">
      <alignment horizontal="right" vertical="center"/>
    </xf>
    <xf numFmtId="41" fontId="5" fillId="0" borderId="33" xfId="10" applyFont="1" applyBorder="1" applyAlignment="1">
      <alignment horizontal="right" vertical="center"/>
    </xf>
    <xf numFmtId="176" fontId="5" fillId="0" borderId="105" xfId="10" applyNumberFormat="1" applyFont="1" applyBorder="1" applyAlignment="1">
      <alignment horizontal="right" vertical="center"/>
    </xf>
    <xf numFmtId="2" fontId="5" fillId="0" borderId="106" xfId="2" quotePrefix="1" applyNumberFormat="1" applyFont="1" applyBorder="1" applyAlignment="1">
      <alignment horizontal="center" vertical="center"/>
    </xf>
    <xf numFmtId="43" fontId="16" fillId="0" borderId="0" xfId="2" applyNumberFormat="1" applyFont="1"/>
    <xf numFmtId="2" fontId="5" fillId="0" borderId="107" xfId="2" quotePrefix="1" applyNumberFormat="1" applyFont="1" applyBorder="1" applyAlignment="1">
      <alignment horizontal="center" vertical="center"/>
    </xf>
    <xf numFmtId="176" fontId="5" fillId="0" borderId="30" xfId="10" applyNumberFormat="1" applyFont="1" applyBorder="1" applyAlignment="1">
      <alignment horizontal="right" vertical="center"/>
    </xf>
    <xf numFmtId="41" fontId="5" fillId="0" borderId="10" xfId="10" applyFont="1" applyBorder="1" applyAlignment="1">
      <alignment horizontal="right" vertical="center"/>
    </xf>
    <xf numFmtId="176" fontId="5" fillId="0" borderId="10" xfId="10" applyNumberFormat="1" applyFont="1" applyBorder="1" applyAlignment="1">
      <alignment horizontal="right" vertical="center"/>
    </xf>
    <xf numFmtId="176" fontId="5" fillId="0" borderId="11" xfId="10" applyNumberFormat="1" applyFont="1" applyBorder="1" applyAlignment="1">
      <alignment horizontal="right" vertical="center"/>
    </xf>
    <xf numFmtId="176" fontId="5" fillId="0" borderId="42" xfId="10" applyNumberFormat="1" applyFont="1" applyBorder="1" applyAlignment="1">
      <alignment horizontal="right" vertical="center"/>
    </xf>
    <xf numFmtId="176" fontId="5" fillId="0" borderId="88" xfId="10" applyNumberFormat="1" applyFont="1" applyBorder="1" applyAlignment="1">
      <alignment horizontal="right" vertical="center"/>
    </xf>
    <xf numFmtId="41" fontId="5" fillId="0" borderId="11" xfId="10" applyFont="1" applyBorder="1" applyAlignment="1">
      <alignment horizontal="right" vertical="center"/>
    </xf>
    <xf numFmtId="41" fontId="5" fillId="0" borderId="30" xfId="10" applyFont="1" applyBorder="1" applyAlignment="1">
      <alignment horizontal="right" vertical="center"/>
    </xf>
    <xf numFmtId="176" fontId="5" fillId="0" borderId="43" xfId="10" applyNumberFormat="1" applyFont="1" applyBorder="1" applyAlignment="1">
      <alignment horizontal="right" vertical="center"/>
    </xf>
    <xf numFmtId="0" fontId="5" fillId="0" borderId="0" xfId="2" quotePrefix="1" applyFont="1" applyAlignment="1">
      <alignment horizontal="center" vertical="center"/>
    </xf>
    <xf numFmtId="176" fontId="5" fillId="0" borderId="0" xfId="10" applyNumberFormat="1" applyFont="1" applyBorder="1" applyAlignment="1">
      <alignment horizontal="right" vertical="center"/>
    </xf>
    <xf numFmtId="41" fontId="5" fillId="0" borderId="0" xfId="10" applyFont="1" applyBorder="1" applyAlignment="1">
      <alignment horizontal="right" vertical="center"/>
    </xf>
    <xf numFmtId="0" fontId="5" fillId="0" borderId="0" xfId="10" applyNumberFormat="1" applyFont="1" applyBorder="1" applyAlignment="1">
      <alignment horizontal="center" vertical="center"/>
    </xf>
    <xf numFmtId="192" fontId="20" fillId="0" borderId="0" xfId="2" applyNumberFormat="1" applyFont="1"/>
    <xf numFmtId="176" fontId="5" fillId="0" borderId="0" xfId="10" applyNumberFormat="1" applyFont="1" applyBorder="1" applyAlignment="1">
      <alignment horizontal="center" vertical="center"/>
    </xf>
    <xf numFmtId="176" fontId="5" fillId="0" borderId="0" xfId="2" applyNumberFormat="1" applyFont="1" applyAlignment="1">
      <alignment horizontal="center" vertical="center"/>
    </xf>
    <xf numFmtId="176" fontId="5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right"/>
    </xf>
    <xf numFmtId="0" fontId="8" fillId="0" borderId="0" xfId="2" applyFont="1" applyAlignment="1">
      <alignment horizontal="center"/>
    </xf>
    <xf numFmtId="193" fontId="43" fillId="0" borderId="0" xfId="2" applyNumberFormat="1" applyFont="1"/>
    <xf numFmtId="192" fontId="8" fillId="0" borderId="0" xfId="2" applyNumberFormat="1" applyFont="1"/>
    <xf numFmtId="0" fontId="15" fillId="0" borderId="0" xfId="9" applyFont="1" applyAlignment="1">
      <alignment vertical="center"/>
    </xf>
    <xf numFmtId="0" fontId="5" fillId="0" borderId="0" xfId="9" applyFont="1" applyAlignment="1" applyProtection="1">
      <alignment vertical="center"/>
      <protection locked="0"/>
    </xf>
    <xf numFmtId="176" fontId="49" fillId="0" borderId="0" xfId="9" applyNumberFormat="1" applyFont="1" applyAlignment="1" applyProtection="1">
      <alignment vertical="center"/>
      <protection locked="0"/>
    </xf>
    <xf numFmtId="0" fontId="49" fillId="0" borderId="0" xfId="9" applyFont="1" applyAlignment="1" applyProtection="1">
      <alignment vertical="center"/>
      <protection locked="0"/>
    </xf>
    <xf numFmtId="176" fontId="5" fillId="0" borderId="0" xfId="9" applyNumberFormat="1" applyFont="1" applyAlignment="1" applyProtection="1">
      <alignment vertical="center"/>
      <protection locked="0"/>
    </xf>
    <xf numFmtId="0" fontId="16" fillId="0" borderId="0" xfId="9" applyFont="1" applyAlignment="1" applyProtection="1">
      <alignment vertical="center"/>
      <protection locked="0"/>
    </xf>
    <xf numFmtId="0" fontId="49" fillId="0" borderId="0" xfId="9" applyFont="1" applyAlignment="1">
      <alignment vertical="center"/>
    </xf>
    <xf numFmtId="0" fontId="5" fillId="0" borderId="0" xfId="9" applyFont="1" applyAlignment="1" applyProtection="1">
      <alignment vertical="top"/>
      <protection locked="0"/>
    </xf>
    <xf numFmtId="176" fontId="50" fillId="0" borderId="0" xfId="9" applyNumberFormat="1" applyFont="1" applyAlignment="1" applyProtection="1">
      <alignment vertical="center"/>
      <protection locked="0"/>
    </xf>
    <xf numFmtId="0" fontId="50" fillId="0" borderId="0" xfId="9" applyFont="1" applyAlignment="1" applyProtection="1">
      <alignment vertical="center"/>
      <protection locked="0"/>
    </xf>
    <xf numFmtId="176" fontId="50" fillId="0" borderId="0" xfId="9" applyNumberFormat="1" applyFont="1" applyProtection="1">
      <protection locked="0"/>
    </xf>
    <xf numFmtId="0" fontId="5" fillId="0" borderId="0" xfId="9" applyFont="1" applyProtection="1">
      <protection locked="0"/>
    </xf>
    <xf numFmtId="176" fontId="5" fillId="0" borderId="0" xfId="9" applyNumberFormat="1" applyFont="1" applyProtection="1">
      <protection locked="0"/>
    </xf>
    <xf numFmtId="0" fontId="50" fillId="0" borderId="0" xfId="9" applyFont="1" applyProtection="1">
      <protection locked="0"/>
    </xf>
    <xf numFmtId="0" fontId="16" fillId="0" borderId="0" xfId="9" applyFont="1" applyProtection="1">
      <protection locked="0"/>
    </xf>
    <xf numFmtId="0" fontId="50" fillId="0" borderId="0" xfId="9" applyFont="1"/>
    <xf numFmtId="0" fontId="31" fillId="0" borderId="0" xfId="9" applyFont="1" applyAlignment="1">
      <alignment horizontal="center"/>
    </xf>
    <xf numFmtId="0" fontId="19" fillId="0" borderId="0" xfId="9" quotePrefix="1" applyFont="1" applyAlignment="1">
      <alignment vertical="top"/>
    </xf>
    <xf numFmtId="176" fontId="15" fillId="0" borderId="0" xfId="9" applyNumberFormat="1" applyFont="1" applyAlignment="1">
      <alignment vertical="top"/>
    </xf>
    <xf numFmtId="176" fontId="15" fillId="0" borderId="0" xfId="9" applyNumberFormat="1" applyFont="1" applyAlignment="1" applyProtection="1">
      <alignment vertical="top"/>
      <protection locked="0"/>
    </xf>
    <xf numFmtId="176" fontId="17" fillId="0" borderId="0" xfId="9" applyNumberFormat="1" applyFont="1" applyAlignment="1" applyProtection="1">
      <alignment vertical="top"/>
      <protection locked="0"/>
    </xf>
    <xf numFmtId="176" fontId="40" fillId="0" borderId="0" xfId="9" applyNumberFormat="1" applyFont="1" applyAlignment="1" applyProtection="1">
      <alignment vertical="top"/>
      <protection locked="0"/>
    </xf>
    <xf numFmtId="176" fontId="5" fillId="0" borderId="0" xfId="9" applyNumberFormat="1" applyFont="1" applyAlignment="1" applyProtection="1">
      <alignment vertical="top"/>
      <protection locked="0"/>
    </xf>
    <xf numFmtId="176" fontId="15" fillId="0" borderId="0" xfId="9" applyNumberFormat="1" applyFont="1" applyAlignment="1" applyProtection="1">
      <alignment horizontal="center" vertical="top"/>
      <protection locked="0"/>
    </xf>
    <xf numFmtId="176" fontId="16" fillId="0" borderId="0" xfId="9" applyNumberFormat="1" applyFont="1" applyAlignment="1">
      <alignment vertical="top"/>
    </xf>
    <xf numFmtId="176" fontId="5" fillId="0" borderId="0" xfId="9" applyNumberFormat="1" applyFont="1" applyAlignment="1" applyProtection="1">
      <alignment horizontal="right" vertical="top"/>
      <protection locked="0"/>
    </xf>
    <xf numFmtId="0" fontId="40" fillId="0" borderId="69" xfId="9" applyFont="1" applyBorder="1" applyAlignment="1">
      <alignment horizontal="center" vertical="center"/>
    </xf>
    <xf numFmtId="0" fontId="40" fillId="0" borderId="67" xfId="9" applyFont="1" applyBorder="1" applyAlignment="1">
      <alignment horizontal="center" vertical="center"/>
    </xf>
    <xf numFmtId="180" fontId="40" fillId="0" borderId="67" xfId="9" applyNumberFormat="1" applyFont="1" applyBorder="1" applyAlignment="1">
      <alignment horizontal="center" vertical="center"/>
    </xf>
    <xf numFmtId="0" fontId="40" fillId="0" borderId="108" xfId="9" applyFont="1" applyBorder="1" applyAlignment="1">
      <alignment horizontal="center" vertical="center"/>
    </xf>
    <xf numFmtId="180" fontId="40" fillId="0" borderId="68" xfId="9" applyNumberFormat="1" applyFont="1" applyBorder="1" applyAlignment="1">
      <alignment horizontal="center" vertical="center"/>
    </xf>
    <xf numFmtId="0" fontId="40" fillId="0" borderId="36" xfId="9" applyFont="1" applyBorder="1" applyAlignment="1">
      <alignment vertical="center"/>
    </xf>
    <xf numFmtId="0" fontId="40" fillId="0" borderId="26" xfId="9" applyFont="1" applyBorder="1" applyAlignment="1">
      <alignment horizontal="center" vertical="center"/>
    </xf>
    <xf numFmtId="0" fontId="40" fillId="0" borderId="39" xfId="9" applyFont="1" applyBorder="1" applyAlignment="1">
      <alignment vertical="center"/>
    </xf>
    <xf numFmtId="176" fontId="40" fillId="0" borderId="109" xfId="17" applyNumberFormat="1" applyFont="1" applyBorder="1" applyAlignment="1" applyProtection="1">
      <alignment horizontal="right" vertical="center"/>
      <protection locked="0"/>
    </xf>
    <xf numFmtId="176" fontId="40" fillId="0" borderId="36" xfId="17" applyNumberFormat="1" applyFont="1" applyBorder="1" applyAlignment="1">
      <alignment horizontal="right" vertical="center"/>
    </xf>
    <xf numFmtId="176" fontId="40" fillId="0" borderId="39" xfId="17" applyNumberFormat="1" applyFont="1" applyBorder="1" applyAlignment="1">
      <alignment vertical="center"/>
    </xf>
    <xf numFmtId="176" fontId="40" fillId="0" borderId="29" xfId="17" applyNumberFormat="1" applyFont="1" applyBorder="1" applyAlignment="1">
      <alignment vertical="center"/>
    </xf>
    <xf numFmtId="176" fontId="16" fillId="0" borderId="0" xfId="17" applyNumberFormat="1" applyFont="1" applyAlignment="1">
      <alignment vertical="center"/>
    </xf>
    <xf numFmtId="0" fontId="40" fillId="0" borderId="107" xfId="9" applyFont="1" applyBorder="1" applyAlignment="1">
      <alignment horizontal="center" vertical="center"/>
    </xf>
    <xf numFmtId="0" fontId="40" fillId="0" borderId="99" xfId="9" applyFont="1" applyBorder="1" applyAlignment="1">
      <alignment horizontal="center" vertical="center"/>
    </xf>
    <xf numFmtId="0" fontId="40" fillId="0" borderId="99" xfId="9" applyFont="1" applyBorder="1" applyAlignment="1">
      <alignment horizontal="center" vertical="center"/>
    </xf>
    <xf numFmtId="0" fontId="40" fillId="0" borderId="110" xfId="9" applyFont="1" applyBorder="1" applyAlignment="1">
      <alignment horizontal="center" vertical="center"/>
    </xf>
    <xf numFmtId="0" fontId="40" fillId="0" borderId="101" xfId="9" applyFont="1" applyBorder="1" applyAlignment="1">
      <alignment horizontal="center" vertical="center"/>
    </xf>
    <xf numFmtId="0" fontId="40" fillId="0" borderId="43" xfId="9" applyFont="1" applyBorder="1" applyAlignment="1">
      <alignment horizontal="center" vertical="center"/>
    </xf>
    <xf numFmtId="0" fontId="40" fillId="0" borderId="0" xfId="9" applyFont="1" applyAlignment="1">
      <alignment vertical="center"/>
    </xf>
    <xf numFmtId="0" fontId="40" fillId="0" borderId="101" xfId="9" applyFont="1" applyBorder="1" applyAlignment="1">
      <alignment horizontal="center" vertical="center"/>
    </xf>
    <xf numFmtId="0" fontId="40" fillId="0" borderId="31" xfId="9" applyFont="1" applyBorder="1" applyAlignment="1">
      <alignment horizontal="center" vertical="center"/>
    </xf>
    <xf numFmtId="0" fontId="40" fillId="0" borderId="77" xfId="9" applyFont="1" applyBorder="1" applyAlignment="1">
      <alignment vertical="center"/>
    </xf>
    <xf numFmtId="176" fontId="40" fillId="0" borderId="86" xfId="17" applyNumberFormat="1" applyFont="1" applyBorder="1" applyAlignment="1" applyProtection="1">
      <alignment horizontal="right" vertical="center"/>
      <protection locked="0"/>
    </xf>
    <xf numFmtId="176" fontId="40" fillId="0" borderId="0" xfId="17" applyNumberFormat="1" applyFont="1" applyAlignment="1">
      <alignment horizontal="right" vertical="center"/>
    </xf>
    <xf numFmtId="176" fontId="40" fillId="0" borderId="77" xfId="17" applyNumberFormat="1" applyFont="1" applyBorder="1" applyAlignment="1">
      <alignment vertical="center"/>
    </xf>
    <xf numFmtId="176" fontId="40" fillId="0" borderId="80" xfId="17" applyNumberFormat="1" applyFont="1" applyBorder="1" applyAlignment="1">
      <alignment vertical="center"/>
    </xf>
    <xf numFmtId="0" fontId="40" fillId="0" borderId="26" xfId="9" applyFont="1" applyBorder="1" applyAlignment="1">
      <alignment vertical="center"/>
    </xf>
    <xf numFmtId="176" fontId="40" fillId="0" borderId="86" xfId="17" applyNumberFormat="1" applyFont="1" applyBorder="1" applyAlignment="1" applyProtection="1">
      <alignment vertical="center"/>
      <protection locked="0"/>
    </xf>
    <xf numFmtId="176" fontId="40" fillId="0" borderId="0" xfId="17" applyNumberFormat="1" applyFont="1" applyAlignment="1" applyProtection="1">
      <alignment vertical="center"/>
      <protection locked="0"/>
    </xf>
    <xf numFmtId="176" fontId="40" fillId="0" borderId="0" xfId="17" applyNumberFormat="1" applyFont="1" applyAlignment="1" applyProtection="1">
      <alignment horizontal="right" vertical="center"/>
      <protection locked="0"/>
    </xf>
    <xf numFmtId="176" fontId="40" fillId="0" borderId="77" xfId="17" applyNumberFormat="1" applyFont="1" applyBorder="1" applyAlignment="1" applyProtection="1">
      <alignment vertical="center"/>
      <protection locked="0"/>
    </xf>
    <xf numFmtId="176" fontId="40" fillId="0" borderId="111" xfId="17" applyNumberFormat="1" applyFont="1" applyBorder="1" applyAlignment="1">
      <alignment horizontal="center" vertical="center"/>
    </xf>
    <xf numFmtId="176" fontId="40" fillId="0" borderId="12" xfId="17" quotePrefix="1" applyNumberFormat="1" applyFont="1" applyBorder="1" applyAlignment="1">
      <alignment horizontal="left" vertical="center"/>
    </xf>
    <xf numFmtId="176" fontId="40" fillId="0" borderId="86" xfId="17" quotePrefix="1" applyNumberFormat="1" applyFont="1" applyBorder="1" applyAlignment="1">
      <alignment horizontal="left" vertical="center"/>
    </xf>
    <xf numFmtId="176" fontId="40" fillId="0" borderId="0" xfId="17" applyNumberFormat="1" applyFont="1" applyAlignment="1">
      <alignment vertical="center"/>
    </xf>
    <xf numFmtId="176" fontId="40" fillId="0" borderId="104" xfId="17" applyNumberFormat="1" applyFont="1" applyBorder="1" applyAlignment="1" applyProtection="1">
      <alignment horizontal="center" vertical="center"/>
      <protection locked="0"/>
    </xf>
    <xf numFmtId="176" fontId="40" fillId="0" borderId="18" xfId="17" applyNumberFormat="1" applyFont="1" applyBorder="1" applyAlignment="1" applyProtection="1">
      <alignment vertical="center"/>
      <protection locked="0"/>
    </xf>
    <xf numFmtId="176" fontId="40" fillId="0" borderId="0" xfId="11" applyNumberFormat="1" applyFont="1" applyFill="1" applyBorder="1" applyAlignment="1" applyProtection="1">
      <alignment vertical="center"/>
      <protection locked="0"/>
    </xf>
    <xf numFmtId="176" fontId="8" fillId="0" borderId="0" xfId="17" applyNumberFormat="1" applyFont="1" applyAlignment="1">
      <alignment vertical="center"/>
    </xf>
    <xf numFmtId="176" fontId="40" fillId="0" borderId="31" xfId="17" applyNumberFormat="1" applyFont="1" applyBorder="1" applyAlignment="1" applyProtection="1">
      <alignment horizontal="center" vertical="center"/>
      <protection locked="0"/>
    </xf>
    <xf numFmtId="176" fontId="40" fillId="0" borderId="12" xfId="17" applyNumberFormat="1" applyFont="1" applyBorder="1" applyAlignment="1">
      <alignment vertical="center"/>
    </xf>
    <xf numFmtId="176" fontId="40" fillId="0" borderId="86" xfId="17" applyNumberFormat="1" applyFont="1" applyBorder="1" applyAlignment="1">
      <alignment vertical="center"/>
    </xf>
    <xf numFmtId="176" fontId="40" fillId="0" borderId="106" xfId="17" applyNumberFormat="1" applyFont="1" applyBorder="1" applyAlignment="1" applyProtection="1">
      <alignment horizontal="center" vertical="center"/>
      <protection locked="0"/>
    </xf>
    <xf numFmtId="176" fontId="40" fillId="0" borderId="12" xfId="17" applyNumberFormat="1" applyFont="1" applyBorder="1" applyAlignment="1" applyProtection="1">
      <alignment vertical="center"/>
      <protection locked="0"/>
    </xf>
    <xf numFmtId="180" fontId="8" fillId="0" borderId="0" xfId="18" applyNumberFormat="1" applyFont="1" applyFill="1" applyAlignment="1">
      <alignment vertical="center"/>
    </xf>
    <xf numFmtId="176" fontId="40" fillId="0" borderId="13" xfId="17" applyNumberFormat="1" applyFont="1" applyBorder="1" applyAlignment="1">
      <alignment vertical="center"/>
    </xf>
    <xf numFmtId="176" fontId="40" fillId="0" borderId="112" xfId="17" applyNumberFormat="1" applyFont="1" applyBorder="1" applyAlignment="1">
      <alignment horizontal="center" vertical="center"/>
    </xf>
    <xf numFmtId="176" fontId="40" fillId="0" borderId="18" xfId="17" applyNumberFormat="1" applyFont="1" applyBorder="1" applyAlignment="1">
      <alignment vertical="center"/>
    </xf>
    <xf numFmtId="176" fontId="40" fillId="0" borderId="78" xfId="17" applyNumberFormat="1" applyFont="1" applyBorder="1" applyAlignment="1">
      <alignment vertical="center"/>
    </xf>
    <xf numFmtId="176" fontId="40" fillId="0" borderId="84" xfId="17" applyNumberFormat="1" applyFont="1" applyBorder="1" applyAlignment="1">
      <alignment vertical="center"/>
    </xf>
    <xf numFmtId="176" fontId="40" fillId="0" borderId="84" xfId="17" applyNumberFormat="1" applyFont="1" applyBorder="1" applyAlignment="1">
      <alignment horizontal="right" vertical="center"/>
    </xf>
    <xf numFmtId="176" fontId="40" fillId="0" borderId="85" xfId="17" applyNumberFormat="1" applyFont="1" applyBorder="1" applyAlignment="1">
      <alignment vertical="center"/>
    </xf>
    <xf numFmtId="176" fontId="40" fillId="0" borderId="105" xfId="17" applyNumberFormat="1" applyFont="1" applyBorder="1" applyAlignment="1">
      <alignment vertical="center"/>
    </xf>
    <xf numFmtId="176" fontId="40" fillId="0" borderId="113" xfId="17" applyNumberFormat="1" applyFont="1" applyBorder="1" applyAlignment="1">
      <alignment horizontal="center" vertical="center"/>
    </xf>
    <xf numFmtId="176" fontId="40" fillId="0" borderId="33" xfId="17" applyNumberFormat="1" applyFont="1" applyBorder="1" applyAlignment="1" applyProtection="1">
      <alignment horizontal="center" vertical="center"/>
      <protection locked="0"/>
    </xf>
    <xf numFmtId="176" fontId="40" fillId="0" borderId="84" xfId="17" applyNumberFormat="1" applyFont="1" applyBorder="1" applyAlignment="1" applyProtection="1">
      <alignment vertical="center"/>
      <protection locked="0"/>
    </xf>
    <xf numFmtId="176" fontId="40" fillId="0" borderId="78" xfId="17" applyNumberFormat="1" applyFont="1" applyBorder="1" applyAlignment="1" applyProtection="1">
      <alignment vertical="center"/>
      <protection locked="0"/>
    </xf>
    <xf numFmtId="176" fontId="40" fillId="0" borderId="84" xfId="17" applyNumberFormat="1" applyFont="1" applyBorder="1" applyAlignment="1" applyProtection="1">
      <alignment horizontal="right" vertical="center"/>
      <protection locked="0"/>
    </xf>
    <xf numFmtId="176" fontId="40" fillId="0" borderId="85" xfId="17" applyNumberFormat="1" applyFont="1" applyBorder="1" applyAlignment="1" applyProtection="1">
      <alignment vertical="center"/>
      <protection locked="0"/>
    </xf>
    <xf numFmtId="176" fontId="40" fillId="0" borderId="114" xfId="9" applyNumberFormat="1" applyFont="1" applyBorder="1" applyAlignment="1">
      <alignment vertical="center"/>
    </xf>
    <xf numFmtId="0" fontId="40" fillId="0" borderId="115" xfId="9" applyFont="1" applyBorder="1" applyAlignment="1">
      <alignment vertical="center"/>
    </xf>
    <xf numFmtId="0" fontId="40" fillId="0" borderId="32" xfId="9" applyFont="1" applyBorder="1" applyAlignment="1">
      <alignment vertical="center" wrapText="1"/>
    </xf>
    <xf numFmtId="0" fontId="40" fillId="0" borderId="15" xfId="9" applyFont="1" applyBorder="1" applyAlignment="1">
      <alignment vertical="center"/>
    </xf>
    <xf numFmtId="176" fontId="40" fillId="0" borderId="116" xfId="17" applyNumberFormat="1" applyFont="1" applyBorder="1" applyAlignment="1">
      <alignment vertical="center"/>
    </xf>
    <xf numFmtId="176" fontId="40" fillId="0" borderId="116" xfId="17" applyNumberFormat="1" applyFont="1" applyBorder="1" applyAlignment="1" applyProtection="1">
      <alignment horizontal="right" vertical="center"/>
      <protection locked="0"/>
    </xf>
    <xf numFmtId="176" fontId="40" fillId="0" borderId="117" xfId="17" applyNumberFormat="1" applyFont="1" applyBorder="1" applyAlignment="1">
      <alignment vertical="center"/>
    </xf>
    <xf numFmtId="176" fontId="40" fillId="0" borderId="32" xfId="17" applyNumberFormat="1" applyFont="1" applyBorder="1" applyAlignment="1" applyProtection="1">
      <alignment horizontal="center" vertical="center"/>
      <protection locked="0"/>
    </xf>
    <xf numFmtId="176" fontId="40" fillId="0" borderId="64" xfId="17" applyNumberFormat="1" applyFont="1" applyBorder="1" applyAlignment="1">
      <alignment vertical="center"/>
    </xf>
    <xf numFmtId="176" fontId="40" fillId="0" borderId="74" xfId="17" applyNumberFormat="1" applyFont="1" applyBorder="1" applyAlignment="1">
      <alignment vertical="center"/>
    </xf>
    <xf numFmtId="176" fontId="40" fillId="0" borderId="83" xfId="17" applyNumberFormat="1" applyFont="1" applyBorder="1" applyAlignment="1">
      <alignment vertical="center"/>
    </xf>
    <xf numFmtId="176" fontId="40" fillId="0" borderId="83" xfId="17" applyNumberFormat="1" applyFont="1" applyBorder="1" applyAlignment="1" applyProtection="1">
      <alignment horizontal="right" vertical="center"/>
      <protection locked="0"/>
    </xf>
    <xf numFmtId="176" fontId="40" fillId="0" borderId="66" xfId="17" applyNumberFormat="1" applyFont="1" applyBorder="1" applyAlignment="1" applyProtection="1">
      <alignment vertical="center"/>
      <protection locked="0"/>
    </xf>
    <xf numFmtId="176" fontId="40" fillId="0" borderId="75" xfId="17" applyNumberFormat="1" applyFont="1" applyBorder="1" applyAlignment="1" applyProtection="1">
      <alignment vertical="center"/>
      <protection locked="0"/>
    </xf>
    <xf numFmtId="176" fontId="40" fillId="0" borderId="0" xfId="17" applyNumberFormat="1" applyFont="1" applyAlignment="1">
      <alignment vertical="center" shrinkToFit="1"/>
    </xf>
    <xf numFmtId="176" fontId="40" fillId="0" borderId="113" xfId="17" applyNumberFormat="1" applyFont="1" applyBorder="1" applyAlignment="1">
      <alignment vertical="center"/>
    </xf>
    <xf numFmtId="176" fontId="40" fillId="0" borderId="104" xfId="17" applyNumberFormat="1" applyFont="1" applyBorder="1" applyAlignment="1">
      <alignment horizontal="center" vertical="center"/>
    </xf>
    <xf numFmtId="176" fontId="40" fillId="0" borderId="77" xfId="17" applyNumberFormat="1" applyFont="1" applyBorder="1" applyAlignment="1">
      <alignment vertical="center" shrinkToFit="1"/>
    </xf>
    <xf numFmtId="176" fontId="40" fillId="0" borderId="106" xfId="17" applyNumberFormat="1" applyFont="1" applyBorder="1" applyAlignment="1">
      <alignment horizontal="center" vertical="center"/>
    </xf>
    <xf numFmtId="176" fontId="40" fillId="0" borderId="12" xfId="17" applyNumberFormat="1" applyFont="1" applyBorder="1" applyAlignment="1">
      <alignment vertical="center" shrinkToFit="1"/>
    </xf>
    <xf numFmtId="176" fontId="40" fillId="0" borderId="31" xfId="17" applyNumberFormat="1" applyFont="1" applyBorder="1" applyAlignment="1">
      <alignment horizontal="center" vertical="center"/>
    </xf>
    <xf numFmtId="0" fontId="40" fillId="0" borderId="0" xfId="9" applyFont="1" applyAlignment="1">
      <alignment vertical="center" shrinkToFit="1"/>
    </xf>
    <xf numFmtId="176" fontId="16" fillId="0" borderId="106" xfId="17" applyNumberFormat="1" applyFont="1" applyBorder="1" applyAlignment="1">
      <alignment vertical="center"/>
    </xf>
    <xf numFmtId="176" fontId="40" fillId="0" borderId="113" xfId="17" applyNumberFormat="1" applyFont="1" applyBorder="1" applyAlignment="1">
      <alignment horizontal="center" vertical="center" wrapText="1"/>
    </xf>
    <xf numFmtId="176" fontId="40" fillId="0" borderId="12" xfId="17" applyNumberFormat="1" applyFont="1" applyBorder="1" applyAlignment="1">
      <alignment horizontal="left" vertical="center"/>
    </xf>
    <xf numFmtId="0" fontId="40" fillId="0" borderId="118" xfId="9" applyFont="1" applyBorder="1" applyAlignment="1">
      <alignment vertical="center"/>
    </xf>
    <xf numFmtId="0" fontId="40" fillId="0" borderId="101" xfId="9" applyFont="1" applyBorder="1" applyAlignment="1">
      <alignment vertical="center"/>
    </xf>
    <xf numFmtId="176" fontId="40" fillId="0" borderId="76" xfId="17" applyNumberFormat="1" applyFont="1" applyBorder="1" applyAlignment="1">
      <alignment vertical="center"/>
    </xf>
    <xf numFmtId="176" fontId="40" fillId="0" borderId="101" xfId="17" applyNumberFormat="1" applyFont="1" applyBorder="1" applyAlignment="1">
      <alignment vertical="center"/>
    </xf>
    <xf numFmtId="176" fontId="40" fillId="0" borderId="101" xfId="17" applyNumberFormat="1" applyFont="1" applyBorder="1" applyAlignment="1">
      <alignment horizontal="right" vertical="center"/>
    </xf>
    <xf numFmtId="176" fontId="40" fillId="0" borderId="61" xfId="17" applyNumberFormat="1" applyFont="1" applyBorder="1" applyAlignment="1">
      <alignment vertical="center"/>
    </xf>
    <xf numFmtId="41" fontId="40" fillId="0" borderId="60" xfId="10" applyFont="1" applyFill="1" applyBorder="1" applyAlignment="1">
      <alignment vertical="center"/>
    </xf>
    <xf numFmtId="0" fontId="40" fillId="0" borderId="118" xfId="9" applyFont="1" applyBorder="1" applyAlignment="1">
      <alignment horizontal="center" vertical="center"/>
    </xf>
    <xf numFmtId="0" fontId="40" fillId="0" borderId="61" xfId="9" applyFont="1" applyBorder="1" applyAlignment="1">
      <alignment horizontal="center" vertical="center"/>
    </xf>
    <xf numFmtId="0" fontId="40" fillId="0" borderId="69" xfId="9" applyFont="1" applyBorder="1" applyAlignment="1">
      <alignment horizontal="center" vertical="center"/>
    </xf>
    <xf numFmtId="0" fontId="40" fillId="0" borderId="67" xfId="9" applyFont="1" applyBorder="1" applyAlignment="1">
      <alignment horizontal="center" vertical="center"/>
    </xf>
    <xf numFmtId="0" fontId="40" fillId="0" borderId="113" xfId="9" applyFont="1" applyBorder="1" applyAlignment="1">
      <alignment horizontal="center" vertical="center" wrapText="1"/>
    </xf>
    <xf numFmtId="176" fontId="40" fillId="0" borderId="16" xfId="17" applyNumberFormat="1" applyFont="1" applyBorder="1" applyAlignment="1">
      <alignment vertical="center"/>
    </xf>
    <xf numFmtId="176" fontId="40" fillId="0" borderId="18" xfId="17" applyNumberFormat="1" applyFont="1" applyBorder="1" applyAlignment="1" applyProtection="1">
      <alignment horizontal="left" vertical="center"/>
      <protection locked="0"/>
    </xf>
    <xf numFmtId="176" fontId="40" fillId="0" borderId="80" xfId="17" applyNumberFormat="1" applyFont="1" applyBorder="1" applyAlignment="1" applyProtection="1">
      <alignment vertical="center"/>
      <protection locked="0"/>
    </xf>
    <xf numFmtId="176" fontId="40" fillId="0" borderId="112" xfId="17" applyNumberFormat="1" applyFont="1" applyBorder="1" applyAlignment="1">
      <alignment horizontal="center" vertical="center" wrapText="1"/>
    </xf>
    <xf numFmtId="176" fontId="40" fillId="0" borderId="18" xfId="17" applyNumberFormat="1" applyFont="1" applyBorder="1" applyAlignment="1">
      <alignment horizontal="left" vertical="center"/>
    </xf>
    <xf numFmtId="176" fontId="40" fillId="0" borderId="12" xfId="17" applyNumberFormat="1" applyFont="1" applyBorder="1" applyAlignment="1" applyProtection="1">
      <alignment horizontal="left" vertical="center"/>
      <protection locked="0"/>
    </xf>
    <xf numFmtId="176" fontId="8" fillId="0" borderId="12" xfId="17" applyNumberFormat="1" applyFont="1" applyBorder="1" applyAlignment="1">
      <alignment vertical="center"/>
    </xf>
    <xf numFmtId="176" fontId="8" fillId="0" borderId="80" xfId="17" applyNumberFormat="1" applyFont="1" applyBorder="1" applyAlignment="1">
      <alignment vertical="center"/>
    </xf>
    <xf numFmtId="176" fontId="40" fillId="0" borderId="15" xfId="17" applyNumberFormat="1" applyFont="1" applyBorder="1" applyAlignment="1" applyProtection="1">
      <alignment horizontal="left" vertical="center"/>
      <protection locked="0"/>
    </xf>
    <xf numFmtId="176" fontId="40" fillId="0" borderId="115" xfId="17" applyNumberFormat="1" applyFont="1" applyBorder="1" applyAlignment="1">
      <alignment vertical="center"/>
    </xf>
    <xf numFmtId="176" fontId="8" fillId="0" borderId="86" xfId="17" applyNumberFormat="1" applyFont="1" applyBorder="1" applyAlignment="1">
      <alignment vertical="center"/>
    </xf>
    <xf numFmtId="176" fontId="40" fillId="0" borderId="66" xfId="17" applyNumberFormat="1" applyFont="1" applyBorder="1" applyAlignment="1">
      <alignment vertical="center"/>
    </xf>
    <xf numFmtId="176" fontId="40" fillId="0" borderId="75" xfId="17" applyNumberFormat="1" applyFont="1" applyBorder="1" applyAlignment="1">
      <alignment vertical="center"/>
    </xf>
    <xf numFmtId="176" fontId="40" fillId="0" borderId="33" xfId="17" applyNumberFormat="1" applyFont="1" applyBorder="1" applyAlignment="1">
      <alignment horizontal="center" vertical="center"/>
    </xf>
    <xf numFmtId="176" fontId="40" fillId="0" borderId="119" xfId="17" applyNumberFormat="1" applyFont="1" applyBorder="1" applyAlignment="1">
      <alignment vertical="center"/>
    </xf>
    <xf numFmtId="0" fontId="40" fillId="0" borderId="110" xfId="9" applyFont="1" applyBorder="1" applyAlignment="1">
      <alignment vertical="center"/>
    </xf>
    <xf numFmtId="0" fontId="40" fillId="0" borderId="61" xfId="9" applyFont="1" applyBorder="1" applyAlignment="1">
      <alignment vertical="center"/>
    </xf>
    <xf numFmtId="176" fontId="40" fillId="0" borderId="76" xfId="17" applyNumberFormat="1" applyFont="1" applyBorder="1" applyAlignment="1" applyProtection="1">
      <alignment vertical="center"/>
      <protection locked="0"/>
    </xf>
    <xf numFmtId="176" fontId="40" fillId="0" borderId="101" xfId="17" applyNumberFormat="1" applyFont="1" applyBorder="1" applyAlignment="1" applyProtection="1">
      <alignment vertical="center"/>
      <protection locked="0"/>
    </xf>
    <xf numFmtId="176" fontId="40" fillId="0" borderId="101" xfId="17" applyNumberFormat="1" applyFont="1" applyBorder="1" applyAlignment="1" applyProtection="1">
      <alignment horizontal="right" vertical="center"/>
      <protection locked="0"/>
    </xf>
    <xf numFmtId="41" fontId="40" fillId="0" borderId="70" xfId="10" applyFont="1" applyFill="1" applyBorder="1" applyAlignment="1">
      <alignment vertical="center"/>
    </xf>
    <xf numFmtId="176" fontId="40" fillId="0" borderId="33" xfId="17" applyNumberFormat="1" applyFont="1" applyBorder="1" applyAlignment="1" applyProtection="1">
      <alignment vertical="center"/>
      <protection locked="0"/>
    </xf>
    <xf numFmtId="0" fontId="40" fillId="0" borderId="59" xfId="9" applyFont="1" applyBorder="1" applyAlignment="1">
      <alignment vertical="center" shrinkToFit="1"/>
    </xf>
    <xf numFmtId="176" fontId="40" fillId="0" borderId="60" xfId="17" applyNumberFormat="1" applyFont="1" applyBorder="1" applyAlignment="1">
      <alignment vertical="center"/>
    </xf>
    <xf numFmtId="176" fontId="40" fillId="0" borderId="31" xfId="17" applyNumberFormat="1" applyFont="1" applyBorder="1" applyAlignment="1">
      <alignment vertical="center"/>
    </xf>
    <xf numFmtId="176" fontId="40" fillId="0" borderId="86" xfId="17" applyNumberFormat="1" applyFont="1" applyBorder="1" applyAlignment="1">
      <alignment horizontal="left" vertical="center"/>
    </xf>
    <xf numFmtId="0" fontId="39" fillId="0" borderId="69" xfId="9" applyFont="1" applyBorder="1" applyAlignment="1">
      <alignment vertical="center"/>
    </xf>
    <xf numFmtId="0" fontId="39" fillId="0" borderId="57" xfId="9" applyFont="1" applyBorder="1" applyAlignment="1">
      <alignment vertical="center"/>
    </xf>
    <xf numFmtId="176" fontId="39" fillId="0" borderId="73" xfId="9" applyNumberFormat="1" applyFont="1" applyBorder="1" applyAlignment="1">
      <alignment vertical="center"/>
    </xf>
    <xf numFmtId="0" fontId="39" fillId="0" borderId="67" xfId="9" applyFont="1" applyBorder="1" applyAlignment="1">
      <alignment vertical="center"/>
    </xf>
    <xf numFmtId="41" fontId="39" fillId="0" borderId="56" xfId="10" applyFont="1" applyFill="1" applyBorder="1" applyAlignment="1">
      <alignment vertical="center"/>
    </xf>
    <xf numFmtId="0" fontId="40" fillId="0" borderId="31" xfId="9" applyFont="1" applyBorder="1" applyAlignment="1">
      <alignment vertical="center"/>
    </xf>
    <xf numFmtId="176" fontId="40" fillId="0" borderId="111" xfId="17" applyNumberFormat="1" applyFont="1" applyBorder="1" applyAlignment="1">
      <alignment vertical="center"/>
    </xf>
    <xf numFmtId="176" fontId="40" fillId="0" borderId="31" xfId="17" applyNumberFormat="1" applyFont="1" applyBorder="1" applyAlignment="1" applyProtection="1">
      <alignment horizontal="center" vertical="center" wrapText="1"/>
      <protection locked="0"/>
    </xf>
    <xf numFmtId="176" fontId="40" fillId="0" borderId="0" xfId="17" applyNumberFormat="1" applyFont="1" applyAlignment="1" applyProtection="1">
      <alignment horizontal="left" vertical="center"/>
      <protection locked="0"/>
    </xf>
    <xf numFmtId="0" fontId="39" fillId="0" borderId="120" xfId="9" applyFont="1" applyBorder="1" applyAlignment="1">
      <alignment horizontal="left" vertical="center"/>
    </xf>
    <xf numFmtId="0" fontId="39" fillId="0" borderId="66" xfId="9" applyFont="1" applyBorder="1" applyAlignment="1">
      <alignment horizontal="left" vertical="center"/>
    </xf>
    <xf numFmtId="176" fontId="39" fillId="0" borderId="102" xfId="9" applyNumberFormat="1" applyFont="1" applyBorder="1" applyAlignment="1">
      <alignment vertical="center"/>
    </xf>
    <xf numFmtId="0" fontId="39" fillId="0" borderId="116" xfId="9" applyFont="1" applyBorder="1" applyAlignment="1">
      <alignment vertical="center"/>
    </xf>
    <xf numFmtId="176" fontId="39" fillId="0" borderId="16" xfId="9" applyNumberFormat="1" applyFont="1" applyBorder="1" applyAlignment="1">
      <alignment vertical="center"/>
    </xf>
    <xf numFmtId="176" fontId="40" fillId="0" borderId="31" xfId="17" applyNumberFormat="1" applyFont="1" applyBorder="1" applyAlignment="1" applyProtection="1">
      <alignment vertical="center" wrapText="1"/>
      <protection locked="0"/>
    </xf>
    <xf numFmtId="176" fontId="39" fillId="0" borderId="74" xfId="9" applyNumberFormat="1" applyFont="1" applyBorder="1" applyAlignment="1">
      <alignment vertical="center"/>
    </xf>
    <xf numFmtId="0" fontId="39" fillId="0" borderId="83" xfId="9" applyFont="1" applyBorder="1" applyAlignment="1">
      <alignment vertical="center"/>
    </xf>
    <xf numFmtId="41" fontId="39" fillId="0" borderId="65" xfId="10" applyFont="1" applyFill="1" applyBorder="1" applyAlignment="1">
      <alignment vertical="center"/>
    </xf>
    <xf numFmtId="0" fontId="40" fillId="0" borderId="77" xfId="9" applyFont="1" applyBorder="1" applyAlignment="1">
      <alignment horizontal="left" vertical="center"/>
    </xf>
    <xf numFmtId="0" fontId="39" fillId="0" borderId="106" xfId="9" applyFont="1" applyBorder="1" applyAlignment="1">
      <alignment vertical="center"/>
    </xf>
    <xf numFmtId="0" fontId="39" fillId="0" borderId="0" xfId="9" applyFont="1" applyAlignment="1">
      <alignment vertical="center"/>
    </xf>
    <xf numFmtId="189" fontId="40" fillId="0" borderId="86" xfId="9" applyNumberFormat="1" applyFont="1" applyBorder="1" applyAlignment="1">
      <alignment vertical="center"/>
    </xf>
    <xf numFmtId="41" fontId="40" fillId="0" borderId="13" xfId="10" applyFont="1" applyFill="1" applyBorder="1" applyAlignment="1">
      <alignment vertical="center"/>
    </xf>
    <xf numFmtId="176" fontId="40" fillId="0" borderId="80" xfId="9" applyNumberFormat="1" applyFont="1" applyBorder="1" applyAlignment="1">
      <alignment vertical="center"/>
    </xf>
    <xf numFmtId="186" fontId="8" fillId="0" borderId="0" xfId="17" applyNumberFormat="1" applyFont="1" applyAlignment="1">
      <alignment vertical="center"/>
    </xf>
    <xf numFmtId="176" fontId="40" fillId="0" borderId="86" xfId="9" applyNumberFormat="1" applyFont="1" applyBorder="1" applyAlignment="1">
      <alignment vertical="center"/>
    </xf>
    <xf numFmtId="176" fontId="40" fillId="0" borderId="13" xfId="9" applyNumberFormat="1" applyFont="1" applyBorder="1" applyAlignment="1">
      <alignment vertical="center"/>
    </xf>
    <xf numFmtId="176" fontId="40" fillId="0" borderId="121" xfId="17" applyNumberFormat="1" applyFont="1" applyBorder="1" applyAlignment="1">
      <alignment horizontal="center" vertical="center"/>
    </xf>
    <xf numFmtId="176" fontId="40" fillId="0" borderId="78" xfId="17" quotePrefix="1" applyNumberFormat="1" applyFont="1" applyBorder="1" applyAlignment="1">
      <alignment horizontal="left" vertical="center"/>
    </xf>
    <xf numFmtId="0" fontId="39" fillId="0" borderId="122" xfId="9" applyFont="1" applyBorder="1" applyAlignment="1">
      <alignment horizontal="left" vertical="center"/>
    </xf>
    <xf numFmtId="0" fontId="39" fillId="0" borderId="62" xfId="9" applyFont="1" applyBorder="1" applyAlignment="1">
      <alignment horizontal="left" vertical="center"/>
    </xf>
    <xf numFmtId="41" fontId="40" fillId="0" borderId="102" xfId="9" applyNumberFormat="1" applyFont="1" applyBorder="1" applyAlignment="1">
      <alignment vertical="center"/>
    </xf>
    <xf numFmtId="0" fontId="40" fillId="0" borderId="116" xfId="9" applyFont="1" applyBorder="1" applyAlignment="1">
      <alignment vertical="center"/>
    </xf>
    <xf numFmtId="41" fontId="40" fillId="0" borderId="16" xfId="9" applyNumberFormat="1" applyFont="1" applyBorder="1" applyAlignment="1">
      <alignment vertical="center"/>
    </xf>
    <xf numFmtId="176" fontId="40" fillId="0" borderId="111" xfId="17" applyNumberFormat="1" applyFont="1" applyBorder="1" applyAlignment="1" applyProtection="1">
      <alignment horizontal="center" vertical="center"/>
      <protection locked="0"/>
    </xf>
    <xf numFmtId="0" fontId="39" fillId="0" borderId="118" xfId="9" applyFont="1" applyBorder="1" applyAlignment="1">
      <alignment vertical="center"/>
    </xf>
    <xf numFmtId="0" fontId="39" fillId="0" borderId="61" xfId="9" applyFont="1" applyBorder="1" applyAlignment="1">
      <alignment vertical="center"/>
    </xf>
    <xf numFmtId="41" fontId="40" fillId="0" borderId="88" xfId="10" applyFont="1" applyFill="1" applyBorder="1" applyAlignment="1">
      <alignment vertical="center"/>
    </xf>
    <xf numFmtId="0" fontId="40" fillId="0" borderId="99" xfId="9" applyFont="1" applyBorder="1" applyAlignment="1">
      <alignment vertical="center"/>
    </xf>
    <xf numFmtId="41" fontId="40" fillId="0" borderId="11" xfId="10" applyFont="1" applyFill="1" applyBorder="1" applyAlignment="1">
      <alignment vertical="center"/>
    </xf>
    <xf numFmtId="176" fontId="40" fillId="0" borderId="123" xfId="17" applyNumberFormat="1" applyFont="1" applyBorder="1" applyAlignment="1">
      <alignment vertical="center"/>
    </xf>
    <xf numFmtId="0" fontId="46" fillId="11" borderId="72" xfId="9" applyFont="1" applyFill="1" applyBorder="1" applyAlignment="1">
      <alignment horizontal="center" vertical="center"/>
    </xf>
    <xf numFmtId="0" fontId="46" fillId="11" borderId="36" xfId="9" applyFont="1" applyFill="1" applyBorder="1" applyAlignment="1">
      <alignment horizontal="center" vertical="center"/>
    </xf>
    <xf numFmtId="0" fontId="46" fillId="11" borderId="92" xfId="9" applyFont="1" applyFill="1" applyBorder="1" applyAlignment="1">
      <alignment horizontal="center" vertical="center"/>
    </xf>
    <xf numFmtId="176" fontId="40" fillId="0" borderId="12" xfId="17" quotePrefix="1" applyNumberFormat="1" applyFont="1" applyBorder="1" applyAlignment="1" applyProtection="1">
      <alignment horizontal="left" vertical="center"/>
      <protection locked="0"/>
    </xf>
    <xf numFmtId="0" fontId="53" fillId="11" borderId="106" xfId="9" applyFont="1" applyFill="1" applyBorder="1" applyAlignment="1">
      <alignment horizontal="left" vertical="center"/>
    </xf>
    <xf numFmtId="0" fontId="53" fillId="12" borderId="0" xfId="9" applyFont="1" applyFill="1"/>
    <xf numFmtId="0" fontId="53" fillId="12" borderId="80" xfId="9" applyFont="1" applyFill="1" applyBorder="1"/>
    <xf numFmtId="176" fontId="40" fillId="0" borderId="113" xfId="17" applyNumberFormat="1" applyFont="1" applyBorder="1" applyAlignment="1" applyProtection="1">
      <alignment horizontal="center" vertical="center"/>
      <protection locked="0"/>
    </xf>
    <xf numFmtId="0" fontId="40" fillId="0" borderId="33" xfId="9" applyFont="1" applyBorder="1" applyAlignment="1">
      <alignment horizontal="center" vertical="center"/>
    </xf>
    <xf numFmtId="194" fontId="40" fillId="0" borderId="0" xfId="17" applyNumberFormat="1" applyFont="1" applyAlignment="1" applyProtection="1">
      <alignment horizontal="center" vertical="center"/>
      <protection locked="0"/>
    </xf>
    <xf numFmtId="176" fontId="40" fillId="0" borderId="124" xfId="17" applyNumberFormat="1" applyFont="1" applyBorder="1" applyAlignment="1">
      <alignment horizontal="center" vertical="center" wrapText="1"/>
    </xf>
    <xf numFmtId="176" fontId="40" fillId="0" borderId="15" xfId="17" applyNumberFormat="1" applyFont="1" applyBorder="1" applyAlignment="1">
      <alignment horizontal="left" vertical="center"/>
    </xf>
    <xf numFmtId="176" fontId="40" fillId="0" borderId="116" xfId="17" applyNumberFormat="1" applyFont="1" applyBorder="1" applyAlignment="1">
      <alignment horizontal="right" vertical="center"/>
    </xf>
    <xf numFmtId="176" fontId="40" fillId="0" borderId="62" xfId="17" applyNumberFormat="1" applyFont="1" applyBorder="1" applyAlignment="1">
      <alignment vertical="center"/>
    </xf>
    <xf numFmtId="176" fontId="40" fillId="0" borderId="103" xfId="17" applyNumberFormat="1" applyFont="1" applyBorder="1" applyAlignment="1" applyProtection="1">
      <alignment vertical="center"/>
      <protection locked="0"/>
    </xf>
    <xf numFmtId="176" fontId="40" fillId="0" borderId="0" xfId="17" applyNumberFormat="1" applyFont="1" applyAlignment="1" applyProtection="1">
      <alignment horizontal="center" vertical="center"/>
      <protection locked="0"/>
    </xf>
    <xf numFmtId="0" fontId="40" fillId="0" borderId="113" xfId="9" applyFont="1" applyBorder="1" applyAlignment="1">
      <alignment horizontal="center" vertical="center"/>
    </xf>
    <xf numFmtId="0" fontId="40" fillId="0" borderId="12" xfId="9" applyFont="1" applyBorder="1" applyAlignment="1">
      <alignment vertical="center"/>
    </xf>
    <xf numFmtId="0" fontId="40" fillId="0" borderId="86" xfId="9" applyFont="1" applyBorder="1" applyAlignment="1">
      <alignment horizontal="center" vertical="center"/>
    </xf>
    <xf numFmtId="0" fontId="40" fillId="0" borderId="0" xfId="9" applyFont="1" applyAlignment="1">
      <alignment horizontal="center" vertical="center"/>
    </xf>
    <xf numFmtId="176" fontId="53" fillId="0" borderId="106" xfId="17" applyNumberFormat="1" applyFont="1" applyBorder="1" applyAlignment="1">
      <alignment vertical="center"/>
    </xf>
    <xf numFmtId="0" fontId="40" fillId="0" borderId="86" xfId="9" applyFont="1" applyBorder="1" applyAlignment="1">
      <alignment vertical="center"/>
    </xf>
    <xf numFmtId="176" fontId="43" fillId="0" borderId="0" xfId="17" applyNumberFormat="1" applyFont="1" applyAlignment="1">
      <alignment vertical="center" shrinkToFit="1"/>
    </xf>
    <xf numFmtId="176" fontId="40" fillId="0" borderId="32" xfId="17" applyNumberFormat="1" applyFont="1" applyBorder="1" applyAlignment="1">
      <alignment horizontal="center" vertical="center"/>
    </xf>
    <xf numFmtId="176" fontId="40" fillId="0" borderId="102" xfId="17" applyNumberFormat="1" applyFont="1" applyBorder="1" applyAlignment="1">
      <alignment vertical="center"/>
    </xf>
    <xf numFmtId="176" fontId="40" fillId="0" borderId="125" xfId="17" applyNumberFormat="1" applyFont="1" applyBorder="1" applyAlignment="1">
      <alignment vertical="center"/>
    </xf>
    <xf numFmtId="0" fontId="40" fillId="0" borderId="124" xfId="9" applyFont="1" applyBorder="1" applyAlignment="1">
      <alignment horizontal="center" vertical="center"/>
    </xf>
    <xf numFmtId="176" fontId="40" fillId="0" borderId="102" xfId="17" applyNumberFormat="1" applyFont="1" applyBorder="1" applyAlignment="1" applyProtection="1">
      <alignment vertical="center"/>
      <protection locked="0"/>
    </xf>
    <xf numFmtId="176" fontId="40" fillId="0" borderId="116" xfId="17" applyNumberFormat="1" applyFont="1" applyBorder="1" applyAlignment="1" applyProtection="1">
      <alignment vertical="center"/>
      <protection locked="0"/>
    </xf>
    <xf numFmtId="176" fontId="40" fillId="0" borderId="122" xfId="17" applyNumberFormat="1" applyFont="1" applyBorder="1" applyAlignment="1">
      <alignment horizontal="center" vertical="center"/>
    </xf>
    <xf numFmtId="180" fontId="40" fillId="0" borderId="68" xfId="18" applyNumberFormat="1" applyFont="1" applyFill="1" applyBorder="1" applyAlignment="1">
      <alignment horizontal="center" vertical="center"/>
    </xf>
    <xf numFmtId="176" fontId="40" fillId="0" borderId="112" xfId="17" applyNumberFormat="1" applyFont="1" applyBorder="1" applyAlignment="1">
      <alignment vertical="center"/>
    </xf>
    <xf numFmtId="41" fontId="40" fillId="0" borderId="0" xfId="10" applyFont="1" applyFill="1" applyBorder="1" applyAlignment="1" applyProtection="1">
      <alignment horizontal="right" vertical="center"/>
      <protection locked="0"/>
    </xf>
    <xf numFmtId="176" fontId="46" fillId="0" borderId="31" xfId="17" applyNumberFormat="1" applyFont="1" applyBorder="1" applyAlignment="1" applyProtection="1">
      <alignment vertical="center"/>
      <protection locked="0"/>
    </xf>
    <xf numFmtId="10" fontId="8" fillId="0" borderId="0" xfId="18" applyNumberFormat="1" applyFont="1" applyFill="1" applyAlignment="1">
      <alignment vertical="center"/>
    </xf>
    <xf numFmtId="176" fontId="40" fillId="0" borderId="114" xfId="17" applyNumberFormat="1" applyFont="1" applyBorder="1" applyAlignment="1">
      <alignment vertical="center"/>
    </xf>
    <xf numFmtId="0" fontId="40" fillId="0" borderId="0" xfId="9" applyFont="1" applyAlignment="1">
      <alignment horizontal="right" vertical="center"/>
    </xf>
    <xf numFmtId="176" fontId="40" fillId="0" borderId="15" xfId="17" applyNumberFormat="1" applyFont="1" applyBorder="1" applyAlignment="1">
      <alignment vertical="center"/>
    </xf>
    <xf numFmtId="176" fontId="40" fillId="0" borderId="106" xfId="17" applyNumberFormat="1" applyFont="1" applyBorder="1" applyAlignment="1">
      <alignment vertical="center"/>
    </xf>
    <xf numFmtId="176" fontId="8" fillId="0" borderId="31" xfId="17" applyNumberFormat="1" applyFont="1" applyBorder="1" applyAlignment="1">
      <alignment vertical="center"/>
    </xf>
    <xf numFmtId="176" fontId="16" fillId="0" borderId="31" xfId="17" applyNumberFormat="1" applyFont="1" applyBorder="1" applyAlignment="1">
      <alignment vertical="center"/>
    </xf>
    <xf numFmtId="176" fontId="40" fillId="0" borderId="31" xfId="17" applyNumberFormat="1" applyFont="1" applyBorder="1" applyAlignment="1">
      <alignment horizontal="center" vertical="center" wrapText="1"/>
    </xf>
    <xf numFmtId="0" fontId="40" fillId="0" borderId="111" xfId="9" applyFont="1" applyBorder="1" applyAlignment="1">
      <alignment horizontal="center" vertical="center"/>
    </xf>
    <xf numFmtId="0" fontId="40" fillId="0" borderId="102" xfId="9" applyFont="1" applyBorder="1" applyAlignment="1">
      <alignment vertical="center"/>
    </xf>
    <xf numFmtId="176" fontId="40" fillId="0" borderId="16" xfId="11" applyNumberFormat="1" applyFont="1" applyFill="1" applyBorder="1" applyAlignment="1" applyProtection="1">
      <alignment vertical="center"/>
      <protection locked="0"/>
    </xf>
    <xf numFmtId="176" fontId="40" fillId="0" borderId="124" xfId="17" applyNumberFormat="1" applyFont="1" applyBorder="1" applyAlignment="1">
      <alignment vertical="center"/>
    </xf>
    <xf numFmtId="0" fontId="40" fillId="0" borderId="66" xfId="9" applyFont="1" applyBorder="1" applyAlignment="1">
      <alignment vertical="center"/>
    </xf>
    <xf numFmtId="0" fontId="40" fillId="0" borderId="74" xfId="9" applyFont="1" applyBorder="1" applyAlignment="1">
      <alignment vertical="center"/>
    </xf>
    <xf numFmtId="176" fontId="40" fillId="0" borderId="83" xfId="9" applyNumberFormat="1" applyFont="1" applyBorder="1" applyAlignment="1">
      <alignment vertical="center"/>
    </xf>
    <xf numFmtId="0" fontId="40" fillId="0" borderId="83" xfId="9" applyFont="1" applyBorder="1" applyAlignment="1">
      <alignment vertical="center"/>
    </xf>
    <xf numFmtId="41" fontId="40" fillId="0" borderId="75" xfId="10" applyFont="1" applyFill="1" applyBorder="1" applyAlignment="1">
      <alignment vertical="center"/>
    </xf>
    <xf numFmtId="0" fontId="40" fillId="0" borderId="77" xfId="9" applyFont="1" applyBorder="1" applyAlignment="1">
      <alignment horizontal="center" vertical="center"/>
    </xf>
    <xf numFmtId="176" fontId="40" fillId="0" borderId="80" xfId="11" applyNumberFormat="1" applyFont="1" applyFill="1" applyBorder="1" applyAlignment="1" applyProtection="1">
      <alignment vertical="center"/>
      <protection locked="0"/>
    </xf>
    <xf numFmtId="176" fontId="16" fillId="0" borderId="86" xfId="17" applyNumberFormat="1" applyFont="1" applyBorder="1" applyAlignment="1">
      <alignment vertical="center"/>
    </xf>
    <xf numFmtId="176" fontId="40" fillId="0" borderId="77" xfId="17" applyNumberFormat="1" applyFont="1" applyBorder="1" applyAlignment="1">
      <alignment horizontal="left" vertical="center" shrinkToFit="1"/>
    </xf>
    <xf numFmtId="176" fontId="40" fillId="0" borderId="33" xfId="17" applyNumberFormat="1" applyFont="1" applyBorder="1" applyAlignment="1">
      <alignment horizontal="center" vertical="center" wrapText="1"/>
    </xf>
    <xf numFmtId="176" fontId="40" fillId="0" borderId="86" xfId="17" applyNumberFormat="1" applyFont="1" applyBorder="1" applyAlignment="1" applyProtection="1">
      <alignment horizontal="center" vertical="center"/>
      <protection locked="0"/>
    </xf>
    <xf numFmtId="0" fontId="43" fillId="12" borderId="0" xfId="9" applyFont="1" applyFill="1"/>
    <xf numFmtId="0" fontId="43" fillId="12" borderId="80" xfId="9" applyFont="1" applyFill="1" applyBorder="1"/>
    <xf numFmtId="0" fontId="40" fillId="0" borderId="106" xfId="9" applyFont="1" applyBorder="1" applyAlignment="1">
      <alignment horizontal="center" vertical="center"/>
    </xf>
    <xf numFmtId="176" fontId="53" fillId="0" borderId="106" xfId="17" applyNumberFormat="1" applyFont="1" applyBorder="1" applyAlignment="1" applyProtection="1">
      <alignment horizontal="left" vertical="center"/>
      <protection locked="0"/>
    </xf>
    <xf numFmtId="0" fontId="16" fillId="0" borderId="0" xfId="17" applyFont="1" applyAlignment="1">
      <alignment vertical="center"/>
    </xf>
    <xf numFmtId="0" fontId="16" fillId="0" borderId="80" xfId="17" applyFont="1" applyBorder="1" applyAlignment="1">
      <alignment vertical="center"/>
    </xf>
    <xf numFmtId="176" fontId="40" fillId="0" borderId="32" xfId="17" applyNumberFormat="1" applyFont="1" applyBorder="1" applyAlignment="1">
      <alignment vertical="center"/>
    </xf>
    <xf numFmtId="176" fontId="16" fillId="0" borderId="102" xfId="17" applyNumberFormat="1" applyFont="1" applyBorder="1" applyAlignment="1">
      <alignment vertical="center"/>
    </xf>
    <xf numFmtId="176" fontId="16" fillId="0" borderId="116" xfId="17" applyNumberFormat="1" applyFont="1" applyBorder="1" applyAlignment="1">
      <alignment vertical="center"/>
    </xf>
    <xf numFmtId="41" fontId="40" fillId="0" borderId="126" xfId="10" applyFont="1" applyFill="1" applyBorder="1" applyAlignment="1">
      <alignment vertical="center"/>
    </xf>
    <xf numFmtId="0" fontId="40" fillId="0" borderId="127" xfId="9" applyFont="1" applyBorder="1" applyAlignment="1">
      <alignment vertical="center"/>
    </xf>
    <xf numFmtId="0" fontId="40" fillId="0" borderId="76" xfId="9" applyFont="1" applyBorder="1" applyAlignment="1">
      <alignment vertical="center"/>
    </xf>
    <xf numFmtId="176" fontId="40" fillId="0" borderId="61" xfId="17" applyNumberFormat="1" applyFont="1" applyBorder="1" applyAlignment="1" applyProtection="1">
      <alignment vertical="center"/>
      <protection locked="0"/>
    </xf>
    <xf numFmtId="176" fontId="40" fillId="0" borderId="70" xfId="17" applyNumberFormat="1" applyFont="1" applyBorder="1" applyAlignment="1" applyProtection="1">
      <alignment vertical="center"/>
      <protection locked="0"/>
    </xf>
    <xf numFmtId="176" fontId="40" fillId="0" borderId="99" xfId="11" applyNumberFormat="1" applyFont="1" applyFill="1" applyBorder="1" applyAlignment="1" applyProtection="1">
      <alignment vertical="center"/>
      <protection locked="0"/>
    </xf>
    <xf numFmtId="176" fontId="8" fillId="0" borderId="88" xfId="17" applyNumberFormat="1" applyFont="1" applyBorder="1" applyAlignment="1">
      <alignment vertical="center"/>
    </xf>
    <xf numFmtId="176" fontId="40" fillId="0" borderId="107" xfId="17" applyNumberFormat="1" applyFont="1" applyBorder="1" applyAlignment="1" applyProtection="1">
      <alignment horizontal="right" vertical="center"/>
      <protection locked="0"/>
    </xf>
    <xf numFmtId="0" fontId="16" fillId="0" borderId="99" xfId="17" applyFont="1" applyBorder="1" applyAlignment="1">
      <alignment vertical="center"/>
    </xf>
    <xf numFmtId="0" fontId="16" fillId="0" borderId="43" xfId="17" applyFont="1" applyBorder="1" applyAlignment="1">
      <alignment vertical="center"/>
    </xf>
    <xf numFmtId="176" fontId="43" fillId="0" borderId="0" xfId="17" applyNumberFormat="1" applyFont="1" applyAlignment="1">
      <alignment vertical="center"/>
    </xf>
    <xf numFmtId="41" fontId="40" fillId="0" borderId="0" xfId="17" applyNumberFormat="1" applyFont="1" applyAlignment="1">
      <alignment vertical="center"/>
    </xf>
    <xf numFmtId="0" fontId="40" fillId="0" borderId="0" xfId="17" applyFont="1" applyAlignment="1">
      <alignment vertical="center"/>
    </xf>
    <xf numFmtId="0" fontId="40" fillId="0" borderId="0" xfId="17" applyFont="1" applyAlignment="1">
      <alignment horizontal="right" vertical="center"/>
    </xf>
    <xf numFmtId="176" fontId="16" fillId="0" borderId="36" xfId="17" applyNumberFormat="1" applyFont="1" applyBorder="1" applyAlignment="1">
      <alignment vertical="center"/>
    </xf>
    <xf numFmtId="176" fontId="40" fillId="0" borderId="36" xfId="17" applyNumberFormat="1" applyFont="1" applyBorder="1" applyAlignment="1" applyProtection="1">
      <alignment horizontal="right" vertical="center"/>
      <protection locked="0"/>
    </xf>
    <xf numFmtId="176" fontId="40" fillId="0" borderId="36" xfId="17" applyNumberFormat="1" applyFont="1" applyBorder="1" applyAlignment="1">
      <alignment vertical="center"/>
    </xf>
    <xf numFmtId="0" fontId="5" fillId="0" borderId="0" xfId="17" applyFont="1" applyAlignment="1">
      <alignment vertical="center"/>
    </xf>
    <xf numFmtId="41" fontId="5" fillId="0" borderId="0" xfId="17" applyNumberFormat="1" applyFont="1" applyAlignment="1">
      <alignment vertical="center"/>
    </xf>
    <xf numFmtId="0" fontId="16" fillId="0" borderId="0" xfId="17" applyFont="1" applyAlignment="1">
      <alignment horizontal="right" vertical="center"/>
    </xf>
    <xf numFmtId="176" fontId="47" fillId="0" borderId="0" xfId="17" applyNumberFormat="1" applyFont="1" applyAlignment="1">
      <alignment vertical="center"/>
    </xf>
    <xf numFmtId="176" fontId="47" fillId="0" borderId="0" xfId="17" applyNumberFormat="1" applyFont="1" applyAlignment="1" applyProtection="1">
      <alignment vertical="center"/>
      <protection locked="0"/>
    </xf>
    <xf numFmtId="176" fontId="47" fillId="0" borderId="0" xfId="17" applyNumberFormat="1" applyFont="1" applyAlignment="1" applyProtection="1">
      <alignment horizontal="right" vertical="center"/>
      <protection locked="0"/>
    </xf>
    <xf numFmtId="176" fontId="47" fillId="0" borderId="0" xfId="11" applyNumberFormat="1" applyFont="1" applyFill="1" applyBorder="1" applyAlignment="1" applyProtection="1">
      <alignment vertical="center"/>
      <protection locked="0"/>
    </xf>
    <xf numFmtId="176" fontId="47" fillId="0" borderId="0" xfId="17" applyNumberFormat="1" applyFont="1" applyAlignment="1">
      <alignment horizontal="left" vertical="center"/>
    </xf>
    <xf numFmtId="176" fontId="47" fillId="0" borderId="0" xfId="17" applyNumberFormat="1" applyFont="1" applyAlignment="1">
      <alignment horizontal="right" vertical="center"/>
    </xf>
    <xf numFmtId="176" fontId="47" fillId="0" borderId="0" xfId="17" applyNumberFormat="1" applyFont="1" applyAlignment="1" applyProtection="1">
      <alignment horizontal="left" vertical="center"/>
      <protection locked="0"/>
    </xf>
    <xf numFmtId="0" fontId="47" fillId="0" borderId="0" xfId="19" applyFont="1" applyAlignment="1">
      <alignment vertical="center"/>
    </xf>
    <xf numFmtId="0" fontId="47" fillId="0" borderId="0" xfId="20" applyFont="1" applyAlignment="1">
      <alignment horizontal="justify" vertical="center"/>
    </xf>
    <xf numFmtId="0" fontId="47" fillId="0" borderId="0" xfId="20" applyFont="1" applyAlignment="1">
      <alignment vertical="center"/>
    </xf>
    <xf numFmtId="0" fontId="47" fillId="0" borderId="0" xfId="9" applyFont="1" applyAlignment="1">
      <alignment vertical="center"/>
    </xf>
    <xf numFmtId="176" fontId="5" fillId="0" borderId="0" xfId="17" applyNumberFormat="1" applyFont="1" applyAlignment="1">
      <alignment vertical="center"/>
    </xf>
    <xf numFmtId="0" fontId="15" fillId="0" borderId="0" xfId="2" applyFont="1" applyProtection="1">
      <protection locked="0"/>
    </xf>
    <xf numFmtId="0" fontId="48" fillId="0" borderId="0" xfId="2" applyFont="1"/>
    <xf numFmtId="0" fontId="54" fillId="0" borderId="0" xfId="2" applyFont="1"/>
    <xf numFmtId="0" fontId="17" fillId="0" borderId="0" xfId="2" applyFont="1" applyAlignment="1">
      <alignment horizontal="right"/>
    </xf>
    <xf numFmtId="0" fontId="37" fillId="0" borderId="0" xfId="2" applyFont="1" applyAlignment="1">
      <alignment vertical="top"/>
    </xf>
    <xf numFmtId="0" fontId="17" fillId="0" borderId="91" xfId="2" applyFont="1" applyBorder="1" applyAlignment="1">
      <alignment horizontal="center" vertical="center"/>
    </xf>
    <xf numFmtId="0" fontId="17" fillId="0" borderId="128" xfId="2" applyFont="1" applyBorder="1" applyAlignment="1">
      <alignment horizontal="center" vertical="center"/>
    </xf>
    <xf numFmtId="0" fontId="17" fillId="0" borderId="129" xfId="2" applyFont="1" applyBorder="1" applyAlignment="1">
      <alignment horizontal="center" vertical="center"/>
    </xf>
    <xf numFmtId="0" fontId="17" fillId="0" borderId="130" xfId="2" applyFont="1" applyBorder="1" applyAlignment="1">
      <alignment horizontal="center" vertical="center"/>
    </xf>
    <xf numFmtId="0" fontId="17" fillId="0" borderId="34" xfId="2" applyFont="1" applyBorder="1" applyAlignment="1">
      <alignment horizontal="center" vertical="center"/>
    </xf>
    <xf numFmtId="0" fontId="17" fillId="0" borderId="90" xfId="2" applyFont="1" applyBorder="1" applyAlignment="1">
      <alignment horizontal="center" vertical="center"/>
    </xf>
    <xf numFmtId="0" fontId="17" fillId="0" borderId="106" xfId="2" applyFont="1" applyBorder="1" applyAlignment="1">
      <alignment horizontal="center" vertical="center"/>
    </xf>
    <xf numFmtId="176" fontId="17" fillId="0" borderId="31" xfId="2" applyNumberFormat="1" applyFont="1" applyBorder="1" applyAlignment="1">
      <alignment horizontal="right" vertical="center"/>
    </xf>
    <xf numFmtId="176" fontId="17" fillId="0" borderId="12" xfId="2" applyNumberFormat="1" applyFont="1" applyBorder="1" applyAlignment="1">
      <alignment horizontal="right" vertical="center"/>
    </xf>
    <xf numFmtId="176" fontId="17" fillId="0" borderId="86" xfId="2" applyNumberFormat="1" applyFont="1" applyBorder="1" applyAlignment="1">
      <alignment horizontal="right" vertical="center"/>
    </xf>
    <xf numFmtId="176" fontId="17" fillId="0" borderId="13" xfId="2" quotePrefix="1" applyNumberFormat="1" applyFont="1" applyBorder="1" applyAlignment="1">
      <alignment horizontal="right" vertical="center"/>
    </xf>
    <xf numFmtId="176" fontId="17" fillId="0" borderId="80" xfId="2" applyNumberFormat="1" applyFont="1" applyBorder="1" applyAlignment="1">
      <alignment horizontal="right" vertical="center"/>
    </xf>
    <xf numFmtId="41" fontId="17" fillId="0" borderId="31" xfId="2" applyNumberFormat="1" applyFont="1" applyBorder="1" applyAlignment="1">
      <alignment horizontal="right" vertical="center"/>
    </xf>
    <xf numFmtId="41" fontId="17" fillId="0" borderId="80" xfId="2" applyNumberFormat="1" applyFont="1" applyBorder="1" applyAlignment="1">
      <alignment horizontal="right" vertical="center"/>
    </xf>
    <xf numFmtId="41" fontId="17" fillId="0" borderId="12" xfId="2" applyNumberFormat="1" applyFont="1" applyBorder="1" applyAlignment="1">
      <alignment horizontal="right" vertical="center"/>
    </xf>
    <xf numFmtId="176" fontId="17" fillId="0" borderId="77" xfId="2" applyNumberFormat="1" applyFont="1" applyBorder="1" applyAlignment="1">
      <alignment horizontal="right" vertical="center"/>
    </xf>
    <xf numFmtId="176" fontId="17" fillId="0" borderId="0" xfId="2" applyNumberFormat="1" applyFont="1" applyAlignment="1">
      <alignment horizontal="right" vertical="center"/>
    </xf>
    <xf numFmtId="49" fontId="17" fillId="0" borderId="106" xfId="2" quotePrefix="1" applyNumberFormat="1" applyFont="1" applyBorder="1" applyAlignment="1">
      <alignment horizontal="center" vertical="center"/>
    </xf>
    <xf numFmtId="41" fontId="17" fillId="0" borderId="86" xfId="2" applyNumberFormat="1" applyFont="1" applyBorder="1" applyAlignment="1">
      <alignment horizontal="right" vertical="center"/>
    </xf>
    <xf numFmtId="41" fontId="17" fillId="0" borderId="13" xfId="2" quotePrefix="1" applyNumberFormat="1" applyFont="1" applyBorder="1" applyAlignment="1">
      <alignment horizontal="right" vertical="center"/>
    </xf>
    <xf numFmtId="195" fontId="17" fillId="0" borderId="122" xfId="2" applyNumberFormat="1" applyFont="1" applyBorder="1" applyAlignment="1">
      <alignment horizontal="center" vertical="center"/>
    </xf>
    <xf numFmtId="41" fontId="17" fillId="0" borderId="32" xfId="2" applyNumberFormat="1" applyFont="1" applyBorder="1" applyAlignment="1">
      <alignment horizontal="right" vertical="center"/>
    </xf>
    <xf numFmtId="41" fontId="17" fillId="0" borderId="15" xfId="2" applyNumberFormat="1" applyFont="1" applyBorder="1" applyAlignment="1">
      <alignment horizontal="right" vertical="center"/>
    </xf>
    <xf numFmtId="41" fontId="17" fillId="0" borderId="102" xfId="2" applyNumberFormat="1" applyFont="1" applyBorder="1" applyAlignment="1">
      <alignment horizontal="right" vertical="center"/>
    </xf>
    <xf numFmtId="41" fontId="17" fillId="0" borderId="16" xfId="2" quotePrefix="1" applyNumberFormat="1" applyFont="1" applyBorder="1" applyAlignment="1">
      <alignment horizontal="right" vertical="center"/>
    </xf>
    <xf numFmtId="41" fontId="17" fillId="0" borderId="103" xfId="2" applyNumberFormat="1" applyFont="1" applyBorder="1" applyAlignment="1">
      <alignment horizontal="right" vertical="center"/>
    </xf>
    <xf numFmtId="2" fontId="17" fillId="0" borderId="104" xfId="2" applyNumberFormat="1" applyFont="1" applyBorder="1" applyAlignment="1">
      <alignment horizontal="center" vertical="center"/>
    </xf>
    <xf numFmtId="41" fontId="17" fillId="0" borderId="33" xfId="2" applyNumberFormat="1" applyFont="1" applyBorder="1" applyAlignment="1">
      <alignment horizontal="right" vertical="center"/>
    </xf>
    <xf numFmtId="41" fontId="17" fillId="0" borderId="18" xfId="2" applyNumberFormat="1" applyFont="1" applyBorder="1" applyAlignment="1">
      <alignment horizontal="right" vertical="center"/>
    </xf>
    <xf numFmtId="41" fontId="17" fillId="0" borderId="78" xfId="2" applyNumberFormat="1" applyFont="1" applyBorder="1" applyAlignment="1">
      <alignment horizontal="right" vertical="center"/>
    </xf>
    <xf numFmtId="41" fontId="17" fillId="0" borderId="19" xfId="2" quotePrefix="1" applyNumberFormat="1" applyFont="1" applyBorder="1" applyAlignment="1">
      <alignment horizontal="right" vertical="center"/>
    </xf>
    <xf numFmtId="41" fontId="17" fillId="0" borderId="105" xfId="2" applyNumberFormat="1" applyFont="1" applyBorder="1" applyAlignment="1">
      <alignment horizontal="right" vertical="center"/>
    </xf>
    <xf numFmtId="2" fontId="17" fillId="0" borderId="106" xfId="2" applyNumberFormat="1" applyFont="1" applyBorder="1" applyAlignment="1">
      <alignment horizontal="center" vertical="center"/>
    </xf>
    <xf numFmtId="41" fontId="17" fillId="0" borderId="13" xfId="2" applyNumberFormat="1" applyFont="1" applyBorder="1" applyAlignment="1">
      <alignment horizontal="right" vertical="center"/>
    </xf>
    <xf numFmtId="2" fontId="17" fillId="0" borderId="107" xfId="2" applyNumberFormat="1" applyFont="1" applyBorder="1" applyAlignment="1">
      <alignment horizontal="center" vertical="center"/>
    </xf>
    <xf numFmtId="41" fontId="17" fillId="0" borderId="30" xfId="2" applyNumberFormat="1" applyFont="1" applyBorder="1" applyAlignment="1">
      <alignment horizontal="right" vertical="center"/>
    </xf>
    <xf numFmtId="41" fontId="17" fillId="0" borderId="10" xfId="2" applyNumberFormat="1" applyFont="1" applyBorder="1" applyAlignment="1">
      <alignment horizontal="right" vertical="center"/>
    </xf>
    <xf numFmtId="41" fontId="17" fillId="0" borderId="88" xfId="2" applyNumberFormat="1" applyFont="1" applyBorder="1" applyAlignment="1">
      <alignment horizontal="right" vertical="center"/>
    </xf>
    <xf numFmtId="41" fontId="17" fillId="0" borderId="11" xfId="2" applyNumberFormat="1" applyFont="1" applyBorder="1" applyAlignment="1">
      <alignment horizontal="right" vertical="center"/>
    </xf>
    <xf numFmtId="41" fontId="17" fillId="0" borderId="43" xfId="2" applyNumberFormat="1" applyFont="1" applyBorder="1" applyAlignment="1">
      <alignment horizontal="right" vertical="center"/>
    </xf>
    <xf numFmtId="0" fontId="14" fillId="0" borderId="0" xfId="2" applyFont="1" applyAlignment="1">
      <alignment vertical="center"/>
    </xf>
    <xf numFmtId="41" fontId="14" fillId="0" borderId="0" xfId="2" applyNumberFormat="1" applyFont="1" applyAlignment="1">
      <alignment vertical="center"/>
    </xf>
    <xf numFmtId="0" fontId="14" fillId="0" borderId="0" xfId="2" applyFont="1" applyAlignment="1">
      <alignment horizontal="left"/>
    </xf>
    <xf numFmtId="176" fontId="14" fillId="0" borderId="0" xfId="2" applyNumberFormat="1" applyFont="1"/>
    <xf numFmtId="0" fontId="55" fillId="0" borderId="0" xfId="2" applyFont="1"/>
    <xf numFmtId="176" fontId="55" fillId="0" borderId="0" xfId="2" applyNumberFormat="1" applyFont="1"/>
    <xf numFmtId="0" fontId="15" fillId="13" borderId="0" xfId="2" applyFont="1" applyFill="1"/>
    <xf numFmtId="0" fontId="16" fillId="13" borderId="0" xfId="2" applyFont="1" applyFill="1"/>
    <xf numFmtId="0" fontId="19" fillId="0" borderId="0" xfId="2" applyFont="1" applyAlignment="1">
      <alignment horizontal="left" vertical="top"/>
    </xf>
    <xf numFmtId="176" fontId="5" fillId="0" borderId="0" xfId="2" applyNumberFormat="1" applyFont="1" applyAlignment="1">
      <alignment vertical="top"/>
    </xf>
    <xf numFmtId="0" fontId="5" fillId="0" borderId="99" xfId="2" applyFont="1" applyBorder="1" applyAlignment="1">
      <alignment horizontal="right"/>
    </xf>
    <xf numFmtId="0" fontId="17" fillId="13" borderId="0" xfId="2" applyFont="1" applyFill="1" applyAlignment="1">
      <alignment vertical="top"/>
    </xf>
    <xf numFmtId="0" fontId="5" fillId="0" borderId="38" xfId="13" applyFont="1" applyBorder="1" applyAlignment="1">
      <alignment horizontal="center" vertical="center" wrapText="1"/>
    </xf>
    <xf numFmtId="0" fontId="5" fillId="0" borderId="2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 wrapText="1"/>
    </xf>
    <xf numFmtId="0" fontId="5" fillId="0" borderId="109" xfId="2" applyFont="1" applyBorder="1" applyAlignment="1">
      <alignment horizontal="center" vertical="center" wrapText="1"/>
    </xf>
    <xf numFmtId="0" fontId="47" fillId="13" borderId="0" xfId="2" applyFont="1" applyFill="1" applyAlignment="1">
      <alignment vertical="center"/>
    </xf>
    <xf numFmtId="0" fontId="5" fillId="0" borderId="41" xfId="13" applyFont="1" applyBorder="1" applyAlignment="1">
      <alignment horizontal="center" vertical="center" wrapText="1"/>
    </xf>
    <xf numFmtId="0" fontId="5" fillId="0" borderId="88" xfId="2" applyFont="1" applyBorder="1" applyAlignment="1">
      <alignment horizontal="center" vertical="center" wrapText="1"/>
    </xf>
    <xf numFmtId="0" fontId="5" fillId="0" borderId="131" xfId="13" applyFont="1" applyBorder="1" applyAlignment="1">
      <alignment horizontal="center" vertical="center" wrapText="1"/>
    </xf>
    <xf numFmtId="41" fontId="17" fillId="0" borderId="54" xfId="2" applyNumberFormat="1" applyFont="1" applyBorder="1" applyAlignment="1">
      <alignment horizontal="right" vertical="center"/>
    </xf>
    <xf numFmtId="41" fontId="17" fillId="0" borderId="57" xfId="2" applyNumberFormat="1" applyFont="1" applyBorder="1" applyAlignment="1">
      <alignment horizontal="right" vertical="center"/>
    </xf>
    <xf numFmtId="41" fontId="17" fillId="0" borderId="55" xfId="2" applyNumberFormat="1" applyFont="1" applyBorder="1" applyAlignment="1">
      <alignment horizontal="right" vertical="center"/>
    </xf>
    <xf numFmtId="41" fontId="17" fillId="0" borderId="56" xfId="2" applyNumberFormat="1" applyFont="1" applyBorder="1" applyAlignment="1">
      <alignment horizontal="right" vertical="center"/>
    </xf>
    <xf numFmtId="41" fontId="17" fillId="0" borderId="96" xfId="2" applyNumberFormat="1" applyFont="1" applyBorder="1" applyAlignment="1">
      <alignment horizontal="right" vertical="center"/>
    </xf>
    <xf numFmtId="41" fontId="47" fillId="13" borderId="0" xfId="2" applyNumberFormat="1" applyFont="1" applyFill="1" applyAlignment="1">
      <alignment vertical="center"/>
    </xf>
    <xf numFmtId="0" fontId="5" fillId="0" borderId="132" xfId="13" applyFont="1" applyBorder="1" applyAlignment="1">
      <alignment horizontal="center" vertical="center" wrapText="1"/>
    </xf>
    <xf numFmtId="41" fontId="17" fillId="0" borderId="63" xfId="2" applyNumberFormat="1" applyFont="1" applyBorder="1" applyAlignment="1">
      <alignment horizontal="right" vertical="center"/>
    </xf>
    <xf numFmtId="41" fontId="17" fillId="0" borderId="66" xfId="2" applyNumberFormat="1" applyFont="1" applyBorder="1" applyAlignment="1">
      <alignment horizontal="right" vertical="center"/>
    </xf>
    <xf numFmtId="41" fontId="17" fillId="0" borderId="64" xfId="2" applyNumberFormat="1" applyFont="1" applyBorder="1" applyAlignment="1">
      <alignment horizontal="right" vertical="center"/>
    </xf>
    <xf numFmtId="41" fontId="17" fillId="0" borderId="65" xfId="2" applyNumberFormat="1" applyFont="1" applyBorder="1" applyAlignment="1">
      <alignment horizontal="right" vertical="center"/>
    </xf>
    <xf numFmtId="41" fontId="17" fillId="0" borderId="97" xfId="2" applyNumberFormat="1" applyFont="1" applyBorder="1" applyAlignment="1">
      <alignment horizontal="right" vertical="center"/>
    </xf>
    <xf numFmtId="0" fontId="5" fillId="0" borderId="133" xfId="13" applyFont="1" applyBorder="1" applyAlignment="1">
      <alignment horizontal="center" vertical="center" wrapText="1"/>
    </xf>
    <xf numFmtId="41" fontId="17" fillId="0" borderId="58" xfId="2" applyNumberFormat="1" applyFont="1" applyBorder="1" applyAlignment="1">
      <alignment horizontal="right" vertical="center"/>
    </xf>
    <xf numFmtId="41" fontId="17" fillId="0" borderId="61" xfId="2" applyNumberFormat="1" applyFont="1" applyBorder="1" applyAlignment="1">
      <alignment horizontal="right" vertical="center"/>
    </xf>
    <xf numFmtId="41" fontId="17" fillId="0" borderId="59" xfId="2" applyNumberFormat="1" applyFont="1" applyBorder="1" applyAlignment="1">
      <alignment horizontal="right" vertical="center"/>
    </xf>
    <xf numFmtId="41" fontId="17" fillId="0" borderId="60" xfId="2" applyNumberFormat="1" applyFont="1" applyBorder="1" applyAlignment="1">
      <alignment horizontal="right" vertical="center"/>
    </xf>
    <xf numFmtId="41" fontId="17" fillId="0" borderId="98" xfId="2" applyNumberFormat="1" applyFont="1" applyBorder="1" applyAlignment="1">
      <alignment horizontal="right" vertical="center"/>
    </xf>
    <xf numFmtId="0" fontId="5" fillId="0" borderId="79" xfId="13" applyFont="1" applyBorder="1" applyAlignment="1">
      <alignment horizontal="center" vertical="center" wrapText="1"/>
    </xf>
    <xf numFmtId="41" fontId="17" fillId="0" borderId="42" xfId="2" applyNumberFormat="1" applyFont="1" applyBorder="1" applyAlignment="1">
      <alignment horizontal="right" vertical="center"/>
    </xf>
    <xf numFmtId="41" fontId="17" fillId="0" borderId="79" xfId="2" applyNumberFormat="1" applyFont="1" applyBorder="1" applyAlignment="1">
      <alignment horizontal="right" vertical="center"/>
    </xf>
    <xf numFmtId="0" fontId="21" fillId="13" borderId="0" xfId="2" applyFont="1" applyFill="1" applyAlignment="1">
      <alignment vertical="center"/>
    </xf>
    <xf numFmtId="0" fontId="47" fillId="0" borderId="0" xfId="2" applyFont="1" applyAlignment="1">
      <alignment vertical="center"/>
    </xf>
    <xf numFmtId="0" fontId="8" fillId="13" borderId="0" xfId="2" applyFont="1" applyFill="1"/>
    <xf numFmtId="176" fontId="40" fillId="0" borderId="0" xfId="9" applyNumberFormat="1" applyFont="1" applyAlignment="1">
      <alignment horizontal="center" vertical="center"/>
    </xf>
    <xf numFmtId="176" fontId="40" fillId="0" borderId="0" xfId="9" applyNumberFormat="1" applyFont="1" applyAlignment="1">
      <alignment horizontal="right" vertical="center"/>
    </xf>
    <xf numFmtId="0" fontId="56" fillId="0" borderId="0" xfId="9" applyFont="1" applyAlignment="1">
      <alignment vertical="center"/>
    </xf>
    <xf numFmtId="176" fontId="56" fillId="0" borderId="0" xfId="9" applyNumberFormat="1" applyFont="1" applyAlignment="1">
      <alignment vertical="center"/>
    </xf>
    <xf numFmtId="0" fontId="37" fillId="0" borderId="0" xfId="9" applyFont="1" applyAlignment="1">
      <alignment vertical="center"/>
    </xf>
    <xf numFmtId="0" fontId="57" fillId="0" borderId="0" xfId="9" applyFont="1" applyAlignment="1">
      <alignment vertical="center"/>
    </xf>
    <xf numFmtId="176" fontId="57" fillId="0" borderId="0" xfId="9" applyNumberFormat="1" applyFont="1" applyAlignment="1">
      <alignment vertical="center"/>
    </xf>
    <xf numFmtId="0" fontId="10" fillId="0" borderId="0" xfId="9" applyAlignment="1">
      <alignment vertical="center"/>
    </xf>
    <xf numFmtId="196" fontId="17" fillId="0" borderId="0" xfId="9" applyNumberFormat="1" applyFont="1" applyAlignment="1">
      <alignment horizontal="right" vertical="center"/>
    </xf>
    <xf numFmtId="0" fontId="17" fillId="0" borderId="54" xfId="9" applyFont="1" applyBorder="1" applyAlignment="1">
      <alignment horizontal="center" vertical="center"/>
    </xf>
    <xf numFmtId="0" fontId="17" fillId="0" borderId="55" xfId="9" applyFont="1" applyBorder="1" applyAlignment="1">
      <alignment horizontal="center" vertical="center"/>
    </xf>
    <xf numFmtId="176" fontId="17" fillId="0" borderId="27" xfId="9" applyNumberFormat="1" applyFont="1" applyBorder="1" applyAlignment="1">
      <alignment horizontal="center"/>
    </xf>
    <xf numFmtId="0" fontId="17" fillId="0" borderId="55" xfId="9" applyFont="1" applyBorder="1" applyAlignment="1">
      <alignment horizontal="center" vertical="center" wrapText="1"/>
    </xf>
    <xf numFmtId="0" fontId="17" fillId="0" borderId="56" xfId="9" applyFont="1" applyBorder="1" applyAlignment="1">
      <alignment horizontal="center" vertical="center" wrapText="1"/>
    </xf>
    <xf numFmtId="0" fontId="42" fillId="0" borderId="0" xfId="9" applyFont="1" applyAlignment="1">
      <alignment vertical="center"/>
    </xf>
    <xf numFmtId="0" fontId="17" fillId="0" borderId="63" xfId="9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176" fontId="17" fillId="0" borderId="15" xfId="9" applyNumberFormat="1" applyFont="1" applyBorder="1" applyAlignment="1">
      <alignment horizontal="center" vertical="top"/>
    </xf>
    <xf numFmtId="0" fontId="17" fillId="0" borderId="65" xfId="9" applyFont="1" applyBorder="1" applyAlignment="1">
      <alignment horizontal="center" vertical="center"/>
    </xf>
    <xf numFmtId="0" fontId="31" fillId="0" borderId="0" xfId="9" applyFont="1"/>
    <xf numFmtId="0" fontId="17" fillId="0" borderId="104" xfId="9" applyFont="1" applyBorder="1" applyAlignment="1">
      <alignment horizontal="center" vertical="center"/>
    </xf>
    <xf numFmtId="0" fontId="17" fillId="0" borderId="85" xfId="9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 wrapText="1"/>
    </xf>
    <xf numFmtId="0" fontId="17" fillId="0" borderId="64" xfId="9" applyFont="1" applyBorder="1" applyAlignment="1">
      <alignment horizontal="center" vertical="center"/>
    </xf>
    <xf numFmtId="0" fontId="17" fillId="0" borderId="64" xfId="9" quotePrefix="1" applyFont="1" applyBorder="1" applyAlignment="1">
      <alignment horizontal="center" vertical="center" wrapText="1"/>
    </xf>
    <xf numFmtId="0" fontId="17" fillId="0" borderId="65" xfId="9" applyFont="1" applyBorder="1" applyAlignment="1">
      <alignment horizontal="center" vertical="center"/>
    </xf>
    <xf numFmtId="0" fontId="17" fillId="0" borderId="122" xfId="9" applyFont="1" applyBorder="1" applyAlignment="1">
      <alignment horizontal="center" vertical="center"/>
    </xf>
    <xf numFmtId="0" fontId="17" fillId="0" borderId="62" xfId="9" applyFont="1" applyBorder="1" applyAlignment="1">
      <alignment horizontal="center" vertical="center"/>
    </xf>
    <xf numFmtId="0" fontId="17" fillId="0" borderId="18" xfId="9" applyFont="1" applyBorder="1" applyAlignment="1">
      <alignment horizontal="center" vertical="center"/>
    </xf>
    <xf numFmtId="0" fontId="17" fillId="0" borderId="18" xfId="9" applyFont="1" applyBorder="1" applyAlignment="1">
      <alignment horizontal="center" vertical="center" wrapText="1"/>
    </xf>
    <xf numFmtId="0" fontId="17" fillId="0" borderId="18" xfId="9" quotePrefix="1" applyFont="1" applyBorder="1" applyAlignment="1">
      <alignment horizontal="center" vertical="center" wrapText="1"/>
    </xf>
    <xf numFmtId="0" fontId="17" fillId="0" borderId="19" xfId="9" applyFont="1" applyBorder="1" applyAlignment="1">
      <alignment horizontal="center" vertical="center"/>
    </xf>
    <xf numFmtId="0" fontId="17" fillId="0" borderId="106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3" fontId="17" fillId="0" borderId="18" xfId="9" applyNumberFormat="1" applyFont="1" applyBorder="1" applyAlignment="1">
      <alignment horizontal="center" vertical="center" wrapText="1"/>
    </xf>
    <xf numFmtId="0" fontId="17" fillId="0" borderId="118" xfId="9" applyFont="1" applyBorder="1" applyAlignment="1">
      <alignment horizontal="center" vertical="center"/>
    </xf>
    <xf numFmtId="0" fontId="17" fillId="0" borderId="61" xfId="9" applyFont="1" applyBorder="1" applyAlignment="1">
      <alignment horizontal="center" vertical="center"/>
    </xf>
    <xf numFmtId="0" fontId="17" fillId="0" borderId="59" xfId="9" applyFont="1" applyBorder="1" applyAlignment="1">
      <alignment horizontal="center" vertical="center"/>
    </xf>
    <xf numFmtId="0" fontId="17" fillId="0" borderId="59" xfId="9" applyFont="1" applyBorder="1" applyAlignment="1">
      <alignment horizontal="center" vertical="center" wrapText="1"/>
    </xf>
    <xf numFmtId="0" fontId="17" fillId="0" borderId="59" xfId="9" quotePrefix="1" applyFont="1" applyBorder="1" applyAlignment="1">
      <alignment horizontal="center" vertical="center" wrapText="1"/>
    </xf>
    <xf numFmtId="0" fontId="17" fillId="0" borderId="60" xfId="9" applyFont="1" applyBorder="1" applyAlignment="1">
      <alignment horizontal="center" vertical="center"/>
    </xf>
    <xf numFmtId="0" fontId="17" fillId="0" borderId="0" xfId="9" applyFont="1" applyAlignment="1">
      <alignment horizontal="center" vertical="center"/>
    </xf>
    <xf numFmtId="0" fontId="17" fillId="0" borderId="0" xfId="9" applyFont="1" applyAlignment="1">
      <alignment horizontal="center" vertical="center" wrapText="1"/>
    </xf>
    <xf numFmtId="0" fontId="17" fillId="0" borderId="0" xfId="9" quotePrefix="1" applyFont="1" applyAlignment="1">
      <alignment horizontal="center" vertical="center" wrapText="1"/>
    </xf>
    <xf numFmtId="0" fontId="42" fillId="0" borderId="0" xfId="9" applyFont="1" applyAlignment="1">
      <alignment horizontal="center" vertical="center"/>
    </xf>
    <xf numFmtId="0" fontId="14" fillId="0" borderId="0" xfId="9" applyFont="1" applyAlignment="1">
      <alignment horizontal="center" vertical="center"/>
    </xf>
    <xf numFmtId="176" fontId="14" fillId="0" borderId="0" xfId="9" applyNumberFormat="1" applyFont="1" applyAlignment="1">
      <alignment horizontal="right" vertical="center"/>
    </xf>
    <xf numFmtId="0" fontId="14" fillId="0" borderId="0" xfId="9" applyFont="1" applyAlignment="1">
      <alignment horizontal="right" vertical="center"/>
    </xf>
    <xf numFmtId="176" fontId="42" fillId="0" borderId="0" xfId="9" applyNumberFormat="1" applyFont="1" applyAlignment="1">
      <alignment horizontal="right" vertical="center"/>
    </xf>
    <xf numFmtId="0" fontId="48" fillId="0" borderId="0" xfId="2" applyFont="1" applyAlignment="1">
      <alignment vertical="center"/>
    </xf>
    <xf numFmtId="176" fontId="47" fillId="0" borderId="0" xfId="2" applyNumberFormat="1" applyFont="1" applyAlignment="1">
      <alignment horizontal="right" vertical="center"/>
    </xf>
    <xf numFmtId="197" fontId="47" fillId="0" borderId="0" xfId="2" applyNumberFormat="1" applyFont="1" applyAlignment="1">
      <alignment horizontal="right" vertical="center"/>
    </xf>
    <xf numFmtId="197" fontId="8" fillId="0" borderId="0" xfId="2" applyNumberFormat="1" applyFont="1" applyAlignment="1">
      <alignment vertical="center"/>
    </xf>
    <xf numFmtId="197" fontId="8" fillId="0" borderId="0" xfId="2" quotePrefix="1" applyNumberFormat="1" applyFont="1" applyAlignment="1">
      <alignment vertical="center"/>
    </xf>
    <xf numFmtId="198" fontId="5" fillId="0" borderId="0" xfId="2" applyNumberFormat="1" applyFont="1"/>
    <xf numFmtId="0" fontId="17" fillId="0" borderId="99" xfId="2" applyFont="1" applyBorder="1" applyAlignment="1">
      <alignment horizontal="right"/>
    </xf>
    <xf numFmtId="0" fontId="5" fillId="0" borderId="73" xfId="2" applyFont="1" applyBorder="1" applyAlignment="1">
      <alignment horizontal="center" vertical="center"/>
    </xf>
    <xf numFmtId="0" fontId="5" fillId="0" borderId="82" xfId="10" applyNumberFormat="1" applyFont="1" applyFill="1" applyBorder="1" applyAlignment="1">
      <alignment horizontal="center" vertical="center"/>
    </xf>
    <xf numFmtId="41" fontId="40" fillId="0" borderId="77" xfId="10" quotePrefix="1" applyFont="1" applyFill="1" applyBorder="1" applyAlignment="1">
      <alignment horizontal="right" vertical="center"/>
    </xf>
    <xf numFmtId="41" fontId="40" fillId="0" borderId="12" xfId="10" quotePrefix="1" applyFont="1" applyFill="1" applyBorder="1" applyAlignment="1">
      <alignment horizontal="right" vertical="center"/>
    </xf>
    <xf numFmtId="41" fontId="40" fillId="0" borderId="86" xfId="10" quotePrefix="1" applyFont="1" applyFill="1" applyBorder="1" applyAlignment="1">
      <alignment horizontal="right" vertical="center"/>
    </xf>
    <xf numFmtId="41" fontId="40" fillId="0" borderId="31" xfId="10" quotePrefix="1" applyFont="1" applyFill="1" applyBorder="1" applyAlignment="1">
      <alignment horizontal="right" vertical="center"/>
    </xf>
    <xf numFmtId="41" fontId="40" fillId="0" borderId="27" xfId="10" quotePrefix="1" applyFont="1" applyFill="1" applyBorder="1" applyAlignment="1">
      <alignment horizontal="right" vertical="center"/>
    </xf>
    <xf numFmtId="41" fontId="40" fillId="0" borderId="29" xfId="10" quotePrefix="1" applyFont="1" applyFill="1" applyBorder="1" applyAlignment="1">
      <alignment horizontal="right" vertical="center"/>
    </xf>
    <xf numFmtId="41" fontId="40" fillId="0" borderId="80" xfId="10" quotePrefix="1" applyFont="1" applyFill="1" applyBorder="1" applyAlignment="1">
      <alignment horizontal="right" vertical="center"/>
    </xf>
    <xf numFmtId="41" fontId="40" fillId="0" borderId="13" xfId="10" quotePrefix="1" applyFont="1" applyFill="1" applyBorder="1" applyAlignment="1">
      <alignment horizontal="right" vertical="center"/>
    </xf>
    <xf numFmtId="0" fontId="58" fillId="0" borderId="0" xfId="2" applyFont="1"/>
    <xf numFmtId="0" fontId="29" fillId="0" borderId="82" xfId="10" applyNumberFormat="1" applyFont="1" applyFill="1" applyBorder="1" applyAlignment="1">
      <alignment horizontal="center" vertical="center"/>
    </xf>
    <xf numFmtId="41" fontId="39" fillId="0" borderId="77" xfId="10" quotePrefix="1" applyFont="1" applyFill="1" applyBorder="1" applyAlignment="1">
      <alignment horizontal="right" vertical="center"/>
    </xf>
    <xf numFmtId="41" fontId="39" fillId="0" borderId="12" xfId="10" quotePrefix="1" applyFont="1" applyFill="1" applyBorder="1" applyAlignment="1">
      <alignment horizontal="right" vertical="center"/>
    </xf>
    <xf numFmtId="41" fontId="39" fillId="0" borderId="86" xfId="10" quotePrefix="1" applyFont="1" applyFill="1" applyBorder="1" applyAlignment="1">
      <alignment horizontal="right" vertical="center"/>
    </xf>
    <xf numFmtId="41" fontId="39" fillId="0" borderId="31" xfId="10" quotePrefix="1" applyFont="1" applyFill="1" applyBorder="1" applyAlignment="1">
      <alignment horizontal="right" vertical="center"/>
    </xf>
    <xf numFmtId="41" fontId="39" fillId="0" borderId="13" xfId="10" quotePrefix="1" applyFont="1" applyFill="1" applyBorder="1" applyAlignment="1">
      <alignment horizontal="right" vertical="center"/>
    </xf>
    <xf numFmtId="41" fontId="39" fillId="0" borderId="80" xfId="10" quotePrefix="1" applyFont="1" applyFill="1" applyBorder="1" applyAlignment="1">
      <alignment horizontal="right" vertical="center"/>
    </xf>
    <xf numFmtId="0" fontId="59" fillId="0" borderId="0" xfId="2" applyFont="1"/>
    <xf numFmtId="195" fontId="5" fillId="0" borderId="82" xfId="10" applyNumberFormat="1" applyFont="1" applyFill="1" applyBorder="1" applyAlignment="1">
      <alignment horizontal="center" vertical="center"/>
    </xf>
    <xf numFmtId="41" fontId="40" fillId="0" borderId="0" xfId="10" quotePrefix="1" applyFont="1" applyFill="1" applyBorder="1" applyAlignment="1">
      <alignment horizontal="right" vertical="center"/>
    </xf>
    <xf numFmtId="41" fontId="40" fillId="0" borderId="62" xfId="10" quotePrefix="1" applyFont="1" applyFill="1" applyBorder="1" applyAlignment="1">
      <alignment horizontal="right" vertical="center"/>
    </xf>
    <xf numFmtId="41" fontId="40" fillId="0" borderId="15" xfId="10" quotePrefix="1" applyFont="1" applyFill="1" applyBorder="1" applyAlignment="1">
      <alignment horizontal="right" vertical="center"/>
    </xf>
    <xf numFmtId="41" fontId="40" fillId="0" borderId="102" xfId="10" quotePrefix="1" applyFont="1" applyFill="1" applyBorder="1" applyAlignment="1">
      <alignment horizontal="right" vertical="center"/>
    </xf>
    <xf numFmtId="41" fontId="40" fillId="0" borderId="32" xfId="10" quotePrefix="1" applyFont="1" applyFill="1" applyBorder="1" applyAlignment="1">
      <alignment horizontal="right" vertical="center"/>
    </xf>
    <xf numFmtId="41" fontId="40" fillId="0" borderId="16" xfId="10" quotePrefix="1" applyFont="1" applyFill="1" applyBorder="1" applyAlignment="1">
      <alignment horizontal="right" vertical="center"/>
    </xf>
    <xf numFmtId="41" fontId="40" fillId="0" borderId="103" xfId="10" quotePrefix="1" applyFont="1" applyFill="1" applyBorder="1" applyAlignment="1">
      <alignment horizontal="right" vertical="center"/>
    </xf>
    <xf numFmtId="0" fontId="5" fillId="0" borderId="97" xfId="10" applyNumberFormat="1" applyFont="1" applyFill="1" applyBorder="1" applyAlignment="1">
      <alignment horizontal="center" vertical="center"/>
    </xf>
    <xf numFmtId="41" fontId="40" fillId="0" borderId="66" xfId="10" quotePrefix="1" applyFont="1" applyFill="1" applyBorder="1" applyAlignment="1">
      <alignment horizontal="right" vertical="center"/>
    </xf>
    <xf numFmtId="41" fontId="40" fillId="0" borderId="83" xfId="10" quotePrefix="1" applyFont="1" applyFill="1" applyBorder="1" applyAlignment="1">
      <alignment horizontal="right" vertical="center"/>
    </xf>
    <xf numFmtId="41" fontId="40" fillId="0" borderId="63" xfId="10" quotePrefix="1" applyFont="1" applyFill="1" applyBorder="1" applyAlignment="1">
      <alignment horizontal="right" vertical="center"/>
    </xf>
    <xf numFmtId="41" fontId="40" fillId="0" borderId="65" xfId="10" quotePrefix="1" applyFont="1" applyFill="1" applyBorder="1" applyAlignment="1">
      <alignment horizontal="right" vertical="center"/>
    </xf>
    <xf numFmtId="2" fontId="5" fillId="0" borderId="87" xfId="10" applyNumberFormat="1" applyFont="1" applyFill="1" applyBorder="1" applyAlignment="1">
      <alignment horizontal="center" vertical="center"/>
    </xf>
    <xf numFmtId="41" fontId="40" fillId="0" borderId="85" xfId="10" quotePrefix="1" applyFont="1" applyFill="1" applyBorder="1" applyAlignment="1">
      <alignment horizontal="right" vertical="center"/>
    </xf>
    <xf numFmtId="41" fontId="40" fillId="0" borderId="18" xfId="10" quotePrefix="1" applyFont="1" applyFill="1" applyBorder="1" applyAlignment="1">
      <alignment horizontal="right" vertical="center"/>
    </xf>
    <xf numFmtId="41" fontId="40" fillId="0" borderId="78" xfId="10" quotePrefix="1" applyFont="1" applyFill="1" applyBorder="1" applyAlignment="1">
      <alignment horizontal="right" vertical="center"/>
    </xf>
    <xf numFmtId="41" fontId="40" fillId="0" borderId="33" xfId="10" quotePrefix="1" applyFont="1" applyFill="1" applyBorder="1" applyAlignment="1">
      <alignment horizontal="right" vertical="center"/>
    </xf>
    <xf numFmtId="41" fontId="40" fillId="0" borderId="19" xfId="10" quotePrefix="1" applyFont="1" applyFill="1" applyBorder="1" applyAlignment="1">
      <alignment horizontal="right" vertical="center"/>
    </xf>
    <xf numFmtId="41" fontId="40" fillId="0" borderId="105" xfId="10" quotePrefix="1" applyFont="1" applyFill="1" applyBorder="1" applyAlignment="1">
      <alignment horizontal="right" vertical="center"/>
    </xf>
    <xf numFmtId="2" fontId="5" fillId="0" borderId="82" xfId="10" applyNumberFormat="1" applyFont="1" applyFill="1" applyBorder="1" applyAlignment="1">
      <alignment horizontal="center" vertical="center"/>
    </xf>
    <xf numFmtId="0" fontId="10" fillId="0" borderId="106" xfId="2" applyBorder="1"/>
    <xf numFmtId="2" fontId="22" fillId="0" borderId="87" xfId="10" applyNumberFormat="1" applyFont="1" applyFill="1" applyBorder="1" applyAlignment="1">
      <alignment horizontal="center" vertical="center"/>
    </xf>
    <xf numFmtId="41" fontId="60" fillId="0" borderId="85" xfId="10" quotePrefix="1" applyFont="1" applyFill="1" applyBorder="1" applyAlignment="1">
      <alignment horizontal="right" vertical="center"/>
    </xf>
    <xf numFmtId="41" fontId="60" fillId="0" borderId="18" xfId="10" quotePrefix="1" applyFont="1" applyFill="1" applyBorder="1" applyAlignment="1">
      <alignment horizontal="right" vertical="center"/>
    </xf>
    <xf numFmtId="41" fontId="60" fillId="0" borderId="78" xfId="10" quotePrefix="1" applyFont="1" applyFill="1" applyBorder="1" applyAlignment="1">
      <alignment horizontal="right" vertical="center"/>
    </xf>
    <xf numFmtId="41" fontId="60" fillId="0" borderId="33" xfId="10" quotePrefix="1" applyFont="1" applyFill="1" applyBorder="1" applyAlignment="1">
      <alignment horizontal="right" vertical="center"/>
    </xf>
    <xf numFmtId="41" fontId="60" fillId="0" borderId="19" xfId="10" quotePrefix="1" applyFont="1" applyFill="1" applyBorder="1" applyAlignment="1">
      <alignment horizontal="right" vertical="center"/>
    </xf>
    <xf numFmtId="41" fontId="60" fillId="0" borderId="105" xfId="10" quotePrefix="1" applyFont="1" applyFill="1" applyBorder="1" applyAlignment="1">
      <alignment horizontal="right" vertical="center"/>
    </xf>
    <xf numFmtId="2" fontId="22" fillId="0" borderId="41" xfId="10" applyNumberFormat="1" applyFont="1" applyFill="1" applyBorder="1" applyAlignment="1">
      <alignment horizontal="center" vertical="center"/>
    </xf>
    <xf numFmtId="41" fontId="60" fillId="0" borderId="42" xfId="10" quotePrefix="1" applyFont="1" applyFill="1" applyBorder="1" applyAlignment="1">
      <alignment horizontal="right" vertical="center"/>
    </xf>
    <xf numFmtId="41" fontId="60" fillId="0" borderId="10" xfId="10" quotePrefix="1" applyFont="1" applyFill="1" applyBorder="1" applyAlignment="1">
      <alignment horizontal="right" vertical="center"/>
    </xf>
    <xf numFmtId="41" fontId="60" fillId="0" borderId="88" xfId="10" quotePrefix="1" applyFont="1" applyFill="1" applyBorder="1" applyAlignment="1">
      <alignment horizontal="right" vertical="center"/>
    </xf>
    <xf numFmtId="41" fontId="60" fillId="0" borderId="30" xfId="10" quotePrefix="1" applyFont="1" applyFill="1" applyBorder="1" applyAlignment="1">
      <alignment horizontal="right" vertical="center"/>
    </xf>
    <xf numFmtId="41" fontId="60" fillId="0" borderId="11" xfId="10" quotePrefix="1" applyFont="1" applyFill="1" applyBorder="1" applyAlignment="1">
      <alignment horizontal="right" vertical="center"/>
    </xf>
    <xf numFmtId="41" fontId="60" fillId="0" borderId="43" xfId="10" quotePrefix="1" applyFont="1" applyFill="1" applyBorder="1" applyAlignment="1">
      <alignment horizontal="right" vertical="center"/>
    </xf>
    <xf numFmtId="0" fontId="22" fillId="0" borderId="0" xfId="10" applyNumberFormat="1" applyFont="1" applyFill="1" applyBorder="1" applyAlignment="1">
      <alignment horizontal="center" vertical="center"/>
    </xf>
    <xf numFmtId="41" fontId="60" fillId="0" borderId="0" xfId="10" quotePrefix="1" applyFont="1" applyFill="1" applyBorder="1" applyAlignment="1">
      <alignment horizontal="right" vertical="center"/>
    </xf>
    <xf numFmtId="41" fontId="22" fillId="0" borderId="0" xfId="10" quotePrefix="1" applyFont="1" applyFill="1" applyBorder="1" applyAlignment="1">
      <alignment vertical="center"/>
    </xf>
    <xf numFmtId="41" fontId="5" fillId="0" borderId="0" xfId="10" applyFont="1" applyAlignment="1">
      <alignment vertical="center"/>
    </xf>
    <xf numFmtId="0" fontId="5" fillId="0" borderId="0" xfId="2" applyFont="1" applyAlignment="1">
      <alignment horizontal="left"/>
    </xf>
    <xf numFmtId="41" fontId="5" fillId="0" borderId="0" xfId="10" applyFont="1" applyFill="1" applyAlignment="1">
      <alignment horizontal="right" vertical="center"/>
    </xf>
    <xf numFmtId="41" fontId="5" fillId="0" borderId="0" xfId="10" applyFont="1" applyFill="1" applyAlignment="1">
      <alignment vertical="center"/>
    </xf>
    <xf numFmtId="41" fontId="5" fillId="0" borderId="0" xfId="10" applyFont="1" applyFill="1" applyBorder="1" applyAlignment="1">
      <alignment vertical="center"/>
    </xf>
    <xf numFmtId="41" fontId="14" fillId="0" borderId="0" xfId="10" applyFont="1" applyFill="1" applyAlignment="1">
      <alignment vertical="center"/>
    </xf>
    <xf numFmtId="41" fontId="14" fillId="0" borderId="0" xfId="10" applyFont="1" applyAlignment="1">
      <alignment horizontal="right" vertical="center"/>
    </xf>
    <xf numFmtId="41" fontId="14" fillId="0" borderId="0" xfId="10" applyFont="1" applyAlignment="1">
      <alignment vertical="center"/>
    </xf>
    <xf numFmtId="41" fontId="14" fillId="0" borderId="0" xfId="10" applyFont="1" applyBorder="1" applyAlignment="1">
      <alignment vertical="center"/>
    </xf>
    <xf numFmtId="176" fontId="61" fillId="0" borderId="0" xfId="2" applyNumberFormat="1" applyFont="1" applyAlignment="1">
      <alignment vertical="center"/>
    </xf>
    <xf numFmtId="41" fontId="10" fillId="0" borderId="0" xfId="2" applyNumberFormat="1" applyAlignment="1">
      <alignment vertical="center"/>
    </xf>
    <xf numFmtId="0" fontId="19" fillId="0" borderId="0" xfId="2" applyFont="1" applyAlignment="1">
      <alignment vertical="center"/>
    </xf>
    <xf numFmtId="2" fontId="5" fillId="0" borderId="134" xfId="2" quotePrefix="1" applyNumberFormat="1" applyFont="1" applyBorder="1" applyAlignment="1">
      <alignment horizontal="left" vertical="center" wrapText="1"/>
    </xf>
    <xf numFmtId="2" fontId="5" fillId="0" borderId="91" xfId="2" quotePrefix="1" applyNumberFormat="1" applyFont="1" applyBorder="1" applyAlignment="1">
      <alignment horizontal="center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90" xfId="2" quotePrefix="1" applyNumberFormat="1" applyFont="1" applyBorder="1" applyAlignment="1">
      <alignment horizontal="center"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92" xfId="2" quotePrefix="1" applyNumberFormat="1" applyFont="1" applyBorder="1" applyAlignment="1">
      <alignment horizontal="center"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93" xfId="2" quotePrefix="1" applyNumberFormat="1" applyFont="1" applyBorder="1" applyAlignment="1">
      <alignment horizontal="left" vertical="center" wrapText="1"/>
    </xf>
    <xf numFmtId="2" fontId="5" fillId="0" borderId="135" xfId="2" quotePrefix="1" applyNumberFormat="1" applyFont="1" applyBorder="1" applyAlignment="1">
      <alignment horizontal="left" vertical="center"/>
    </xf>
    <xf numFmtId="2" fontId="5" fillId="0" borderId="41" xfId="2" quotePrefix="1" applyNumberFormat="1" applyFont="1" applyBorder="1" applyAlignment="1">
      <alignment horizontal="center" vertical="center"/>
    </xf>
    <xf numFmtId="2" fontId="5" fillId="0" borderId="43" xfId="2" quotePrefix="1" applyNumberFormat="1" applyFont="1" applyBorder="1" applyAlignment="1">
      <alignment horizontal="center" vertical="center"/>
    </xf>
    <xf numFmtId="2" fontId="5" fillId="0" borderId="95" xfId="2" quotePrefix="1" applyNumberFormat="1" applyFont="1" applyBorder="1" applyAlignment="1">
      <alignment horizontal="left" vertical="center"/>
    </xf>
    <xf numFmtId="2" fontId="5" fillId="0" borderId="69" xfId="2" quotePrefix="1" applyNumberFormat="1" applyFont="1" applyBorder="1" applyAlignment="1">
      <alignment horizontal="center" vertical="center"/>
    </xf>
    <xf numFmtId="41" fontId="5" fillId="0" borderId="54" xfId="2" quotePrefix="1" applyNumberFormat="1" applyFont="1" applyBorder="1" applyAlignment="1">
      <alignment horizontal="right" vertical="center"/>
    </xf>
    <xf numFmtId="41" fontId="5" fillId="0" borderId="55" xfId="2" quotePrefix="1" applyNumberFormat="1" applyFont="1" applyBorder="1" applyAlignment="1">
      <alignment horizontal="right" vertical="center"/>
    </xf>
    <xf numFmtId="41" fontId="5" fillId="0" borderId="56" xfId="2" quotePrefix="1" applyNumberFormat="1" applyFont="1" applyBorder="1" applyAlignment="1">
      <alignment horizontal="right" vertical="center"/>
    </xf>
    <xf numFmtId="41" fontId="5" fillId="0" borderId="68" xfId="2" quotePrefix="1" applyNumberFormat="1" applyFont="1" applyBorder="1" applyAlignment="1">
      <alignment horizontal="right" vertical="center"/>
    </xf>
    <xf numFmtId="2" fontId="5" fillId="0" borderId="96" xfId="2" quotePrefix="1" applyNumberFormat="1" applyFont="1" applyBorder="1" applyAlignment="1">
      <alignment horizontal="center" vertical="center"/>
    </xf>
    <xf numFmtId="2" fontId="5" fillId="0" borderId="120" xfId="2" quotePrefix="1" applyNumberFormat="1" applyFont="1" applyBorder="1" applyAlignment="1">
      <alignment horizontal="center" vertical="center"/>
    </xf>
    <xf numFmtId="41" fontId="5" fillId="0" borderId="63" xfId="2" quotePrefix="1" applyNumberFormat="1" applyFont="1" applyBorder="1" applyAlignment="1">
      <alignment horizontal="right" vertical="center"/>
    </xf>
    <xf numFmtId="41" fontId="5" fillId="0" borderId="64" xfId="2" quotePrefix="1" applyNumberFormat="1" applyFont="1" applyBorder="1" applyAlignment="1">
      <alignment horizontal="right" vertical="center"/>
    </xf>
    <xf numFmtId="41" fontId="5" fillId="0" borderId="65" xfId="2" quotePrefix="1" applyNumberFormat="1" applyFont="1" applyBorder="1" applyAlignment="1">
      <alignment horizontal="right" vertical="center"/>
    </xf>
    <xf numFmtId="41" fontId="5" fillId="0" borderId="75" xfId="2" quotePrefix="1" applyNumberFormat="1" applyFont="1" applyBorder="1" applyAlignment="1">
      <alignment horizontal="right" vertical="center"/>
    </xf>
    <xf numFmtId="2" fontId="5" fillId="0" borderId="97" xfId="2" quotePrefix="1" applyNumberFormat="1" applyFont="1" applyBorder="1" applyAlignment="1">
      <alignment horizontal="center" vertical="center"/>
    </xf>
    <xf numFmtId="176" fontId="10" fillId="0" borderId="0" xfId="2" applyNumberFormat="1" applyAlignment="1">
      <alignment vertical="center"/>
    </xf>
    <xf numFmtId="2" fontId="5" fillId="6" borderId="120" xfId="2" quotePrefix="1" applyNumberFormat="1" applyFont="1" applyFill="1" applyBorder="1" applyAlignment="1">
      <alignment horizontal="center" vertical="center"/>
    </xf>
    <xf numFmtId="41" fontId="5" fillId="6" borderId="63" xfId="2" quotePrefix="1" applyNumberFormat="1" applyFont="1" applyFill="1" applyBorder="1" applyAlignment="1">
      <alignment horizontal="right" vertical="center"/>
    </xf>
    <xf numFmtId="41" fontId="5" fillId="6" borderId="64" xfId="2" quotePrefix="1" applyNumberFormat="1" applyFont="1" applyFill="1" applyBorder="1" applyAlignment="1">
      <alignment horizontal="right" vertical="center"/>
    </xf>
    <xf numFmtId="41" fontId="5" fillId="6" borderId="66" xfId="2" quotePrefix="1" applyNumberFormat="1" applyFont="1" applyFill="1" applyBorder="1" applyAlignment="1">
      <alignment horizontal="right" vertical="center"/>
    </xf>
    <xf numFmtId="41" fontId="5" fillId="6" borderId="65" xfId="2" quotePrefix="1" applyNumberFormat="1" applyFont="1" applyFill="1" applyBorder="1" applyAlignment="1">
      <alignment horizontal="right" vertical="center"/>
    </xf>
    <xf numFmtId="2" fontId="5" fillId="6" borderId="97" xfId="2" quotePrefix="1" applyNumberFormat="1" applyFont="1" applyFill="1" applyBorder="1" applyAlignment="1">
      <alignment horizontal="center" vertical="center"/>
    </xf>
    <xf numFmtId="41" fontId="5" fillId="0" borderId="15" xfId="2" quotePrefix="1" applyNumberFormat="1" applyFont="1" applyBorder="1" applyAlignment="1">
      <alignment horizontal="right" vertical="center"/>
    </xf>
    <xf numFmtId="199" fontId="10" fillId="0" borderId="0" xfId="2" applyNumberFormat="1" applyAlignment="1">
      <alignment vertical="center"/>
    </xf>
    <xf numFmtId="4" fontId="62" fillId="0" borderId="0" xfId="21" applyNumberFormat="1"/>
    <xf numFmtId="41" fontId="5" fillId="0" borderId="33" xfId="2" quotePrefix="1" applyNumberFormat="1" applyFont="1" applyBorder="1" applyAlignment="1">
      <alignment horizontal="right" vertical="center"/>
    </xf>
    <xf numFmtId="41" fontId="5" fillId="0" borderId="18" xfId="2" quotePrefix="1" applyNumberFormat="1" applyFont="1" applyBorder="1" applyAlignment="1">
      <alignment horizontal="right" vertical="center"/>
    </xf>
    <xf numFmtId="41" fontId="5" fillId="0" borderId="19" xfId="2" quotePrefix="1" applyNumberFormat="1" applyFont="1" applyBorder="1" applyAlignment="1">
      <alignment horizontal="right" vertical="center"/>
    </xf>
    <xf numFmtId="41" fontId="5" fillId="0" borderId="105" xfId="2" quotePrefix="1" applyNumberFormat="1" applyFont="1" applyBorder="1" applyAlignment="1">
      <alignment horizontal="right" vertical="center"/>
    </xf>
    <xf numFmtId="2" fontId="5" fillId="6" borderId="118" xfId="2" quotePrefix="1" applyNumberFormat="1" applyFont="1" applyFill="1" applyBorder="1" applyAlignment="1">
      <alignment horizontal="center" vertical="center"/>
    </xf>
    <xf numFmtId="41" fontId="5" fillId="6" borderId="58" xfId="2" quotePrefix="1" applyNumberFormat="1" applyFont="1" applyFill="1" applyBorder="1" applyAlignment="1">
      <alignment horizontal="right" vertical="center"/>
    </xf>
    <xf numFmtId="41" fontId="5" fillId="6" borderId="59" xfId="2" quotePrefix="1" applyNumberFormat="1" applyFont="1" applyFill="1" applyBorder="1" applyAlignment="1">
      <alignment horizontal="right" vertical="center"/>
    </xf>
    <xf numFmtId="41" fontId="5" fillId="6" borderId="60" xfId="2" quotePrefix="1" applyNumberFormat="1" applyFont="1" applyFill="1" applyBorder="1" applyAlignment="1">
      <alignment horizontal="right" vertical="center"/>
    </xf>
    <xf numFmtId="41" fontId="5" fillId="6" borderId="70" xfId="2" quotePrefix="1" applyNumberFormat="1" applyFont="1" applyFill="1" applyBorder="1" applyAlignment="1">
      <alignment horizontal="right" vertical="center"/>
    </xf>
    <xf numFmtId="2" fontId="5" fillId="6" borderId="98" xfId="2" quotePrefix="1" applyNumberFormat="1" applyFont="1" applyFill="1" applyBorder="1" applyAlignment="1">
      <alignment horizontal="center" vertical="center"/>
    </xf>
    <xf numFmtId="4" fontId="10" fillId="0" borderId="0" xfId="2" applyNumberFormat="1" applyAlignment="1">
      <alignment vertical="center"/>
    </xf>
    <xf numFmtId="2" fontId="5" fillId="7" borderId="107" xfId="2" quotePrefix="1" applyNumberFormat="1" applyFont="1" applyFill="1" applyBorder="1" applyAlignment="1">
      <alignment horizontal="center" vertical="center"/>
    </xf>
    <xf numFmtId="41" fontId="5" fillId="7" borderId="41" xfId="2" quotePrefix="1" applyNumberFormat="1" applyFont="1" applyFill="1" applyBorder="1" applyAlignment="1">
      <alignment horizontal="right" vertical="center"/>
    </xf>
    <xf numFmtId="41" fontId="5" fillId="7" borderId="43" xfId="2" quotePrefix="1" applyNumberFormat="1" applyFont="1" applyFill="1" applyBorder="1" applyAlignment="1">
      <alignment horizontal="right" vertical="center"/>
    </xf>
    <xf numFmtId="2" fontId="5" fillId="7" borderId="41" xfId="2" quotePrefix="1" applyNumberFormat="1" applyFont="1" applyFill="1" applyBorder="1" applyAlignment="1">
      <alignment horizontal="center" vertical="center"/>
    </xf>
    <xf numFmtId="2" fontId="5" fillId="0" borderId="36" xfId="2" quotePrefix="1" applyNumberFormat="1" applyFont="1" applyBorder="1" applyAlignment="1">
      <alignment horizontal="center" vertical="center"/>
    </xf>
    <xf numFmtId="2" fontId="5" fillId="0" borderId="0" xfId="2" quotePrefix="1" applyNumberFormat="1" applyFont="1" applyAlignment="1">
      <alignment horizontal="center" vertical="center"/>
    </xf>
    <xf numFmtId="2" fontId="21" fillId="0" borderId="0" xfId="2" quotePrefix="1" applyNumberFormat="1" applyFont="1" applyAlignment="1">
      <alignment horizontal="center" vertical="center"/>
    </xf>
    <xf numFmtId="0" fontId="21" fillId="0" borderId="0" xfId="2" applyFont="1" applyAlignment="1">
      <alignment horizontal="right" vertical="center"/>
    </xf>
    <xf numFmtId="0" fontId="17" fillId="0" borderId="0" xfId="2" applyFont="1" applyAlignment="1">
      <alignment horizontal="right" vertical="center"/>
    </xf>
    <xf numFmtId="2" fontId="5" fillId="0" borderId="54" xfId="2" quotePrefix="1" applyNumberFormat="1" applyFont="1" applyBorder="1" applyAlignment="1">
      <alignment horizontal="center" vertical="center"/>
    </xf>
    <xf numFmtId="2" fontId="5" fillId="0" borderId="55" xfId="2" quotePrefix="1" applyNumberFormat="1" applyFont="1" applyBorder="1" applyAlignment="1">
      <alignment horizontal="center" vertical="center"/>
    </xf>
    <xf numFmtId="2" fontId="5" fillId="0" borderId="56" xfId="2" quotePrefix="1" applyNumberFormat="1" applyFont="1" applyBorder="1" applyAlignment="1">
      <alignment horizontal="center" vertical="center"/>
    </xf>
    <xf numFmtId="0" fontId="19" fillId="0" borderId="0" xfId="2" applyFont="1"/>
    <xf numFmtId="2" fontId="17" fillId="0" borderId="0" xfId="2" quotePrefix="1" applyNumberFormat="1" applyFont="1" applyAlignment="1">
      <alignment horizontal="center" vertical="center"/>
    </xf>
    <xf numFmtId="41" fontId="19" fillId="0" borderId="0" xfId="10" applyFont="1" applyAlignment="1">
      <alignment shrinkToFit="1"/>
    </xf>
    <xf numFmtId="2" fontId="5" fillId="0" borderId="63" xfId="2" quotePrefix="1" applyNumberFormat="1" applyFont="1" applyBorder="1" applyAlignment="1">
      <alignment horizontal="center" vertical="center"/>
    </xf>
    <xf numFmtId="3" fontId="5" fillId="0" borderId="64" xfId="10" quotePrefix="1" applyNumberFormat="1" applyFont="1" applyBorder="1" applyAlignment="1">
      <alignment horizontal="center" vertical="center"/>
    </xf>
    <xf numFmtId="3" fontId="5" fillId="0" borderId="65" xfId="10" quotePrefix="1" applyNumberFormat="1" applyFont="1" applyBorder="1" applyAlignment="1">
      <alignment horizontal="center" vertical="center"/>
    </xf>
    <xf numFmtId="0" fontId="5" fillId="0" borderId="0" xfId="2" applyFont="1" applyAlignment="1">
      <alignment horizontal="left" vertical="center" indent="1"/>
    </xf>
    <xf numFmtId="0" fontId="5" fillId="0" borderId="0" xfId="2" quotePrefix="1" applyFont="1" applyAlignment="1">
      <alignment horizontal="left" vertical="center" shrinkToFit="1"/>
    </xf>
    <xf numFmtId="3" fontId="31" fillId="0" borderId="0" xfId="2" applyNumberFormat="1" applyFont="1"/>
    <xf numFmtId="2" fontId="5" fillId="0" borderId="58" xfId="2" quotePrefix="1" applyNumberFormat="1" applyFont="1" applyBorder="1" applyAlignment="1">
      <alignment horizontal="center" vertical="center"/>
    </xf>
    <xf numFmtId="188" fontId="5" fillId="0" borderId="59" xfId="2" quotePrefix="1" applyNumberFormat="1" applyFont="1" applyBorder="1" applyAlignment="1">
      <alignment horizontal="center" vertical="center"/>
    </xf>
    <xf numFmtId="188" fontId="5" fillId="0" borderId="76" xfId="2" quotePrefix="1" applyNumberFormat="1" applyFont="1" applyBorder="1" applyAlignment="1">
      <alignment horizontal="center" vertical="center"/>
    </xf>
    <xf numFmtId="188" fontId="5" fillId="0" borderId="98" xfId="2" quotePrefix="1" applyNumberFormat="1" applyFont="1" applyBorder="1" applyAlignment="1">
      <alignment horizontal="center" vertical="center"/>
    </xf>
    <xf numFmtId="2" fontId="17" fillId="0" borderId="0" xfId="2" quotePrefix="1" applyNumberFormat="1" applyFont="1" applyAlignment="1">
      <alignment horizontal="left" vertical="center"/>
    </xf>
    <xf numFmtId="0" fontId="5" fillId="0" borderId="0" xfId="2" quotePrefix="1" applyFont="1" applyAlignment="1">
      <alignment horizontal="left" vertical="center"/>
    </xf>
    <xf numFmtId="0" fontId="5" fillId="0" borderId="0" xfId="2" applyFont="1" applyAlignment="1">
      <alignment horizontal="left" vertical="center" indent="1" shrinkToFit="1"/>
    </xf>
    <xf numFmtId="0" fontId="5" fillId="0" borderId="0" xfId="2" quotePrefix="1" applyFont="1" applyAlignment="1">
      <alignment vertical="center"/>
    </xf>
    <xf numFmtId="0" fontId="17" fillId="0" borderId="0" xfId="2" quotePrefix="1" applyFont="1" applyAlignment="1">
      <alignment horizontal="left" vertical="center"/>
    </xf>
    <xf numFmtId="176" fontId="17" fillId="0" borderId="0" xfId="10" quotePrefix="1" applyNumberFormat="1" applyFont="1" applyBorder="1" applyAlignment="1">
      <alignment horizontal="left" vertical="center"/>
    </xf>
    <xf numFmtId="41" fontId="17" fillId="0" borderId="0" xfId="10" quotePrefix="1" applyFont="1" applyBorder="1" applyAlignment="1">
      <alignment horizontal="center" vertical="center"/>
    </xf>
    <xf numFmtId="188" fontId="21" fillId="0" borderId="0" xfId="2" quotePrefix="1" applyNumberFormat="1" applyFont="1" applyAlignment="1">
      <alignment horizontal="center" vertical="center"/>
    </xf>
    <xf numFmtId="0" fontId="5" fillId="0" borderId="0" xfId="2" quotePrefix="1" applyFont="1" applyAlignment="1">
      <alignment vertical="center" shrinkToFit="1"/>
    </xf>
    <xf numFmtId="0" fontId="21" fillId="0" borderId="0" xfId="2" applyFont="1" applyAlignment="1">
      <alignment horizontal="left" vertical="center" indent="1"/>
    </xf>
    <xf numFmtId="41" fontId="21" fillId="0" borderId="0" xfId="10" quotePrefix="1" applyFont="1" applyBorder="1" applyAlignment="1">
      <alignment horizontal="center" vertical="center"/>
    </xf>
    <xf numFmtId="0" fontId="21" fillId="0" borderId="0" xfId="2" quotePrefix="1" applyFont="1" applyAlignment="1">
      <alignment horizontal="left" vertical="center"/>
    </xf>
    <xf numFmtId="0" fontId="27" fillId="0" borderId="0" xfId="2" applyFont="1"/>
    <xf numFmtId="0" fontId="21" fillId="0" borderId="0" xfId="2" applyFont="1" applyAlignment="1">
      <alignment horizontal="left" vertical="center"/>
    </xf>
    <xf numFmtId="0" fontId="17" fillId="0" borderId="0" xfId="2" quotePrefix="1" applyFont="1" applyAlignment="1">
      <alignment horizontal="left" vertical="center" indent="1"/>
    </xf>
    <xf numFmtId="0" fontId="37" fillId="0" borderId="0" xfId="2" applyFont="1"/>
    <xf numFmtId="0" fontId="5" fillId="0" borderId="0" xfId="2" quotePrefix="1" applyFont="1" applyAlignment="1">
      <alignment horizontal="right" vertical="top"/>
    </xf>
    <xf numFmtId="0" fontId="63" fillId="0" borderId="0" xfId="2" applyFont="1" applyAlignment="1">
      <alignment vertical="top"/>
    </xf>
    <xf numFmtId="41" fontId="64" fillId="0" borderId="73" xfId="6" applyFont="1" applyBorder="1" applyAlignment="1">
      <alignment horizontal="center" vertical="center"/>
    </xf>
    <xf numFmtId="41" fontId="64" fillId="0" borderId="68" xfId="6" applyFont="1" applyBorder="1" applyAlignment="1">
      <alignment horizontal="center" vertical="center"/>
    </xf>
    <xf numFmtId="41" fontId="64" fillId="0" borderId="59" xfId="6" applyFont="1" applyFill="1" applyBorder="1" applyAlignment="1">
      <alignment horizontal="center" vertical="center"/>
    </xf>
    <xf numFmtId="41" fontId="64" fillId="0" borderId="60" xfId="6" applyFont="1" applyFill="1" applyBorder="1" applyAlignment="1">
      <alignment horizontal="center" vertical="center"/>
    </xf>
    <xf numFmtId="0" fontId="12" fillId="0" borderId="0" xfId="2" applyFont="1" applyAlignment="1">
      <alignment horizontal="center"/>
    </xf>
    <xf numFmtId="41" fontId="17" fillId="0" borderId="26" xfId="10" applyFont="1" applyFill="1" applyBorder="1" applyAlignment="1">
      <alignment horizontal="center" vertical="center"/>
    </xf>
    <xf numFmtId="41" fontId="5" fillId="0" borderId="27" xfId="10" applyFont="1" applyFill="1" applyBorder="1" applyAlignment="1">
      <alignment horizontal="center" vertical="center" shrinkToFit="1"/>
    </xf>
    <xf numFmtId="176" fontId="5" fillId="0" borderId="27" xfId="10" applyNumberFormat="1" applyFont="1" applyFill="1" applyBorder="1" applyAlignment="1">
      <alignment horizontal="right" vertical="center"/>
    </xf>
    <xf numFmtId="41" fontId="65" fillId="0" borderId="27" xfId="10" applyFont="1" applyFill="1" applyBorder="1" applyAlignment="1">
      <alignment horizontal="center" vertical="center"/>
    </xf>
    <xf numFmtId="41" fontId="5" fillId="0" borderId="27" xfId="6" quotePrefix="1" applyFont="1" applyBorder="1" applyAlignment="1">
      <alignment horizontal="left" vertical="center" shrinkToFit="1"/>
    </xf>
    <xf numFmtId="41" fontId="5" fillId="0" borderId="109" xfId="6" applyFont="1" applyBorder="1" applyAlignment="1">
      <alignment horizontal="center" vertical="center"/>
    </xf>
    <xf numFmtId="41" fontId="5" fillId="0" borderId="27" xfId="6" applyFont="1" applyBorder="1" applyAlignment="1">
      <alignment horizontal="center" vertical="center" shrinkToFit="1"/>
    </xf>
    <xf numFmtId="0" fontId="66" fillId="0" borderId="0" xfId="2" applyFont="1"/>
    <xf numFmtId="41" fontId="65" fillId="0" borderId="12" xfId="10" applyFont="1" applyFill="1" applyBorder="1" applyAlignment="1">
      <alignment horizontal="center" vertical="center"/>
    </xf>
    <xf numFmtId="41" fontId="5" fillId="0" borderId="86" xfId="6" applyFont="1" applyBorder="1" applyAlignment="1">
      <alignment horizontal="center" vertical="center"/>
    </xf>
    <xf numFmtId="41" fontId="5" fillId="0" borderId="86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right" vertical="center"/>
    </xf>
    <xf numFmtId="2" fontId="12" fillId="0" borderId="0" xfId="2" applyNumberFormat="1" applyFont="1"/>
    <xf numFmtId="41" fontId="5" fillId="0" borderId="13" xfId="2" applyNumberFormat="1" applyFont="1" applyBorder="1" applyAlignment="1">
      <alignment horizontal="center" vertical="center"/>
    </xf>
    <xf numFmtId="198" fontId="66" fillId="0" borderId="0" xfId="2" applyNumberFormat="1" applyFont="1"/>
    <xf numFmtId="41" fontId="65" fillId="0" borderId="31" xfId="10" applyFont="1" applyFill="1" applyBorder="1" applyAlignment="1">
      <alignment horizontal="center" vertical="center"/>
    </xf>
    <xf numFmtId="0" fontId="66" fillId="0" borderId="12" xfId="2" applyFont="1" applyBorder="1"/>
    <xf numFmtId="41" fontId="5" fillId="0" borderId="12" xfId="2" applyNumberFormat="1" applyFont="1" applyBorder="1" applyAlignment="1">
      <alignment horizontal="center" vertical="center"/>
    </xf>
    <xf numFmtId="0" fontId="19" fillId="0" borderId="12" xfId="2" applyFont="1" applyBorder="1"/>
    <xf numFmtId="41" fontId="66" fillId="0" borderId="0" xfId="10" applyFont="1" applyFill="1"/>
    <xf numFmtId="41" fontId="66" fillId="0" borderId="0" xfId="2" applyNumberFormat="1" applyFont="1"/>
    <xf numFmtId="0" fontId="5" fillId="0" borderId="15" xfId="2" applyFont="1" applyBorder="1" applyAlignment="1">
      <alignment horizontal="center" vertical="center"/>
    </xf>
    <xf numFmtId="0" fontId="5" fillId="0" borderId="15" xfId="2" applyFont="1" applyBorder="1" applyAlignment="1">
      <alignment horizontal="right" vertical="center"/>
    </xf>
    <xf numFmtId="0" fontId="28" fillId="0" borderId="12" xfId="2" applyFont="1" applyBorder="1" applyAlignment="1">
      <alignment horizontal="center" vertical="center"/>
    </xf>
    <xf numFmtId="176" fontId="28" fillId="0" borderId="12" xfId="2" applyNumberFormat="1" applyFont="1" applyBorder="1" applyAlignment="1">
      <alignment horizontal="right" vertical="center"/>
    </xf>
    <xf numFmtId="0" fontId="45" fillId="0" borderId="12" xfId="2" applyFont="1" applyBorder="1" applyAlignment="1">
      <alignment horizontal="center" vertical="center"/>
    </xf>
    <xf numFmtId="41" fontId="28" fillId="0" borderId="12" xfId="6" applyFont="1" applyBorder="1" applyAlignment="1">
      <alignment horizontal="center" vertical="center"/>
    </xf>
    <xf numFmtId="41" fontId="45" fillId="0" borderId="12" xfId="2" applyNumberFormat="1" applyFont="1" applyBorder="1" applyAlignment="1">
      <alignment horizontal="right" vertical="center"/>
    </xf>
    <xf numFmtId="0" fontId="45" fillId="0" borderId="12" xfId="2" applyFont="1" applyBorder="1" applyAlignment="1">
      <alignment horizontal="center" vertical="center" shrinkToFit="1"/>
    </xf>
    <xf numFmtId="0" fontId="45" fillId="0" borderId="12" xfId="2" applyFont="1" applyBorder="1" applyAlignment="1">
      <alignment horizontal="right" vertical="center"/>
    </xf>
    <xf numFmtId="41" fontId="28" fillId="0" borderId="12" xfId="10" applyFont="1" applyFill="1" applyBorder="1" applyAlignment="1">
      <alignment horizontal="center" vertical="center" shrinkToFit="1"/>
    </xf>
    <xf numFmtId="41" fontId="28" fillId="0" borderId="12" xfId="2" applyNumberFormat="1" applyFont="1" applyBorder="1" applyAlignment="1">
      <alignment horizontal="center" vertical="center"/>
    </xf>
    <xf numFmtId="41" fontId="28" fillId="0" borderId="15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center" vertical="center" shrinkToFit="1"/>
    </xf>
    <xf numFmtId="41" fontId="5" fillId="0" borderId="10" xfId="9" applyNumberFormat="1" applyFont="1" applyBorder="1" applyAlignment="1">
      <alignment horizontal="center" vertical="center"/>
    </xf>
    <xf numFmtId="41" fontId="29" fillId="8" borderId="60" xfId="10" applyFont="1" applyFill="1" applyBorder="1" applyAlignment="1">
      <alignment horizontal="center" vertical="center"/>
    </xf>
    <xf numFmtId="41" fontId="27" fillId="0" borderId="0" xfId="10" applyFont="1" applyFill="1" applyBorder="1" applyAlignment="1">
      <alignment horizontal="left" vertical="center" shrinkToFit="1"/>
    </xf>
    <xf numFmtId="0" fontId="5" fillId="0" borderId="99" xfId="2" applyFont="1" applyBorder="1" applyAlignment="1">
      <alignment horizontal="right" vertical="center"/>
    </xf>
    <xf numFmtId="41" fontId="17" fillId="10" borderId="69" xfId="10" applyFont="1" applyFill="1" applyBorder="1" applyAlignment="1">
      <alignment horizontal="center" vertical="center" shrinkToFit="1"/>
    </xf>
    <xf numFmtId="41" fontId="17" fillId="10" borderId="57" xfId="10" applyFont="1" applyFill="1" applyBorder="1" applyAlignment="1">
      <alignment horizontal="center" vertical="center" shrinkToFit="1"/>
    </xf>
    <xf numFmtId="0" fontId="43" fillId="0" borderId="77" xfId="2" applyFont="1" applyBorder="1"/>
    <xf numFmtId="0" fontId="17" fillId="10" borderId="73" xfId="2" applyFont="1" applyFill="1" applyBorder="1" applyAlignment="1">
      <alignment horizontal="center" vertical="center"/>
    </xf>
    <xf numFmtId="0" fontId="17" fillId="10" borderId="57" xfId="2" applyFont="1" applyFill="1" applyBorder="1" applyAlignment="1">
      <alignment horizontal="center" vertical="center"/>
    </xf>
    <xf numFmtId="41" fontId="19" fillId="10" borderId="73" xfId="10" applyFont="1" applyFill="1" applyBorder="1" applyAlignment="1">
      <alignment horizontal="center" vertical="center" shrinkToFit="1"/>
    </xf>
    <xf numFmtId="41" fontId="17" fillId="10" borderId="92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 shrinkToFit="1"/>
    </xf>
    <xf numFmtId="41" fontId="64" fillId="10" borderId="64" xfId="10" applyFont="1" applyFill="1" applyBorder="1" applyAlignment="1">
      <alignment horizontal="center" vertical="center"/>
    </xf>
    <xf numFmtId="41" fontId="19" fillId="10" borderId="75" xfId="10" applyFont="1" applyFill="1" applyBorder="1" applyAlignment="1">
      <alignment horizontal="center" vertical="center"/>
    </xf>
    <xf numFmtId="41" fontId="17" fillId="10" borderId="103" xfId="10" applyFont="1" applyFill="1" applyBorder="1" applyAlignment="1">
      <alignment horizontal="center" vertical="center" shrinkToFit="1"/>
    </xf>
    <xf numFmtId="41" fontId="5" fillId="0" borderId="33" xfId="10" applyFont="1" applyFill="1" applyBorder="1" applyAlignment="1">
      <alignment horizontal="center" vertical="center"/>
    </xf>
    <xf numFmtId="176" fontId="5" fillId="0" borderId="18" xfId="10" applyNumberFormat="1" applyFont="1" applyFill="1" applyBorder="1" applyAlignment="1">
      <alignment horizontal="right" vertical="center"/>
    </xf>
    <xf numFmtId="41" fontId="5" fillId="0" borderId="78" xfId="10" applyFont="1" applyFill="1" applyBorder="1" applyAlignment="1">
      <alignment horizontal="center" vertical="center"/>
    </xf>
    <xf numFmtId="3" fontId="5" fillId="0" borderId="77" xfId="10" applyNumberFormat="1" applyFont="1" applyFill="1" applyBorder="1" applyAlignment="1">
      <alignment horizontal="right" vertical="center"/>
    </xf>
    <xf numFmtId="41" fontId="20" fillId="0" borderId="78" xfId="10" applyFont="1" applyFill="1" applyBorder="1" applyAlignment="1">
      <alignment horizontal="center" vertical="center"/>
    </xf>
    <xf numFmtId="41" fontId="29" fillId="0" borderId="18" xfId="10" applyFont="1" applyFill="1" applyBorder="1" applyAlignment="1">
      <alignment horizontal="center" vertical="center"/>
    </xf>
    <xf numFmtId="41" fontId="20" fillId="0" borderId="19" xfId="10" applyFont="1" applyFill="1" applyBorder="1" applyAlignment="1">
      <alignment horizontal="center" vertical="center"/>
    </xf>
    <xf numFmtId="41" fontId="20" fillId="0" borderId="105" xfId="10" applyFont="1" applyFill="1" applyBorder="1" applyAlignment="1">
      <alignment horizontal="center" vertical="center"/>
    </xf>
    <xf numFmtId="190" fontId="5" fillId="0" borderId="58" xfId="2" applyNumberFormat="1" applyFont="1" applyBorder="1" applyAlignment="1">
      <alignment vertical="center"/>
    </xf>
    <xf numFmtId="190" fontId="5" fillId="0" borderId="59" xfId="2" applyNumberFormat="1" applyFont="1" applyBorder="1" applyAlignment="1">
      <alignment vertical="center"/>
    </xf>
    <xf numFmtId="190" fontId="20" fillId="0" borderId="76" xfId="2" applyNumberFormat="1" applyFont="1" applyBorder="1" applyAlignment="1">
      <alignment vertical="center"/>
    </xf>
    <xf numFmtId="190" fontId="20" fillId="0" borderId="70" xfId="2" applyNumberFormat="1" applyFont="1" applyBorder="1" applyAlignment="1">
      <alignment vertical="center"/>
    </xf>
    <xf numFmtId="0" fontId="66" fillId="0" borderId="0" xfId="2" applyFont="1" applyAlignment="1">
      <alignment vertical="center"/>
    </xf>
    <xf numFmtId="41" fontId="5" fillId="0" borderId="0" xfId="10" applyFont="1" applyBorder="1" applyAlignment="1">
      <alignment horizontal="left" vertical="center"/>
    </xf>
    <xf numFmtId="41" fontId="5" fillId="0" borderId="0" xfId="10" applyFont="1" applyFill="1" applyBorder="1" applyAlignment="1">
      <alignment horizontal="left" vertical="center"/>
    </xf>
    <xf numFmtId="41" fontId="67" fillId="0" borderId="0" xfId="10" applyFont="1" applyFill="1"/>
    <xf numFmtId="41" fontId="67" fillId="0" borderId="0" xfId="10" applyFont="1" applyFill="1" applyBorder="1" applyAlignment="1">
      <alignment horizontal="center" vertical="center" wrapText="1"/>
    </xf>
    <xf numFmtId="41" fontId="17" fillId="0" borderId="0" xfId="10" applyFont="1" applyFill="1" applyBorder="1" applyAlignment="1">
      <alignment horizontal="left" vertical="center"/>
    </xf>
    <xf numFmtId="41" fontId="67" fillId="0" borderId="0" xfId="10" applyFont="1" applyFill="1" applyBorder="1" applyAlignment="1">
      <alignment vertical="top"/>
    </xf>
    <xf numFmtId="41" fontId="67" fillId="0" borderId="0" xfId="10" quotePrefix="1" applyFont="1" applyFill="1" applyBorder="1" applyAlignment="1">
      <alignment vertical="center"/>
    </xf>
    <xf numFmtId="41" fontId="67" fillId="0" borderId="0" xfId="10" applyFont="1" applyFill="1" applyBorder="1" applyAlignment="1">
      <alignment vertical="center"/>
    </xf>
    <xf numFmtId="41" fontId="67" fillId="0" borderId="0" xfId="10" applyFont="1" applyFill="1" applyAlignment="1">
      <alignment horizontal="center"/>
    </xf>
    <xf numFmtId="41" fontId="67" fillId="0" borderId="0" xfId="10" applyFont="1" applyFill="1" applyAlignment="1">
      <alignment vertical="center"/>
    </xf>
    <xf numFmtId="41" fontId="68" fillId="0" borderId="0" xfId="10" applyFont="1" applyFill="1" applyBorder="1" applyAlignment="1">
      <alignment vertical="center"/>
    </xf>
    <xf numFmtId="41" fontId="14" fillId="0" borderId="0" xfId="10" applyFont="1" applyAlignment="1">
      <alignment horizontal="left"/>
    </xf>
    <xf numFmtId="0" fontId="12" fillId="0" borderId="0" xfId="2" applyFont="1"/>
    <xf numFmtId="0" fontId="38" fillId="0" borderId="0" xfId="2" applyFont="1"/>
    <xf numFmtId="176" fontId="38" fillId="0" borderId="0" xfId="2" applyNumberFormat="1" applyFont="1"/>
    <xf numFmtId="41" fontId="57" fillId="0" borderId="0" xfId="6" applyFont="1" applyFill="1"/>
    <xf numFmtId="0" fontId="12" fillId="0" borderId="0" xfId="2" applyFont="1" applyAlignment="1">
      <alignment horizontal="center" vertical="center" wrapText="1"/>
    </xf>
    <xf numFmtId="200" fontId="42" fillId="0" borderId="0" xfId="2" applyNumberFormat="1" applyFont="1"/>
    <xf numFmtId="176" fontId="63" fillId="0" borderId="0" xfId="2" quotePrefix="1" applyNumberFormat="1" applyFont="1" applyAlignment="1">
      <alignment vertical="center"/>
    </xf>
    <xf numFmtId="176" fontId="63" fillId="0" borderId="0" xfId="2" applyNumberFormat="1" applyFont="1" applyAlignment="1">
      <alignment vertical="center"/>
    </xf>
    <xf numFmtId="41" fontId="67" fillId="0" borderId="0" xfId="10" applyFont="1" applyFill="1" applyBorder="1"/>
    <xf numFmtId="0" fontId="57" fillId="0" borderId="0" xfId="2" applyFont="1"/>
    <xf numFmtId="176" fontId="57" fillId="0" borderId="0" xfId="2" applyNumberFormat="1" applyFont="1"/>
    <xf numFmtId="176" fontId="69" fillId="0" borderId="0" xfId="2" applyNumberFormat="1" applyFont="1" applyAlignment="1">
      <alignment vertical="center"/>
    </xf>
    <xf numFmtId="41" fontId="38" fillId="0" borderId="0" xfId="2" applyNumberFormat="1" applyFont="1"/>
    <xf numFmtId="41" fontId="10" fillId="0" borderId="0" xfId="2" applyNumberFormat="1"/>
    <xf numFmtId="176" fontId="70" fillId="0" borderId="0" xfId="2" applyNumberFormat="1" applyFont="1" applyAlignment="1">
      <alignment vertical="center"/>
    </xf>
    <xf numFmtId="176" fontId="12" fillId="0" borderId="0" xfId="2" applyNumberFormat="1" applyFont="1"/>
    <xf numFmtId="191" fontId="42" fillId="0" borderId="0" xfId="2" applyNumberFormat="1" applyFont="1"/>
    <xf numFmtId="192" fontId="57" fillId="0" borderId="0" xfId="2" applyNumberFormat="1" applyFont="1"/>
    <xf numFmtId="0" fontId="63" fillId="0" borderId="0" xfId="2" applyFont="1" applyAlignment="1">
      <alignment vertical="center"/>
    </xf>
    <xf numFmtId="188" fontId="12" fillId="0" borderId="0" xfId="2" applyNumberFormat="1" applyFont="1"/>
    <xf numFmtId="189" fontId="8" fillId="0" borderId="0" xfId="2" applyNumberFormat="1" applyFont="1" applyAlignment="1">
      <alignment vertical="center"/>
    </xf>
    <xf numFmtId="41" fontId="71" fillId="0" borderId="0" xfId="6" applyFont="1" applyAlignment="1">
      <alignment vertical="center"/>
    </xf>
    <xf numFmtId="0" fontId="8" fillId="0" borderId="0" xfId="2" applyFont="1" applyAlignment="1">
      <alignment horizontal="center" vertical="center"/>
    </xf>
    <xf numFmtId="176" fontId="37" fillId="0" borderId="0" xfId="2" applyNumberFormat="1" applyFont="1" applyAlignment="1">
      <alignment vertical="center"/>
    </xf>
    <xf numFmtId="189" fontId="16" fillId="0" borderId="0" xfId="2" applyNumberFormat="1" applyFont="1" applyAlignment="1">
      <alignment vertical="center"/>
    </xf>
    <xf numFmtId="0" fontId="16" fillId="0" borderId="0" xfId="2" applyFont="1" applyAlignment="1">
      <alignment horizontal="center" vertical="center"/>
    </xf>
    <xf numFmtId="201" fontId="21" fillId="0" borderId="0" xfId="2" applyNumberFormat="1" applyFont="1" applyAlignment="1">
      <alignment vertical="center"/>
    </xf>
    <xf numFmtId="189" fontId="21" fillId="0" borderId="0" xfId="2" applyNumberFormat="1" applyFont="1" applyAlignment="1">
      <alignment vertical="center"/>
    </xf>
    <xf numFmtId="0" fontId="5" fillId="0" borderId="0" xfId="2" applyFont="1" applyAlignment="1">
      <alignment horizontal="right" vertical="top"/>
    </xf>
    <xf numFmtId="0" fontId="17" fillId="0" borderId="38" xfId="2" applyFont="1" applyBorder="1" applyAlignment="1">
      <alignment horizontal="center" vertical="center"/>
    </xf>
    <xf numFmtId="0" fontId="17" fillId="0" borderId="69" xfId="2" applyFont="1" applyBorder="1" applyAlignment="1">
      <alignment horizontal="center" vertical="center"/>
    </xf>
    <xf numFmtId="0" fontId="17" fillId="0" borderId="67" xfId="2" applyFont="1" applyBorder="1" applyAlignment="1">
      <alignment horizontal="center" vertical="center"/>
    </xf>
    <xf numFmtId="0" fontId="17" fillId="0" borderId="68" xfId="2" applyFont="1" applyBorder="1" applyAlignment="1">
      <alignment horizontal="center" vertical="center"/>
    </xf>
    <xf numFmtId="0" fontId="17" fillId="0" borderId="26" xfId="2" applyFont="1" applyBorder="1" applyAlignment="1">
      <alignment horizontal="center" vertical="center"/>
    </xf>
    <xf numFmtId="0" fontId="17" fillId="0" borderId="27" xfId="2" applyFont="1" applyBorder="1" applyAlignment="1">
      <alignment horizontal="center" vertical="center"/>
    </xf>
    <xf numFmtId="0" fontId="17" fillId="0" borderId="29" xfId="2" applyFont="1" applyBorder="1" applyAlignment="1">
      <alignment horizontal="center" vertical="center"/>
    </xf>
    <xf numFmtId="0" fontId="17" fillId="0" borderId="92" xfId="2" applyFont="1" applyBorder="1" applyAlignment="1">
      <alignment horizontal="center" vertical="center"/>
    </xf>
    <xf numFmtId="192" fontId="72" fillId="0" borderId="0" xfId="17" applyNumberFormat="1" applyFont="1" applyAlignment="1">
      <alignment vertical="center"/>
    </xf>
    <xf numFmtId="0" fontId="42" fillId="0" borderId="0" xfId="2" applyFont="1" applyAlignment="1">
      <alignment horizontal="center" vertical="center"/>
    </xf>
    <xf numFmtId="0" fontId="17" fillId="0" borderId="41" xfId="2" applyFont="1" applyBorder="1" applyAlignment="1">
      <alignment horizontal="center" vertical="center"/>
    </xf>
    <xf numFmtId="0" fontId="17" fillId="0" borderId="58" xfId="2" applyFont="1" applyBorder="1" applyAlignment="1">
      <alignment horizontal="center" vertical="center" wrapText="1"/>
    </xf>
    <xf numFmtId="0" fontId="17" fillId="0" borderId="59" xfId="2" applyFont="1" applyBorder="1" applyAlignment="1">
      <alignment horizontal="center" vertical="center"/>
    </xf>
    <xf numFmtId="0" fontId="17" fillId="0" borderId="60" xfId="2" applyFont="1" applyBorder="1" applyAlignment="1">
      <alignment horizontal="center" vertical="center"/>
    </xf>
    <xf numFmtId="0" fontId="17" fillId="0" borderId="101" xfId="2" applyFont="1" applyBorder="1" applyAlignment="1">
      <alignment horizontal="center" vertical="center"/>
    </xf>
    <xf numFmtId="0" fontId="17" fillId="0" borderId="76" xfId="2" applyFont="1" applyBorder="1" applyAlignment="1">
      <alignment horizontal="center" vertical="center"/>
    </xf>
    <xf numFmtId="0" fontId="17" fillId="0" borderId="58" xfId="2" applyFont="1" applyBorder="1" applyAlignment="1">
      <alignment horizontal="center" vertical="center"/>
    </xf>
    <xf numFmtId="0" fontId="17" fillId="0" borderId="59" xfId="2" applyFont="1" applyBorder="1" applyAlignment="1">
      <alignment horizontal="center" vertical="center" wrapText="1"/>
    </xf>
    <xf numFmtId="0" fontId="17" fillId="0" borderId="98" xfId="2" applyFont="1" applyBorder="1" applyAlignment="1">
      <alignment horizontal="center" vertical="center"/>
    </xf>
    <xf numFmtId="176" fontId="73" fillId="0" borderId="0" xfId="17" applyNumberFormat="1" applyFont="1" applyAlignment="1">
      <alignment vertical="center"/>
    </xf>
    <xf numFmtId="0" fontId="55" fillId="0" borderId="0" xfId="2" applyFont="1" applyAlignment="1">
      <alignment horizontal="center" vertical="center"/>
    </xf>
    <xf numFmtId="0" fontId="17" fillId="0" borderId="82" xfId="2" applyFont="1" applyBorder="1" applyAlignment="1">
      <alignment horizontal="center" vertical="center"/>
    </xf>
    <xf numFmtId="189" fontId="17" fillId="0" borderId="31" xfId="6" applyNumberFormat="1" applyFont="1" applyFill="1" applyBorder="1" applyAlignment="1">
      <alignment horizontal="center" vertical="center"/>
    </xf>
    <xf numFmtId="189" fontId="17" fillId="0" borderId="12" xfId="6" applyNumberFormat="1" applyFont="1" applyFill="1" applyBorder="1" applyAlignment="1">
      <alignment horizontal="center" vertical="center"/>
    </xf>
    <xf numFmtId="195" fontId="17" fillId="0" borderId="12" xfId="6" applyNumberFormat="1" applyFont="1" applyFill="1" applyBorder="1" applyAlignment="1">
      <alignment horizontal="center" vertical="center"/>
    </xf>
    <xf numFmtId="189" fontId="17" fillId="0" borderId="13" xfId="6" applyNumberFormat="1" applyFont="1" applyFill="1" applyBorder="1" applyAlignment="1">
      <alignment horizontal="center" vertical="center"/>
    </xf>
    <xf numFmtId="41" fontId="17" fillId="0" borderId="12" xfId="6" applyFont="1" applyFill="1" applyBorder="1" applyAlignment="1">
      <alignment horizontal="center" vertical="center"/>
    </xf>
    <xf numFmtId="189" fontId="17" fillId="0" borderId="12" xfId="10" applyNumberFormat="1" applyFont="1" applyFill="1" applyBorder="1" applyAlignment="1">
      <alignment horizontal="center" vertical="center"/>
    </xf>
    <xf numFmtId="189" fontId="17" fillId="0" borderId="86" xfId="6" applyNumberFormat="1" applyFont="1" applyFill="1" applyBorder="1" applyAlignment="1">
      <alignment horizontal="center" vertical="center"/>
    </xf>
    <xf numFmtId="189" fontId="17" fillId="0" borderId="80" xfId="6" applyNumberFormat="1" applyFont="1" applyFill="1" applyBorder="1" applyAlignment="1">
      <alignment horizontal="center" vertical="center"/>
    </xf>
    <xf numFmtId="49" fontId="17" fillId="0" borderId="97" xfId="2" quotePrefix="1" applyNumberFormat="1" applyFont="1" applyBorder="1" applyAlignment="1">
      <alignment horizontal="center" vertical="center"/>
    </xf>
    <xf numFmtId="189" fontId="17" fillId="0" borderId="63" xfId="6" applyNumberFormat="1" applyFont="1" applyFill="1" applyBorder="1" applyAlignment="1">
      <alignment horizontal="center" vertical="center"/>
    </xf>
    <xf numFmtId="189" fontId="17" fillId="0" borderId="64" xfId="6" applyNumberFormat="1" applyFont="1" applyFill="1" applyBorder="1" applyAlignment="1">
      <alignment horizontal="center" vertical="center"/>
    </xf>
    <xf numFmtId="189" fontId="17" fillId="0" borderId="65" xfId="6" applyNumberFormat="1" applyFont="1" applyFill="1" applyBorder="1" applyAlignment="1">
      <alignment horizontal="center" vertical="center"/>
    </xf>
    <xf numFmtId="189" fontId="17" fillId="0" borderId="66" xfId="6" applyNumberFormat="1" applyFont="1" applyFill="1" applyBorder="1" applyAlignment="1">
      <alignment horizontal="center" vertical="center"/>
    </xf>
    <xf numFmtId="189" fontId="17" fillId="0" borderId="97" xfId="6" applyNumberFormat="1" applyFont="1" applyFill="1" applyBorder="1" applyAlignment="1">
      <alignment horizontal="center" vertical="center"/>
    </xf>
    <xf numFmtId="0" fontId="58" fillId="0" borderId="106" xfId="2" applyFont="1" applyBorder="1"/>
    <xf numFmtId="2" fontId="17" fillId="0" borderId="87" xfId="2" applyNumberFormat="1" applyFont="1" applyBorder="1" applyAlignment="1">
      <alignment horizontal="center" vertical="center"/>
    </xf>
    <xf numFmtId="189" fontId="17" fillId="0" borderId="33" xfId="6" applyNumberFormat="1" applyFont="1" applyFill="1" applyBorder="1" applyAlignment="1">
      <alignment horizontal="center" vertical="center"/>
    </xf>
    <xf numFmtId="189" fontId="17" fillId="0" borderId="18" xfId="6" applyNumberFormat="1" applyFont="1" applyFill="1" applyBorder="1" applyAlignment="1">
      <alignment horizontal="center" vertical="center"/>
    </xf>
    <xf numFmtId="189" fontId="17" fillId="0" borderId="19" xfId="6" applyNumberFormat="1" applyFont="1" applyFill="1" applyBorder="1" applyAlignment="1">
      <alignment horizontal="center" vertical="center"/>
    </xf>
    <xf numFmtId="189" fontId="17" fillId="0" borderId="78" xfId="6" applyNumberFormat="1" applyFont="1" applyFill="1" applyBorder="1" applyAlignment="1">
      <alignment horizontal="center" vertical="center"/>
    </xf>
    <xf numFmtId="189" fontId="17" fillId="0" borderId="18" xfId="10" applyNumberFormat="1" applyFont="1" applyFill="1" applyBorder="1" applyAlignment="1">
      <alignment horizontal="center" vertical="center"/>
    </xf>
    <xf numFmtId="0" fontId="17" fillId="0" borderId="87" xfId="2" applyFont="1" applyBorder="1" applyAlignment="1">
      <alignment horizontal="center" vertical="center"/>
    </xf>
    <xf numFmtId="189" fontId="17" fillId="0" borderId="105" xfId="6" applyNumberFormat="1" applyFont="1" applyFill="1" applyBorder="1" applyAlignment="1">
      <alignment horizontal="center" vertical="center"/>
    </xf>
    <xf numFmtId="2" fontId="17" fillId="0" borderId="82" xfId="2" applyNumberFormat="1" applyFont="1" applyBorder="1" applyAlignment="1">
      <alignment horizontal="center" vertical="center"/>
    </xf>
    <xf numFmtId="189" fontId="17" fillId="0" borderId="77" xfId="6" applyNumberFormat="1" applyFont="1" applyFill="1" applyBorder="1" applyAlignment="1">
      <alignment horizontal="center" vertical="center"/>
    </xf>
    <xf numFmtId="189" fontId="17" fillId="0" borderId="82" xfId="6" applyNumberFormat="1" applyFont="1" applyFill="1" applyBorder="1" applyAlignment="1">
      <alignment horizontal="center" vertical="center"/>
    </xf>
    <xf numFmtId="2" fontId="74" fillId="0" borderId="87" xfId="2" applyNumberFormat="1" applyFont="1" applyBorder="1" applyAlignment="1">
      <alignment horizontal="center" vertical="center"/>
    </xf>
    <xf numFmtId="189" fontId="74" fillId="0" borderId="33" xfId="6" applyNumberFormat="1" applyFont="1" applyFill="1" applyBorder="1" applyAlignment="1">
      <alignment horizontal="center" vertical="center"/>
    </xf>
    <xf numFmtId="189" fontId="74" fillId="0" borderId="18" xfId="6" applyNumberFormat="1" applyFont="1" applyFill="1" applyBorder="1" applyAlignment="1">
      <alignment horizontal="center" vertical="center"/>
    </xf>
    <xf numFmtId="189" fontId="74" fillId="0" borderId="19" xfId="6" applyNumberFormat="1" applyFont="1" applyFill="1" applyBorder="1" applyAlignment="1">
      <alignment horizontal="center" vertical="center"/>
    </xf>
    <xf numFmtId="189" fontId="74" fillId="0" borderId="78" xfId="6" applyNumberFormat="1" applyFont="1" applyFill="1" applyBorder="1" applyAlignment="1">
      <alignment horizontal="center" vertical="center"/>
    </xf>
    <xf numFmtId="189" fontId="74" fillId="0" borderId="18" xfId="10" applyNumberFormat="1" applyFont="1" applyFill="1" applyBorder="1" applyAlignment="1">
      <alignment horizontal="center" vertical="center"/>
    </xf>
    <xf numFmtId="2" fontId="74" fillId="0" borderId="41" xfId="2" applyNumberFormat="1" applyFont="1" applyBorder="1" applyAlignment="1">
      <alignment horizontal="center" vertical="center"/>
    </xf>
    <xf numFmtId="189" fontId="74" fillId="0" borderId="30" xfId="6" applyNumberFormat="1" applyFont="1" applyFill="1" applyBorder="1" applyAlignment="1">
      <alignment horizontal="center" vertical="center"/>
    </xf>
    <xf numFmtId="189" fontId="74" fillId="0" borderId="10" xfId="6" applyNumberFormat="1" applyFont="1" applyFill="1" applyBorder="1" applyAlignment="1">
      <alignment horizontal="center" vertical="center"/>
    </xf>
    <xf numFmtId="189" fontId="74" fillId="0" borderId="11" xfId="6" applyNumberFormat="1" applyFont="1" applyFill="1" applyBorder="1" applyAlignment="1">
      <alignment horizontal="center" vertical="center"/>
    </xf>
    <xf numFmtId="189" fontId="74" fillId="0" borderId="88" xfId="6" applyNumberFormat="1" applyFont="1" applyFill="1" applyBorder="1" applyAlignment="1">
      <alignment horizontal="center" vertical="center"/>
    </xf>
    <xf numFmtId="189" fontId="74" fillId="0" borderId="10" xfId="10" applyNumberFormat="1" applyFont="1" applyFill="1" applyBorder="1" applyAlignment="1">
      <alignment horizontal="center" vertical="center"/>
    </xf>
    <xf numFmtId="189" fontId="5" fillId="0" borderId="36" xfId="6" quotePrefix="1" applyNumberFormat="1" applyFont="1" applyFill="1" applyBorder="1" applyAlignment="1">
      <alignment vertical="center"/>
    </xf>
    <xf numFmtId="189" fontId="22" fillId="0" borderId="36" xfId="6" applyNumberFormat="1" applyFont="1" applyFill="1" applyBorder="1" applyAlignment="1">
      <alignment horizontal="center" vertical="center"/>
    </xf>
    <xf numFmtId="189" fontId="5" fillId="0" borderId="0" xfId="2" applyNumberFormat="1" applyFont="1" applyAlignment="1">
      <alignment horizontal="center" vertical="center"/>
    </xf>
    <xf numFmtId="189" fontId="75" fillId="0" borderId="0" xfId="2" applyNumberFormat="1" applyFont="1"/>
    <xf numFmtId="189" fontId="75" fillId="0" borderId="0" xfId="2" applyNumberFormat="1" applyFont="1" applyAlignment="1">
      <alignment horizontal="center"/>
    </xf>
    <xf numFmtId="189" fontId="10" fillId="0" borderId="0" xfId="2" applyNumberFormat="1"/>
    <xf numFmtId="0" fontId="10" fillId="0" borderId="0" xfId="2" applyAlignment="1">
      <alignment horizontal="center"/>
    </xf>
    <xf numFmtId="0" fontId="17" fillId="0" borderId="79" xfId="2" applyFont="1" applyBorder="1" applyAlignment="1">
      <alignment horizontal="center" vertical="center"/>
    </xf>
    <xf numFmtId="0" fontId="17" fillId="0" borderId="106" xfId="6" applyNumberFormat="1" applyFont="1" applyBorder="1" applyAlignment="1">
      <alignment horizontal="center" vertical="center"/>
    </xf>
    <xf numFmtId="41" fontId="17" fillId="0" borderId="31" xfId="10" applyFont="1" applyBorder="1" applyAlignment="1">
      <alignment horizontal="center" vertical="center"/>
    </xf>
    <xf numFmtId="41" fontId="17" fillId="0" borderId="12" xfId="10" applyFont="1" applyBorder="1" applyAlignment="1">
      <alignment horizontal="center" vertical="center"/>
    </xf>
    <xf numFmtId="41" fontId="17" fillId="0" borderId="12" xfId="6" applyFont="1" applyBorder="1" applyAlignment="1">
      <alignment vertical="center"/>
    </xf>
    <xf numFmtId="41" fontId="17" fillId="0" borderId="29" xfId="10" quotePrefix="1" applyFont="1" applyFill="1" applyBorder="1" applyAlignment="1">
      <alignment horizontal="right" vertical="center"/>
    </xf>
    <xf numFmtId="41" fontId="17" fillId="0" borderId="82" xfId="10" applyFont="1" applyBorder="1" applyAlignment="1">
      <alignment vertical="center"/>
    </xf>
    <xf numFmtId="41" fontId="17" fillId="0" borderId="13" xfId="10" quotePrefix="1" applyFont="1" applyFill="1" applyBorder="1" applyAlignment="1">
      <alignment horizontal="right" vertical="center"/>
    </xf>
    <xf numFmtId="49" fontId="17" fillId="0" borderId="106" xfId="6" applyNumberFormat="1" applyFont="1" applyBorder="1" applyAlignment="1">
      <alignment horizontal="center" vertical="center"/>
    </xf>
    <xf numFmtId="0" fontId="26" fillId="0" borderId="0" xfId="2" applyFont="1"/>
    <xf numFmtId="41" fontId="17" fillId="0" borderId="82" xfId="6" applyFont="1" applyBorder="1" applyAlignment="1">
      <alignment vertical="center"/>
    </xf>
    <xf numFmtId="49" fontId="17" fillId="0" borderId="122" xfId="6" applyNumberFormat="1" applyFont="1" applyBorder="1" applyAlignment="1">
      <alignment horizontal="center" vertical="center"/>
    </xf>
    <xf numFmtId="41" fontId="17" fillId="0" borderId="32" xfId="10" applyFont="1" applyBorder="1" applyAlignment="1">
      <alignment horizontal="center" vertical="center"/>
    </xf>
    <xf numFmtId="41" fontId="17" fillId="0" borderId="15" xfId="10" applyFont="1" applyBorder="1" applyAlignment="1">
      <alignment horizontal="center" vertical="center"/>
    </xf>
    <xf numFmtId="41" fontId="17" fillId="0" borderId="15" xfId="6" applyFont="1" applyBorder="1" applyAlignment="1">
      <alignment vertical="center"/>
    </xf>
    <xf numFmtId="41" fontId="17" fillId="0" borderId="100" xfId="6" applyFont="1" applyBorder="1" applyAlignment="1">
      <alignment vertical="center"/>
    </xf>
    <xf numFmtId="41" fontId="17" fillId="0" borderId="63" xfId="10" quotePrefix="1" applyFont="1" applyBorder="1" applyAlignment="1">
      <alignment horizontal="center" vertical="center"/>
    </xf>
    <xf numFmtId="41" fontId="17" fillId="0" borderId="64" xfId="10" quotePrefix="1" applyFont="1" applyBorder="1" applyAlignment="1">
      <alignment horizontal="center" vertical="center"/>
    </xf>
    <xf numFmtId="41" fontId="17" fillId="0" borderId="74" xfId="10" quotePrefix="1" applyFont="1" applyBorder="1" applyAlignment="1">
      <alignment horizontal="center" vertical="center"/>
    </xf>
    <xf numFmtId="41" fontId="17" fillId="0" borderId="97" xfId="10" quotePrefix="1" applyFont="1" applyBorder="1" applyAlignment="1">
      <alignment horizontal="center" vertical="center"/>
    </xf>
    <xf numFmtId="176" fontId="17" fillId="0" borderId="12" xfId="6" applyNumberFormat="1" applyFont="1" applyBorder="1" applyAlignment="1">
      <alignment vertical="center"/>
    </xf>
    <xf numFmtId="176" fontId="17" fillId="0" borderId="82" xfId="10" applyNumberFormat="1" applyFont="1" applyBorder="1" applyAlignment="1">
      <alignment vertical="center"/>
    </xf>
    <xf numFmtId="2" fontId="17" fillId="0" borderId="82" xfId="2" quotePrefix="1" applyNumberFormat="1" applyFont="1" applyBorder="1" applyAlignment="1">
      <alignment horizontal="center" vertical="center"/>
    </xf>
    <xf numFmtId="41" fontId="17" fillId="0" borderId="31" xfId="10" quotePrefix="1" applyFont="1" applyBorder="1" applyAlignment="1">
      <alignment horizontal="center" vertical="center"/>
    </xf>
    <xf numFmtId="41" fontId="17" fillId="0" borderId="12" xfId="10" quotePrefix="1" applyFont="1" applyBorder="1" applyAlignment="1">
      <alignment horizontal="center" vertical="center"/>
    </xf>
    <xf numFmtId="41" fontId="17" fillId="0" borderId="86" xfId="10" applyFont="1" applyBorder="1" applyAlignment="1">
      <alignment horizontal="center" vertical="center"/>
    </xf>
    <xf numFmtId="41" fontId="17" fillId="0" borderId="82" xfId="10" applyFont="1" applyBorder="1" applyAlignment="1">
      <alignment horizontal="center" vertical="center"/>
    </xf>
    <xf numFmtId="41" fontId="74" fillId="0" borderId="33" xfId="10" applyFont="1" applyBorder="1" applyAlignment="1">
      <alignment horizontal="center" vertical="center"/>
    </xf>
    <xf numFmtId="41" fontId="74" fillId="0" borderId="18" xfId="10" applyFont="1" applyBorder="1" applyAlignment="1">
      <alignment horizontal="center" vertical="center"/>
    </xf>
    <xf numFmtId="176" fontId="74" fillId="0" borderId="18" xfId="6" applyNumberFormat="1" applyFont="1" applyBorder="1" applyAlignment="1">
      <alignment vertical="center"/>
    </xf>
    <xf numFmtId="41" fontId="74" fillId="0" borderId="19" xfId="10" quotePrefix="1" applyFont="1" applyFill="1" applyBorder="1" applyAlignment="1">
      <alignment horizontal="right" vertical="center"/>
    </xf>
    <xf numFmtId="176" fontId="74" fillId="0" borderId="87" xfId="10" applyNumberFormat="1" applyFont="1" applyBorder="1" applyAlignment="1">
      <alignment vertical="center"/>
    </xf>
    <xf numFmtId="41" fontId="17" fillId="0" borderId="33" xfId="10" applyFont="1" applyBorder="1" applyAlignment="1">
      <alignment horizontal="center" vertical="center"/>
    </xf>
    <xf numFmtId="41" fontId="17" fillId="0" borderId="18" xfId="10" applyFont="1" applyBorder="1" applyAlignment="1">
      <alignment horizontal="center" vertical="center"/>
    </xf>
    <xf numFmtId="176" fontId="17" fillId="0" borderId="18" xfId="6" applyNumberFormat="1" applyFont="1" applyBorder="1" applyAlignment="1">
      <alignment vertical="center"/>
    </xf>
    <xf numFmtId="41" fontId="17" fillId="0" borderId="19" xfId="10" quotePrefix="1" applyFont="1" applyFill="1" applyBorder="1" applyAlignment="1">
      <alignment horizontal="right" vertical="center"/>
    </xf>
    <xf numFmtId="176" fontId="17" fillId="0" borderId="87" xfId="10" applyNumberFormat="1" applyFont="1" applyBorder="1" applyAlignment="1">
      <alignment vertical="center"/>
    </xf>
    <xf numFmtId="41" fontId="74" fillId="0" borderId="30" xfId="10" applyFont="1" applyBorder="1" applyAlignment="1">
      <alignment horizontal="center" vertical="center"/>
    </xf>
    <xf numFmtId="41" fontId="74" fillId="0" borderId="10" xfId="10" applyFont="1" applyBorder="1" applyAlignment="1">
      <alignment horizontal="center" vertical="center"/>
    </xf>
    <xf numFmtId="176" fontId="74" fillId="0" borderId="10" xfId="6" applyNumberFormat="1" applyFont="1" applyBorder="1" applyAlignment="1">
      <alignment vertical="center"/>
    </xf>
    <xf numFmtId="41" fontId="74" fillId="0" borderId="88" xfId="10" quotePrefix="1" applyFont="1" applyFill="1" applyBorder="1" applyAlignment="1">
      <alignment horizontal="right" vertical="center"/>
    </xf>
    <xf numFmtId="176" fontId="74" fillId="0" borderId="41" xfId="10" applyNumberFormat="1" applyFont="1" applyBorder="1" applyAlignment="1">
      <alignment vertical="center"/>
    </xf>
    <xf numFmtId="0" fontId="22" fillId="0" borderId="0" xfId="2" applyFont="1"/>
    <xf numFmtId="0" fontId="17" fillId="0" borderId="0" xfId="2" applyFont="1"/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left"/>
    </xf>
    <xf numFmtId="0" fontId="48" fillId="13" borderId="0" xfId="2" applyFont="1" applyFill="1"/>
    <xf numFmtId="0" fontId="40" fillId="0" borderId="0" xfId="2" applyFont="1" applyAlignment="1">
      <alignment horizontal="right"/>
    </xf>
    <xf numFmtId="0" fontId="40" fillId="0" borderId="54" xfId="13" applyFont="1" applyBorder="1" applyAlignment="1">
      <alignment horizontal="center" vertical="center" wrapText="1"/>
    </xf>
    <xf numFmtId="0" fontId="40" fillId="0" borderId="56" xfId="13" applyFont="1" applyBorder="1" applyAlignment="1">
      <alignment horizontal="center" vertical="center" wrapText="1"/>
    </xf>
    <xf numFmtId="0" fontId="40" fillId="0" borderId="54" xfId="2" applyFont="1" applyBorder="1" applyAlignment="1">
      <alignment horizontal="center" vertical="center"/>
    </xf>
    <xf numFmtId="0" fontId="40" fillId="0" borderId="55" xfId="2" applyFont="1" applyBorder="1" applyAlignment="1">
      <alignment horizontal="center" vertical="center"/>
    </xf>
    <xf numFmtId="0" fontId="40" fillId="0" borderId="56" xfId="2" applyFont="1" applyBorder="1" applyAlignment="1">
      <alignment horizontal="center" vertical="center"/>
    </xf>
    <xf numFmtId="0" fontId="40" fillId="0" borderId="57" xfId="2" applyFont="1" applyBorder="1" applyAlignment="1">
      <alignment horizontal="center" vertical="center"/>
    </xf>
    <xf numFmtId="0" fontId="40" fillId="0" borderId="73" xfId="2" applyFont="1" applyBorder="1" applyAlignment="1">
      <alignment horizontal="center" vertical="center"/>
    </xf>
    <xf numFmtId="0" fontId="40" fillId="0" borderId="58" xfId="13" applyFont="1" applyBorder="1" applyAlignment="1">
      <alignment horizontal="center" vertical="center" wrapText="1"/>
    </xf>
    <xf numFmtId="0" fontId="40" fillId="0" borderId="60" xfId="13" applyFont="1" applyBorder="1" applyAlignment="1">
      <alignment horizontal="center" vertical="center" wrapText="1"/>
    </xf>
    <xf numFmtId="0" fontId="40" fillId="0" borderId="58" xfId="2" applyFont="1" applyBorder="1" applyAlignment="1">
      <alignment horizontal="center" vertical="center"/>
    </xf>
    <xf numFmtId="0" fontId="40" fillId="0" borderId="59" xfId="2" applyFont="1" applyBorder="1" applyAlignment="1">
      <alignment horizontal="center" vertical="center"/>
    </xf>
    <xf numFmtId="0" fontId="40" fillId="0" borderId="60" xfId="2" applyFont="1" applyBorder="1" applyAlignment="1">
      <alignment horizontal="center" vertical="center"/>
    </xf>
    <xf numFmtId="0" fontId="40" fillId="0" borderId="61" xfId="2" applyFont="1" applyBorder="1" applyAlignment="1">
      <alignment horizontal="center" vertical="center"/>
    </xf>
    <xf numFmtId="0" fontId="40" fillId="0" borderId="76" xfId="2" applyFont="1" applyBorder="1" applyAlignment="1">
      <alignment horizontal="center" vertical="center" shrinkToFit="1"/>
    </xf>
    <xf numFmtId="0" fontId="40" fillId="13" borderId="54" xfId="2" applyFont="1" applyFill="1" applyBorder="1" applyAlignment="1">
      <alignment horizontal="center" vertical="center" wrapText="1"/>
    </xf>
    <xf numFmtId="0" fontId="40" fillId="0" borderId="56" xfId="13" applyFont="1" applyBorder="1" applyAlignment="1">
      <alignment horizontal="center" vertical="center" wrapText="1"/>
    </xf>
    <xf numFmtId="41" fontId="40" fillId="0" borderId="54" xfId="10" applyFont="1" applyBorder="1" applyAlignment="1">
      <alignment vertical="center"/>
    </xf>
    <xf numFmtId="41" fontId="40" fillId="0" borderId="55" xfId="10" applyFont="1" applyBorder="1" applyAlignment="1">
      <alignment horizontal="center" vertical="center"/>
    </xf>
    <xf numFmtId="41" fontId="40" fillId="0" borderId="64" xfId="10" applyFont="1" applyBorder="1" applyAlignment="1">
      <alignment horizontal="center" vertical="center"/>
    </xf>
    <xf numFmtId="41" fontId="40" fillId="0" borderId="56" xfId="10" applyFont="1" applyBorder="1" applyAlignment="1">
      <alignment vertical="center"/>
    </xf>
    <xf numFmtId="41" fontId="40" fillId="0" borderId="55" xfId="10" applyFont="1" applyBorder="1" applyAlignment="1">
      <alignment vertical="center"/>
    </xf>
    <xf numFmtId="0" fontId="76" fillId="13" borderId="0" xfId="2" applyFont="1" applyFill="1" applyAlignment="1">
      <alignment vertical="center"/>
    </xf>
    <xf numFmtId="0" fontId="40" fillId="13" borderId="63" xfId="2" applyFont="1" applyFill="1" applyBorder="1" applyAlignment="1">
      <alignment horizontal="center" vertical="center" wrapText="1"/>
    </xf>
    <xf numFmtId="0" fontId="40" fillId="0" borderId="65" xfId="13" applyFont="1" applyBorder="1" applyAlignment="1">
      <alignment horizontal="center" vertical="center" wrapText="1"/>
    </xf>
    <xf numFmtId="41" fontId="40" fillId="0" borderId="63" xfId="10" applyFont="1" applyBorder="1" applyAlignment="1">
      <alignment vertical="center"/>
    </xf>
    <xf numFmtId="41" fontId="40" fillId="0" borderId="65" xfId="10" applyFont="1" applyBorder="1" applyAlignment="1">
      <alignment vertical="center"/>
    </xf>
    <xf numFmtId="41" fontId="40" fillId="0" borderId="64" xfId="10" applyFont="1" applyBorder="1" applyAlignment="1">
      <alignment vertical="center"/>
    </xf>
    <xf numFmtId="41" fontId="40" fillId="0" borderId="63" xfId="10" applyFont="1" applyBorder="1" applyAlignment="1">
      <alignment horizontal="center" vertical="center"/>
    </xf>
    <xf numFmtId="0" fontId="40" fillId="13" borderId="58" xfId="2" applyFont="1" applyFill="1" applyBorder="1" applyAlignment="1">
      <alignment horizontal="center" vertical="center" wrapText="1"/>
    </xf>
    <xf numFmtId="0" fontId="40" fillId="0" borderId="60" xfId="13" applyFont="1" applyBorder="1" applyAlignment="1">
      <alignment horizontal="center" vertical="center" wrapText="1"/>
    </xf>
    <xf numFmtId="41" fontId="40" fillId="0" borderId="58" xfId="10" applyFont="1" applyBorder="1" applyAlignment="1">
      <alignment vertical="center"/>
    </xf>
    <xf numFmtId="41" fontId="40" fillId="0" borderId="59" xfId="10" applyFont="1" applyBorder="1" applyAlignment="1">
      <alignment horizontal="center" vertical="center"/>
    </xf>
    <xf numFmtId="41" fontId="40" fillId="0" borderId="60" xfId="10" applyFont="1" applyBorder="1" applyAlignment="1">
      <alignment vertical="center"/>
    </xf>
    <xf numFmtId="41" fontId="40" fillId="0" borderId="59" xfId="10" applyFont="1" applyBorder="1" applyAlignment="1">
      <alignment vertical="center"/>
    </xf>
    <xf numFmtId="0" fontId="40" fillId="13" borderId="32" xfId="2" applyFont="1" applyFill="1" applyBorder="1" applyAlignment="1">
      <alignment horizontal="center" vertical="center" wrapText="1"/>
    </xf>
    <xf numFmtId="0" fontId="40" fillId="0" borderId="16" xfId="13" applyFont="1" applyBorder="1" applyAlignment="1">
      <alignment horizontal="center" vertical="center" wrapText="1"/>
    </xf>
    <xf numFmtId="41" fontId="40" fillId="0" borderId="32" xfId="10" applyFont="1" applyBorder="1" applyAlignment="1">
      <alignment horizontal="center" vertical="center" wrapText="1"/>
    </xf>
    <xf numFmtId="41" fontId="40" fillId="0" borderId="15" xfId="10" applyFont="1" applyBorder="1" applyAlignment="1">
      <alignment horizontal="center" vertical="center" wrapText="1"/>
    </xf>
    <xf numFmtId="41" fontId="40" fillId="0" borderId="16" xfId="10" applyFont="1" applyBorder="1" applyAlignment="1">
      <alignment horizontal="center" vertical="center" wrapText="1"/>
    </xf>
    <xf numFmtId="41" fontId="40" fillId="0" borderId="54" xfId="10" applyFont="1" applyBorder="1" applyAlignment="1">
      <alignment horizontal="center" vertical="center"/>
    </xf>
    <xf numFmtId="41" fontId="40" fillId="0" borderId="63" xfId="10" applyFont="1" applyBorder="1" applyAlignment="1">
      <alignment horizontal="center" vertical="center" wrapText="1"/>
    </xf>
    <xf numFmtId="41" fontId="40" fillId="0" borderId="64" xfId="10" applyFont="1" applyBorder="1" applyAlignment="1">
      <alignment horizontal="center" vertical="center" wrapText="1"/>
    </xf>
    <xf numFmtId="41" fontId="40" fillId="0" borderId="65" xfId="10" applyFont="1" applyBorder="1" applyAlignment="1">
      <alignment horizontal="center" vertical="center" wrapText="1"/>
    </xf>
    <xf numFmtId="41" fontId="40" fillId="0" borderId="58" xfId="10" applyFont="1" applyBorder="1" applyAlignment="1">
      <alignment horizontal="center" vertical="center" wrapText="1"/>
    </xf>
    <xf numFmtId="41" fontId="40" fillId="0" borderId="59" xfId="10" applyFont="1" applyBorder="1" applyAlignment="1">
      <alignment horizontal="center" vertical="center" wrapText="1"/>
    </xf>
    <xf numFmtId="41" fontId="40" fillId="0" borderId="60" xfId="10" applyFont="1" applyBorder="1" applyAlignment="1">
      <alignment horizontal="center" vertical="center" wrapText="1"/>
    </xf>
    <xf numFmtId="41" fontId="40" fillId="0" borderId="58" xfId="10" applyFont="1" applyBorder="1" applyAlignment="1">
      <alignment horizontal="center" vertical="center"/>
    </xf>
    <xf numFmtId="0" fontId="5" fillId="0" borderId="136" xfId="2" applyFont="1" applyBorder="1" applyAlignment="1">
      <alignment horizontal="center" vertical="center"/>
    </xf>
    <xf numFmtId="0" fontId="5" fillId="0" borderId="137" xfId="2" applyFont="1" applyBorder="1" applyAlignment="1">
      <alignment horizontal="center" vertical="center"/>
    </xf>
    <xf numFmtId="0" fontId="5" fillId="0" borderId="138" xfId="13" applyFont="1" applyBorder="1" applyAlignment="1">
      <alignment horizontal="center" vertical="center" wrapText="1"/>
    </xf>
    <xf numFmtId="41" fontId="5" fillId="0" borderId="139" xfId="10" applyFont="1" applyBorder="1" applyAlignment="1">
      <alignment horizontal="center" vertical="center" wrapText="1"/>
    </xf>
    <xf numFmtId="41" fontId="5" fillId="0" borderId="140" xfId="10" applyFont="1" applyBorder="1" applyAlignment="1">
      <alignment horizontal="center" vertical="center" wrapText="1"/>
    </xf>
    <xf numFmtId="41" fontId="5" fillId="0" borderId="141" xfId="10" applyFont="1" applyBorder="1" applyAlignment="1">
      <alignment horizontal="center" vertical="center" wrapText="1"/>
    </xf>
    <xf numFmtId="41" fontId="5" fillId="0" borderId="132" xfId="10" applyFont="1" applyBorder="1" applyAlignment="1">
      <alignment horizontal="center" vertical="center" wrapText="1"/>
    </xf>
    <xf numFmtId="41" fontId="5" fillId="0" borderId="142" xfId="10" applyFont="1" applyBorder="1" applyAlignment="1">
      <alignment horizontal="center" vertical="center" wrapText="1"/>
    </xf>
    <xf numFmtId="0" fontId="5" fillId="0" borderId="143" xfId="13" applyFont="1" applyBorder="1" applyAlignment="1">
      <alignment horizontal="center" vertical="center" wrapText="1"/>
    </xf>
    <xf numFmtId="41" fontId="5" fillId="0" borderId="144" xfId="10" applyFont="1" applyBorder="1" applyAlignment="1">
      <alignment horizontal="center" vertical="center" wrapText="1"/>
    </xf>
    <xf numFmtId="0" fontId="5" fillId="0" borderId="145" xfId="13" applyFont="1" applyBorder="1" applyAlignment="1">
      <alignment horizontal="center" vertical="center" wrapText="1"/>
    </xf>
    <xf numFmtId="41" fontId="5" fillId="0" borderId="146" xfId="10" applyFont="1" applyBorder="1" applyAlignment="1">
      <alignment horizontal="center" vertical="center" wrapText="1"/>
    </xf>
    <xf numFmtId="41" fontId="5" fillId="0" borderId="147" xfId="10" applyFont="1" applyBorder="1" applyAlignment="1">
      <alignment horizontal="center" vertical="center" wrapText="1"/>
    </xf>
    <xf numFmtId="41" fontId="5" fillId="0" borderId="148" xfId="10" applyFont="1" applyBorder="1" applyAlignment="1">
      <alignment horizontal="center" vertical="center" wrapText="1"/>
    </xf>
    <xf numFmtId="41" fontId="5" fillId="0" borderId="133" xfId="10" applyFont="1" applyBorder="1" applyAlignment="1">
      <alignment horizontal="center" vertical="center" wrapText="1"/>
    </xf>
    <xf numFmtId="0" fontId="5" fillId="0" borderId="91" xfId="13" applyFont="1" applyBorder="1" applyAlignment="1">
      <alignment horizontal="center" vertical="center" wrapText="1"/>
    </xf>
    <xf numFmtId="41" fontId="5" fillId="0" borderId="149" xfId="10" applyFont="1" applyBorder="1" applyAlignment="1">
      <alignment horizontal="center" vertical="center" wrapText="1"/>
    </xf>
    <xf numFmtId="41" fontId="5" fillId="0" borderId="150" xfId="10" applyFont="1" applyBorder="1" applyAlignment="1">
      <alignment horizontal="center" vertical="center" wrapText="1"/>
    </xf>
    <xf numFmtId="41" fontId="5" fillId="0" borderId="151" xfId="10" applyFont="1" applyBorder="1" applyAlignment="1">
      <alignment horizontal="center" vertical="center" wrapText="1"/>
    </xf>
    <xf numFmtId="41" fontId="5" fillId="0" borderId="152" xfId="10" applyFont="1" applyBorder="1" applyAlignment="1">
      <alignment horizontal="center" vertical="center" wrapText="1"/>
    </xf>
    <xf numFmtId="41" fontId="5" fillId="0" borderId="79" xfId="10" applyFont="1" applyBorder="1" applyAlignment="1">
      <alignment horizontal="center" vertical="center" wrapText="1"/>
    </xf>
    <xf numFmtId="0" fontId="5" fillId="0" borderId="0" xfId="2" applyFont="1" applyAlignment="1">
      <alignment horizontal="left" vertical="top"/>
    </xf>
    <xf numFmtId="179" fontId="5" fillId="0" borderId="140" xfId="10" applyNumberFormat="1" applyFont="1" applyBorder="1" applyAlignment="1">
      <alignment horizontal="center" vertical="center" wrapText="1"/>
    </xf>
    <xf numFmtId="41" fontId="5" fillId="0" borderId="153" xfId="10" applyFont="1" applyBorder="1" applyAlignment="1">
      <alignment horizontal="center" vertical="center" wrapText="1"/>
    </xf>
    <xf numFmtId="0" fontId="55" fillId="0" borderId="0" xfId="2" applyFont="1" applyAlignment="1">
      <alignment vertical="center"/>
    </xf>
    <xf numFmtId="0" fontId="5" fillId="0" borderId="54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63" xfId="2" applyFont="1" applyBorder="1" applyAlignment="1">
      <alignment horizontal="center" vertical="center"/>
    </xf>
    <xf numFmtId="0" fontId="5" fillId="0" borderId="65" xfId="2" applyFont="1" applyBorder="1" applyAlignment="1">
      <alignment horizontal="center" vertical="center"/>
    </xf>
    <xf numFmtId="0" fontId="5" fillId="0" borderId="102" xfId="2" applyFont="1" applyBorder="1" applyAlignment="1">
      <alignment horizontal="center" vertical="center"/>
    </xf>
    <xf numFmtId="0" fontId="5" fillId="0" borderId="116" xfId="2" applyFont="1" applyBorder="1" applyAlignment="1">
      <alignment horizontal="center" vertical="center"/>
    </xf>
    <xf numFmtId="0" fontId="5" fillId="0" borderId="62" xfId="2" applyFont="1" applyBorder="1" applyAlignment="1">
      <alignment horizontal="center" vertical="center"/>
    </xf>
    <xf numFmtId="0" fontId="10" fillId="0" borderId="0" xfId="2"/>
    <xf numFmtId="0" fontId="5" fillId="0" borderId="58" xfId="2" applyFont="1" applyBorder="1" applyAlignment="1">
      <alignment horizontal="center" vertical="center"/>
    </xf>
    <xf numFmtId="0" fontId="5" fillId="0" borderId="60" xfId="2" applyFont="1" applyBorder="1" applyAlignment="1">
      <alignment horizontal="center" vertical="center"/>
    </xf>
    <xf numFmtId="49" fontId="5" fillId="0" borderId="82" xfId="2" applyNumberFormat="1" applyFont="1" applyBorder="1" applyAlignment="1">
      <alignment horizontal="center" vertical="center"/>
    </xf>
    <xf numFmtId="189" fontId="5" fillId="0" borderId="31" xfId="2" applyNumberFormat="1" applyFont="1" applyBorder="1" applyAlignment="1">
      <alignment horizontal="right" vertical="center"/>
    </xf>
    <xf numFmtId="41" fontId="5" fillId="0" borderId="12" xfId="2" applyNumberFormat="1" applyFont="1" applyBorder="1" applyAlignment="1">
      <alignment horizontal="right" vertical="center"/>
    </xf>
    <xf numFmtId="189" fontId="5" fillId="0" borderId="27" xfId="2" applyNumberFormat="1" applyFont="1" applyBorder="1" applyAlignment="1">
      <alignment horizontal="right" vertical="center"/>
    </xf>
    <xf numFmtId="189" fontId="5" fillId="0" borderId="29" xfId="2" applyNumberFormat="1" applyFont="1" applyBorder="1" applyAlignment="1">
      <alignment horizontal="right" vertical="center"/>
    </xf>
    <xf numFmtId="176" fontId="55" fillId="0" borderId="0" xfId="2" applyNumberFormat="1" applyFont="1" applyAlignment="1">
      <alignment vertical="center"/>
    </xf>
    <xf numFmtId="189" fontId="5" fillId="0" borderId="13" xfId="2" applyNumberFormat="1" applyFont="1" applyBorder="1" applyAlignment="1">
      <alignment horizontal="right" vertical="center"/>
    </xf>
    <xf numFmtId="42" fontId="5" fillId="0" borderId="12" xfId="2" applyNumberFormat="1" applyFont="1" applyBorder="1" applyAlignment="1">
      <alignment horizontal="right" vertical="center"/>
    </xf>
    <xf numFmtId="189" fontId="5" fillId="0" borderId="31" xfId="2" applyNumberFormat="1" applyFont="1" applyBorder="1" applyAlignment="1">
      <alignment vertical="center"/>
    </xf>
    <xf numFmtId="41" fontId="5" fillId="0" borderId="12" xfId="2" applyNumberFormat="1" applyFont="1" applyBorder="1" applyAlignment="1">
      <alignment vertical="center"/>
    </xf>
    <xf numFmtId="189" fontId="5" fillId="0" borderId="12" xfId="2" applyNumberFormat="1" applyFont="1" applyBorder="1" applyAlignment="1">
      <alignment vertical="center"/>
    </xf>
    <xf numFmtId="189" fontId="5" fillId="0" borderId="13" xfId="2" applyNumberFormat="1" applyFont="1" applyBorder="1" applyAlignment="1">
      <alignment vertical="center"/>
    </xf>
    <xf numFmtId="189" fontId="5" fillId="0" borderId="31" xfId="2" quotePrefix="1" applyNumberFormat="1" applyFont="1" applyBorder="1" applyAlignment="1">
      <alignment vertical="center"/>
    </xf>
    <xf numFmtId="189" fontId="5" fillId="0" borderId="12" xfId="2" quotePrefix="1" applyNumberFormat="1" applyFont="1" applyBorder="1" applyAlignment="1">
      <alignment vertical="center"/>
    </xf>
    <xf numFmtId="189" fontId="5" fillId="0" borderId="12" xfId="2" quotePrefix="1" applyNumberFormat="1" applyFont="1" applyBorder="1" applyAlignment="1">
      <alignment horizontal="right" vertical="center"/>
    </xf>
    <xf numFmtId="189" fontId="5" fillId="0" borderId="13" xfId="2" quotePrefix="1" applyNumberFormat="1" applyFont="1" applyBorder="1" applyAlignment="1">
      <alignment vertical="center"/>
    </xf>
    <xf numFmtId="49" fontId="5" fillId="0" borderId="97" xfId="2" quotePrefix="1" applyNumberFormat="1" applyFont="1" applyBorder="1" applyAlignment="1">
      <alignment horizontal="center" vertical="center"/>
    </xf>
    <xf numFmtId="41" fontId="5" fillId="0" borderId="63" xfId="2" applyNumberFormat="1" applyFont="1" applyBorder="1" applyAlignment="1">
      <alignment vertical="center"/>
    </xf>
    <xf numFmtId="41" fontId="5" fillId="0" borderId="64" xfId="2" applyNumberFormat="1" applyFont="1" applyBorder="1" applyAlignment="1">
      <alignment vertical="center"/>
    </xf>
    <xf numFmtId="42" fontId="5" fillId="0" borderId="64" xfId="2" applyNumberFormat="1" applyFont="1" applyBorder="1" applyAlignment="1">
      <alignment horizontal="right" vertical="center"/>
    </xf>
    <xf numFmtId="41" fontId="5" fillId="0" borderId="64" xfId="2" applyNumberFormat="1" applyFont="1" applyBorder="1" applyAlignment="1">
      <alignment horizontal="right" vertical="center"/>
    </xf>
    <xf numFmtId="41" fontId="5" fillId="0" borderId="65" xfId="2" applyNumberFormat="1" applyFont="1" applyBorder="1" applyAlignment="1">
      <alignment vertical="center"/>
    </xf>
    <xf numFmtId="41" fontId="5" fillId="0" borderId="31" xfId="2" applyNumberFormat="1" applyFont="1" applyBorder="1" applyAlignment="1">
      <alignment vertical="center"/>
    </xf>
    <xf numFmtId="41" fontId="5" fillId="0" borderId="13" xfId="2" applyNumberFormat="1" applyFont="1" applyBorder="1" applyAlignment="1">
      <alignment vertical="center"/>
    </xf>
    <xf numFmtId="41" fontId="5" fillId="0" borderId="33" xfId="2" applyNumberFormat="1" applyFont="1" applyBorder="1" applyAlignment="1">
      <alignment vertical="center"/>
    </xf>
    <xf numFmtId="41" fontId="5" fillId="0" borderId="18" xfId="2" applyNumberFormat="1" applyFont="1" applyBorder="1" applyAlignment="1">
      <alignment horizontal="right" vertical="center"/>
    </xf>
    <xf numFmtId="41" fontId="5" fillId="0" borderId="18" xfId="2" applyNumberFormat="1" applyFont="1" applyBorder="1" applyAlignment="1">
      <alignment vertical="center"/>
    </xf>
    <xf numFmtId="41" fontId="5" fillId="0" borderId="19" xfId="2" applyNumberFormat="1" applyFont="1" applyBorder="1" applyAlignment="1">
      <alignment vertical="center"/>
    </xf>
    <xf numFmtId="2" fontId="22" fillId="0" borderId="41" xfId="2" quotePrefix="1" applyNumberFormat="1" applyFont="1" applyBorder="1" applyAlignment="1">
      <alignment horizontal="center" vertical="center"/>
    </xf>
    <xf numFmtId="41" fontId="22" fillId="0" borderId="30" xfId="2" applyNumberFormat="1" applyFont="1" applyBorder="1" applyAlignment="1">
      <alignment vertical="center"/>
    </xf>
    <xf numFmtId="41" fontId="22" fillId="0" borderId="10" xfId="2" applyNumberFormat="1" applyFont="1" applyBorder="1" applyAlignment="1">
      <alignment horizontal="right" vertical="center"/>
    </xf>
    <xf numFmtId="41" fontId="22" fillId="0" borderId="10" xfId="2" applyNumberFormat="1" applyFont="1" applyBorder="1" applyAlignment="1">
      <alignment vertical="center"/>
    </xf>
    <xf numFmtId="41" fontId="22" fillId="0" borderId="11" xfId="2" applyNumberFormat="1" applyFont="1" applyBorder="1" applyAlignment="1">
      <alignment vertical="center"/>
    </xf>
    <xf numFmtId="0" fontId="14" fillId="0" borderId="0" xfId="2" applyFont="1"/>
    <xf numFmtId="176" fontId="14" fillId="0" borderId="0" xfId="2" applyNumberFormat="1" applyFont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5" fillId="0" borderId="72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5" fillId="0" borderId="109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5" fillId="0" borderId="106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77" xfId="2" applyFont="1" applyBorder="1" applyAlignment="1">
      <alignment horizontal="center" vertical="center"/>
    </xf>
    <xf numFmtId="0" fontId="5" fillId="0" borderId="86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22" xfId="2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0" fontId="5" fillId="0" borderId="88" xfId="2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189" fontId="5" fillId="0" borderId="77" xfId="2" applyNumberFormat="1" applyFont="1" applyBorder="1" applyAlignment="1">
      <alignment vertical="center"/>
    </xf>
    <xf numFmtId="0" fontId="5" fillId="0" borderId="82" xfId="2" applyFont="1" applyBorder="1" applyAlignment="1">
      <alignment horizontal="center" vertical="center"/>
    </xf>
    <xf numFmtId="0" fontId="58" fillId="0" borderId="0" xfId="2" applyFont="1" applyAlignment="1">
      <alignment vertical="center"/>
    </xf>
    <xf numFmtId="0" fontId="5" fillId="0" borderId="100" xfId="2" applyFont="1" applyBorder="1" applyAlignment="1">
      <alignment horizontal="center" vertical="center"/>
    </xf>
    <xf numFmtId="189" fontId="5" fillId="0" borderId="62" xfId="2" applyNumberFormat="1" applyFont="1" applyBorder="1" applyAlignment="1">
      <alignment vertical="center"/>
    </xf>
    <xf numFmtId="189" fontId="5" fillId="0" borderId="15" xfId="2" applyNumberFormat="1" applyFont="1" applyBorder="1" applyAlignment="1">
      <alignment vertical="center"/>
    </xf>
    <xf numFmtId="189" fontId="5" fillId="0" borderId="16" xfId="2" applyNumberFormat="1" applyFont="1" applyBorder="1" applyAlignment="1">
      <alignment horizontal="right" vertical="center"/>
    </xf>
    <xf numFmtId="189" fontId="5" fillId="0" borderId="66" xfId="2" applyNumberFormat="1" applyFont="1" applyBorder="1" applyAlignment="1">
      <alignment horizontal="right" vertical="center"/>
    </xf>
    <xf numFmtId="189" fontId="5" fillId="0" borderId="64" xfId="2" applyNumberFormat="1" applyFont="1" applyBorder="1" applyAlignment="1">
      <alignment horizontal="right" vertical="center"/>
    </xf>
    <xf numFmtId="189" fontId="5" fillId="0" borderId="65" xfId="2" applyNumberFormat="1" applyFont="1" applyBorder="1" applyAlignment="1">
      <alignment horizontal="right" vertical="center"/>
    </xf>
    <xf numFmtId="2" fontId="5" fillId="0" borderId="87" xfId="2" applyNumberFormat="1" applyFont="1" applyBorder="1" applyAlignment="1">
      <alignment horizontal="center" vertical="center"/>
    </xf>
    <xf numFmtId="189" fontId="5" fillId="0" borderId="85" xfId="2" applyNumberFormat="1" applyFont="1" applyBorder="1" applyAlignment="1">
      <alignment horizontal="right" vertical="center"/>
    </xf>
    <xf numFmtId="189" fontId="5" fillId="0" borderId="18" xfId="2" applyNumberFormat="1" applyFont="1" applyBorder="1" applyAlignment="1">
      <alignment horizontal="right" vertical="center"/>
    </xf>
    <xf numFmtId="189" fontId="5" fillId="0" borderId="19" xfId="2" applyNumberFormat="1" applyFont="1" applyBorder="1" applyAlignment="1">
      <alignment horizontal="right" vertical="center"/>
    </xf>
    <xf numFmtId="41" fontId="14" fillId="0" borderId="0" xfId="2" applyNumberFormat="1" applyFont="1"/>
    <xf numFmtId="2" fontId="5" fillId="0" borderId="82" xfId="2" applyNumberFormat="1" applyFont="1" applyBorder="1" applyAlignment="1">
      <alignment horizontal="center" vertical="center"/>
    </xf>
    <xf numFmtId="189" fontId="5" fillId="0" borderId="77" xfId="2" applyNumberFormat="1" applyFont="1" applyBorder="1" applyAlignment="1">
      <alignment horizontal="right" vertical="center"/>
    </xf>
    <xf numFmtId="0" fontId="77" fillId="0" borderId="0" xfId="2" applyFont="1"/>
    <xf numFmtId="2" fontId="22" fillId="0" borderId="87" xfId="2" quotePrefix="1" applyNumberFormat="1" applyFont="1" applyBorder="1" applyAlignment="1">
      <alignment horizontal="center" vertical="center"/>
    </xf>
    <xf numFmtId="41" fontId="22" fillId="0" borderId="33" xfId="2" applyNumberFormat="1" applyFont="1" applyBorder="1" applyAlignment="1">
      <alignment vertical="center"/>
    </xf>
    <xf numFmtId="189" fontId="22" fillId="0" borderId="18" xfId="2" applyNumberFormat="1" applyFont="1" applyBorder="1" applyAlignment="1">
      <alignment horizontal="right" vertical="center"/>
    </xf>
    <xf numFmtId="41" fontId="22" fillId="0" borderId="18" xfId="2" applyNumberFormat="1" applyFont="1" applyBorder="1" applyAlignment="1">
      <alignment horizontal="right" vertical="center"/>
    </xf>
    <xf numFmtId="189" fontId="22" fillId="0" borderId="19" xfId="2" applyNumberFormat="1" applyFont="1" applyBorder="1" applyAlignment="1">
      <alignment horizontal="right" vertical="center"/>
    </xf>
    <xf numFmtId="41" fontId="5" fillId="0" borderId="33" xfId="2" applyNumberFormat="1" applyFont="1" applyBorder="1" applyAlignment="1">
      <alignment horizontal="right" vertical="center"/>
    </xf>
    <xf numFmtId="41" fontId="5" fillId="0" borderId="31" xfId="2" applyNumberFormat="1" applyFont="1" applyBorder="1" applyAlignment="1">
      <alignment horizontal="right" vertical="center"/>
    </xf>
    <xf numFmtId="41" fontId="22" fillId="0" borderId="30" xfId="2" applyNumberFormat="1" applyFont="1" applyBorder="1" applyAlignment="1">
      <alignment horizontal="right" vertical="center"/>
    </xf>
    <xf numFmtId="189" fontId="22" fillId="0" borderId="10" xfId="2" applyNumberFormat="1" applyFont="1" applyBorder="1" applyAlignment="1">
      <alignment horizontal="right" vertical="center"/>
    </xf>
    <xf numFmtId="189" fontId="22" fillId="0" borderId="11" xfId="2" applyNumberFormat="1" applyFont="1" applyBorder="1" applyAlignment="1">
      <alignment horizontal="right" vertical="center"/>
    </xf>
    <xf numFmtId="0" fontId="14" fillId="0" borderId="0" xfId="2" applyFont="1" applyAlignment="1">
      <alignment horizontal="right"/>
    </xf>
    <xf numFmtId="0" fontId="15" fillId="0" borderId="0" xfId="2" applyFont="1" applyAlignment="1">
      <alignment vertical="center"/>
    </xf>
    <xf numFmtId="0" fontId="8" fillId="14" borderId="0" xfId="2" applyFont="1" applyFill="1" applyAlignment="1">
      <alignment vertical="center"/>
    </xf>
    <xf numFmtId="0" fontId="21" fillId="14" borderId="0" xfId="2" applyFont="1" applyFill="1" applyAlignment="1">
      <alignment vertical="center"/>
    </xf>
    <xf numFmtId="0" fontId="5" fillId="0" borderId="154" xfId="2" applyFont="1" applyBorder="1" applyAlignment="1">
      <alignment horizontal="left" vertical="center" wrapText="1"/>
    </xf>
    <xf numFmtId="0" fontId="5" fillId="0" borderId="155" xfId="2" applyFont="1" applyBorder="1" applyAlignment="1">
      <alignment horizontal="left" vertical="center" wrapText="1"/>
    </xf>
    <xf numFmtId="0" fontId="5" fillId="0" borderId="156" xfId="2" applyFont="1" applyBorder="1" applyAlignment="1">
      <alignment horizontal="left" vertical="center"/>
    </xf>
    <xf numFmtId="0" fontId="5" fillId="0" borderId="67" xfId="2" applyFont="1" applyBorder="1" applyAlignment="1" applyProtection="1">
      <alignment horizontal="center" vertical="center"/>
      <protection locked="0"/>
    </xf>
    <xf numFmtId="0" fontId="5" fillId="0" borderId="68" xfId="2" quotePrefix="1" applyFont="1" applyBorder="1" applyAlignment="1" applyProtection="1">
      <alignment horizontal="center" vertical="center"/>
      <protection locked="0"/>
    </xf>
    <xf numFmtId="0" fontId="22" fillId="0" borderId="69" xfId="2" applyFont="1" applyBorder="1" applyAlignment="1" applyProtection="1">
      <alignment horizontal="center" vertical="center"/>
      <protection locked="0"/>
    </xf>
    <xf numFmtId="0" fontId="22" fillId="0" borderId="67" xfId="2" quotePrefix="1" applyFont="1" applyBorder="1" applyAlignment="1" applyProtection="1">
      <alignment horizontal="center" vertical="center"/>
      <protection locked="0"/>
    </xf>
    <xf numFmtId="0" fontId="5" fillId="0" borderId="69" xfId="2" applyFont="1" applyBorder="1" applyAlignment="1" applyProtection="1">
      <alignment horizontal="center" vertical="center"/>
      <protection locked="0"/>
    </xf>
    <xf numFmtId="0" fontId="5" fillId="0" borderId="68" xfId="2" applyFont="1" applyBorder="1" applyAlignment="1" applyProtection="1">
      <alignment horizontal="center" vertical="center"/>
      <protection locked="0"/>
    </xf>
    <xf numFmtId="0" fontId="5" fillId="0" borderId="69" xfId="2" applyFont="1" applyBorder="1" applyAlignment="1" applyProtection="1">
      <alignment horizontal="center" vertical="center" wrapText="1"/>
      <protection locked="0"/>
    </xf>
    <xf numFmtId="0" fontId="5" fillId="0" borderId="157" xfId="2" applyFont="1" applyBorder="1" applyAlignment="1">
      <alignment horizontal="left" vertical="center"/>
    </xf>
    <xf numFmtId="0" fontId="5" fillId="0" borderId="158" xfId="2" applyFont="1" applyBorder="1" applyAlignment="1">
      <alignment horizontal="left" vertical="center"/>
    </xf>
    <xf numFmtId="0" fontId="5" fillId="0" borderId="159" xfId="2" applyFont="1" applyBorder="1" applyAlignment="1">
      <alignment horizontal="left" vertical="center"/>
    </xf>
    <xf numFmtId="0" fontId="5" fillId="0" borderId="42" xfId="2" applyFont="1" applyBorder="1" applyAlignment="1" applyProtection="1">
      <alignment horizontal="center" vertical="center"/>
      <protection locked="0"/>
    </xf>
    <xf numFmtId="0" fontId="5" fillId="0" borderId="11" xfId="2" applyFont="1" applyBorder="1" applyAlignment="1" applyProtection="1">
      <alignment horizontal="center" vertical="center"/>
      <protection locked="0"/>
    </xf>
    <xf numFmtId="0" fontId="22" fillId="0" borderId="42" xfId="2" applyFont="1" applyBorder="1" applyAlignment="1" applyProtection="1">
      <alignment horizontal="center" vertical="center"/>
      <protection locked="0"/>
    </xf>
    <xf numFmtId="0" fontId="22" fillId="0" borderId="30" xfId="2" applyFont="1" applyBorder="1" applyAlignment="1" applyProtection="1">
      <alignment horizontal="center" vertical="center"/>
      <protection locked="0"/>
    </xf>
    <xf numFmtId="0" fontId="22" fillId="0" borderId="11" xfId="2" applyFont="1" applyBorder="1" applyAlignment="1">
      <alignment horizontal="center" vertical="center"/>
    </xf>
    <xf numFmtId="0" fontId="5" fillId="0" borderId="106" xfId="2" applyFont="1" applyBorder="1" applyAlignment="1">
      <alignment horizontal="center" vertical="center" textRotation="255" wrapText="1"/>
    </xf>
    <xf numFmtId="0" fontId="5" fillId="0" borderId="13" xfId="2" applyFont="1" applyBorder="1" applyAlignment="1">
      <alignment horizontal="center" vertical="center"/>
    </xf>
    <xf numFmtId="181" fontId="5" fillId="0" borderId="26" xfId="8" applyFont="1" applyBorder="1" applyAlignment="1">
      <alignment horizontal="center" vertical="center"/>
    </xf>
    <xf numFmtId="181" fontId="5" fillId="0" borderId="92" xfId="8" applyFont="1" applyBorder="1" applyAlignment="1">
      <alignment horizontal="center" vertical="center"/>
    </xf>
    <xf numFmtId="181" fontId="22" fillId="0" borderId="31" xfId="8" applyFont="1" applyBorder="1" applyAlignment="1">
      <alignment horizontal="center" vertical="center"/>
    </xf>
    <xf numFmtId="181" fontId="22" fillId="0" borderId="86" xfId="8" applyFont="1" applyBorder="1" applyAlignment="1">
      <alignment horizontal="center" vertical="center"/>
    </xf>
    <xf numFmtId="190" fontId="22" fillId="0" borderId="31" xfId="8" applyNumberFormat="1" applyFont="1" applyFill="1" applyBorder="1" applyAlignment="1" applyProtection="1">
      <alignment vertical="center"/>
      <protection locked="0"/>
    </xf>
    <xf numFmtId="190" fontId="22" fillId="0" borderId="13" xfId="8" applyNumberFormat="1" applyFont="1" applyFill="1" applyBorder="1" applyAlignment="1" applyProtection="1">
      <alignment vertical="center"/>
      <protection locked="0"/>
    </xf>
    <xf numFmtId="190" fontId="22" fillId="0" borderId="63" xfId="8" applyNumberFormat="1" applyFont="1" applyFill="1" applyBorder="1" applyAlignment="1" applyProtection="1">
      <alignment vertical="center"/>
      <protection locked="0"/>
    </xf>
    <xf numFmtId="190" fontId="22" fillId="0" borderId="75" xfId="8" applyNumberFormat="1" applyFont="1" applyFill="1" applyBorder="1" applyAlignment="1" applyProtection="1">
      <alignment vertical="center"/>
      <protection locked="0"/>
    </xf>
    <xf numFmtId="44" fontId="8" fillId="0" borderId="0" xfId="2" applyNumberFormat="1" applyFont="1"/>
    <xf numFmtId="202" fontId="8" fillId="0" borderId="0" xfId="2" applyNumberFormat="1" applyFont="1"/>
    <xf numFmtId="0" fontId="5" fillId="0" borderId="74" xfId="2" applyFont="1" applyBorder="1" applyAlignment="1">
      <alignment horizontal="center" vertical="center"/>
    </xf>
    <xf numFmtId="0" fontId="5" fillId="0" borderId="65" xfId="2" applyFont="1" applyBorder="1" applyAlignment="1">
      <alignment horizontal="center" vertical="center"/>
    </xf>
    <xf numFmtId="181" fontId="5" fillId="0" borderId="63" xfId="8" applyFont="1" applyFill="1" applyBorder="1" applyAlignment="1" applyProtection="1">
      <alignment vertical="center"/>
      <protection locked="0"/>
    </xf>
    <xf numFmtId="181" fontId="5" fillId="0" borderId="75" xfId="8" applyFont="1" applyFill="1" applyBorder="1" applyAlignment="1" applyProtection="1">
      <alignment vertical="center"/>
      <protection locked="0"/>
    </xf>
    <xf numFmtId="181" fontId="22" fillId="0" borderId="63" xfId="8" applyFont="1" applyFill="1" applyBorder="1" applyAlignment="1" applyProtection="1">
      <alignment vertical="center"/>
      <protection locked="0"/>
    </xf>
    <xf numFmtId="181" fontId="22" fillId="0" borderId="74" xfId="8" applyFont="1" applyFill="1" applyBorder="1" applyAlignment="1" applyProtection="1">
      <alignment vertical="center"/>
      <protection locked="0"/>
    </xf>
    <xf numFmtId="190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15" xfId="2" applyFont="1" applyBorder="1" applyAlignment="1">
      <alignment horizontal="center" vertical="center"/>
    </xf>
    <xf numFmtId="0" fontId="5" fillId="0" borderId="116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181" fontId="5" fillId="0" borderId="32" xfId="8" applyFont="1" applyFill="1" applyBorder="1" applyAlignment="1">
      <alignment vertical="center"/>
    </xf>
    <xf numFmtId="181" fontId="5" fillId="0" borderId="103" xfId="8" applyFont="1" applyFill="1" applyBorder="1" applyAlignment="1">
      <alignment vertical="center"/>
    </xf>
    <xf numFmtId="181" fontId="22" fillId="0" borderId="32" xfId="8" applyFont="1" applyFill="1" applyBorder="1" applyAlignment="1">
      <alignment vertical="center"/>
    </xf>
    <xf numFmtId="181" fontId="22" fillId="0" borderId="74" xfId="8" applyFont="1" applyFill="1" applyBorder="1" applyAlignment="1">
      <alignment vertical="center"/>
    </xf>
    <xf numFmtId="181" fontId="5" fillId="0" borderId="63" xfId="8" applyFont="1" applyFill="1" applyBorder="1" applyAlignment="1">
      <alignment vertical="center"/>
    </xf>
    <xf numFmtId="181" fontId="5" fillId="0" borderId="75" xfId="8" applyFont="1" applyFill="1" applyBorder="1" applyAlignment="1">
      <alignment vertical="center"/>
    </xf>
    <xf numFmtId="181" fontId="22" fillId="0" borderId="63" xfId="8" applyFont="1" applyFill="1" applyBorder="1" applyAlignment="1">
      <alignment vertical="center"/>
    </xf>
    <xf numFmtId="190" fontId="77" fillId="0" borderId="63" xfId="8" applyNumberFormat="1" applyFont="1" applyFill="1" applyBorder="1" applyAlignment="1" applyProtection="1">
      <alignment vertical="center"/>
      <protection locked="0"/>
    </xf>
    <xf numFmtId="190" fontId="77" fillId="0" borderId="75" xfId="8" applyNumberFormat="1" applyFont="1" applyFill="1" applyBorder="1" applyAlignment="1" applyProtection="1">
      <alignment vertical="center"/>
      <protection locked="0"/>
    </xf>
    <xf numFmtId="189" fontId="22" fillId="0" borderId="0" xfId="2" quotePrefix="1" applyNumberFormat="1" applyFont="1" applyAlignment="1">
      <alignment horizontal="center" vertical="center"/>
    </xf>
    <xf numFmtId="0" fontId="5" fillId="0" borderId="107" xfId="2" applyFont="1" applyBorder="1" applyAlignment="1">
      <alignment horizontal="center" vertical="center"/>
    </xf>
    <xf numFmtId="0" fontId="5" fillId="0" borderId="101" xfId="2" applyFont="1" applyBorder="1" applyAlignment="1">
      <alignment horizontal="center" vertical="center"/>
    </xf>
    <xf numFmtId="181" fontId="5" fillId="0" borderId="58" xfId="8" applyFont="1" applyFill="1" applyBorder="1" applyAlignment="1">
      <alignment vertical="center"/>
    </xf>
    <xf numFmtId="181" fontId="5" fillId="0" borderId="70" xfId="8" applyFont="1" applyFill="1" applyBorder="1" applyAlignment="1">
      <alignment vertical="center"/>
    </xf>
    <xf numFmtId="181" fontId="22" fillId="0" borderId="58" xfId="8" applyFont="1" applyFill="1" applyBorder="1" applyAlignment="1">
      <alignment vertical="center"/>
    </xf>
    <xf numFmtId="181" fontId="22" fillId="0" borderId="76" xfId="8" applyFont="1" applyFill="1" applyBorder="1" applyAlignment="1">
      <alignment vertical="center"/>
    </xf>
    <xf numFmtId="190" fontId="77" fillId="0" borderId="58" xfId="8" applyNumberFormat="1" applyFont="1" applyFill="1" applyBorder="1" applyAlignment="1" applyProtection="1">
      <alignment vertical="center"/>
      <protection locked="0"/>
    </xf>
    <xf numFmtId="190" fontId="77" fillId="0" borderId="60" xfId="8" applyNumberFormat="1" applyFont="1" applyFill="1" applyBorder="1" applyAlignment="1" applyProtection="1">
      <alignment vertical="center"/>
      <protection locked="0"/>
    </xf>
    <xf numFmtId="0" fontId="5" fillId="0" borderId="72" xfId="2" applyFont="1" applyBorder="1" applyAlignment="1">
      <alignment horizontal="center" vertical="center" textRotation="255" wrapText="1"/>
    </xf>
    <xf numFmtId="0" fontId="5" fillId="0" borderId="29" xfId="2" applyFont="1" applyBorder="1" applyAlignment="1">
      <alignment horizontal="center" vertical="center"/>
    </xf>
    <xf numFmtId="181" fontId="5" fillId="0" borderId="31" xfId="8" applyFont="1" applyBorder="1" applyAlignment="1">
      <alignment horizontal="center" vertical="center"/>
    </xf>
    <xf numFmtId="181" fontId="5" fillId="0" borderId="80" xfId="8" applyFont="1" applyBorder="1" applyAlignment="1">
      <alignment horizontal="center" vertical="center"/>
    </xf>
    <xf numFmtId="190" fontId="22" fillId="0" borderId="26" xfId="8" applyNumberFormat="1" applyFont="1" applyFill="1" applyBorder="1" applyAlignment="1" applyProtection="1">
      <alignment vertical="center"/>
      <protection locked="0"/>
    </xf>
    <xf numFmtId="190" fontId="22" fillId="0" borderId="29" xfId="8" applyNumberFormat="1" applyFont="1" applyFill="1" applyBorder="1" applyAlignment="1" applyProtection="1">
      <alignment vertical="center"/>
      <protection locked="0"/>
    </xf>
    <xf numFmtId="190" fontId="22" fillId="0" borderId="33" xfId="8" applyNumberFormat="1" applyFont="1" applyFill="1" applyBorder="1" applyAlignment="1" applyProtection="1">
      <alignment vertical="center"/>
      <protection locked="0"/>
    </xf>
    <xf numFmtId="190" fontId="22" fillId="0" borderId="56" xfId="8" applyNumberFormat="1" applyFont="1" applyFill="1" applyBorder="1" applyAlignment="1" applyProtection="1">
      <alignment vertical="center"/>
      <protection locked="0"/>
    </xf>
    <xf numFmtId="190" fontId="8" fillId="0" borderId="0" xfId="9" applyNumberFormat="1" applyFont="1"/>
    <xf numFmtId="183" fontId="22" fillId="0" borderId="0" xfId="2" quotePrefix="1" applyNumberFormat="1" applyFont="1" applyAlignment="1">
      <alignment horizontal="center" vertical="center"/>
    </xf>
    <xf numFmtId="0" fontId="5" fillId="0" borderId="74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81" fontId="5" fillId="0" borderId="33" xfId="8" applyFont="1" applyFill="1" applyBorder="1" applyAlignment="1">
      <alignment vertical="center"/>
    </xf>
    <xf numFmtId="181" fontId="5" fillId="0" borderId="105" xfId="8" applyFont="1" applyFill="1" applyBorder="1" applyAlignment="1">
      <alignment vertical="center"/>
    </xf>
    <xf numFmtId="181" fontId="22" fillId="0" borderId="33" xfId="8" applyFont="1" applyFill="1" applyBorder="1" applyAlignment="1">
      <alignment vertical="center"/>
    </xf>
    <xf numFmtId="181" fontId="22" fillId="0" borderId="78" xfId="8" applyFont="1" applyFill="1" applyBorder="1" applyAlignment="1">
      <alignment vertical="center"/>
    </xf>
    <xf numFmtId="190" fontId="77" fillId="0" borderId="33" xfId="8" applyNumberFormat="1" applyFont="1" applyFill="1" applyBorder="1" applyAlignment="1" applyProtection="1">
      <alignment vertical="center"/>
      <protection locked="0"/>
    </xf>
    <xf numFmtId="0" fontId="5" fillId="0" borderId="107" xfId="2" applyFont="1" applyBorder="1" applyAlignment="1">
      <alignment horizontal="center" vertical="center" textRotation="255" wrapText="1"/>
    </xf>
    <xf numFmtId="0" fontId="5" fillId="0" borderId="76" xfId="2" applyFont="1" applyBorder="1" applyAlignment="1">
      <alignment horizontal="center" vertical="center" wrapText="1"/>
    </xf>
    <xf numFmtId="0" fontId="5" fillId="0" borderId="61" xfId="2" applyFont="1" applyBorder="1" applyAlignment="1">
      <alignment horizontal="center" vertical="center"/>
    </xf>
    <xf numFmtId="41" fontId="77" fillId="0" borderId="58" xfId="8" applyNumberFormat="1" applyFont="1" applyFill="1" applyBorder="1" applyAlignment="1" applyProtection="1">
      <alignment horizontal="right" vertical="center"/>
      <protection locked="0"/>
    </xf>
    <xf numFmtId="41" fontId="77" fillId="0" borderId="70" xfId="8" applyNumberFormat="1" applyFont="1" applyFill="1" applyBorder="1" applyAlignment="1" applyProtection="1">
      <alignment horizontal="right" vertical="center"/>
      <protection locked="0"/>
    </xf>
    <xf numFmtId="181" fontId="8" fillId="0" borderId="0" xfId="2" applyNumberFormat="1" applyFont="1"/>
    <xf numFmtId="0" fontId="5" fillId="0" borderId="26" xfId="2" applyFont="1" applyBorder="1" applyAlignment="1">
      <alignment horizontal="center" vertical="center" textRotation="255"/>
    </xf>
    <xf numFmtId="182" fontId="5" fillId="0" borderId="54" xfId="8" applyNumberFormat="1" applyFont="1" applyFill="1" applyBorder="1" applyAlignment="1" applyProtection="1">
      <alignment vertical="center"/>
      <protection locked="0"/>
    </xf>
    <xf numFmtId="182" fontId="5" fillId="0" borderId="68" xfId="8" applyNumberFormat="1" applyFont="1" applyFill="1" applyBorder="1" applyAlignment="1" applyProtection="1">
      <alignment vertical="center"/>
      <protection locked="0"/>
    </xf>
    <xf numFmtId="182" fontId="22" fillId="0" borderId="54" xfId="8" applyNumberFormat="1" applyFont="1" applyFill="1" applyBorder="1" applyAlignment="1" applyProtection="1">
      <alignment vertical="center"/>
      <protection locked="0"/>
    </xf>
    <xf numFmtId="182" fontId="22" fillId="0" borderId="73" xfId="8" applyNumberFormat="1" applyFont="1" applyFill="1" applyBorder="1" applyAlignment="1" applyProtection="1">
      <alignment vertical="center"/>
      <protection locked="0"/>
    </xf>
    <xf numFmtId="190" fontId="22" fillId="0" borderId="54" xfId="8" applyNumberFormat="1" applyFont="1" applyFill="1" applyBorder="1" applyAlignment="1" applyProtection="1">
      <alignment vertical="center"/>
      <protection locked="0"/>
    </xf>
    <xf numFmtId="190" fontId="22" fillId="0" borderId="32" xfId="8" applyNumberFormat="1" applyFont="1" applyFill="1" applyBorder="1" applyAlignment="1" applyProtection="1">
      <alignment vertical="center"/>
      <protection locked="0"/>
    </xf>
    <xf numFmtId="190" fontId="22" fillId="0" borderId="103" xfId="8" applyNumberFormat="1" applyFont="1" applyFill="1" applyBorder="1" applyAlignment="1" applyProtection="1">
      <alignment vertical="center"/>
      <protection locked="0"/>
    </xf>
    <xf numFmtId="0" fontId="5" fillId="0" borderId="31" xfId="2" applyFont="1" applyBorder="1" applyAlignment="1">
      <alignment horizontal="center" vertical="center" textRotation="255"/>
    </xf>
    <xf numFmtId="182" fontId="5" fillId="0" borderId="63" xfId="8" applyNumberFormat="1" applyFont="1" applyFill="1" applyBorder="1" applyAlignment="1" applyProtection="1">
      <alignment vertical="center"/>
      <protection locked="0"/>
    </xf>
    <xf numFmtId="182" fontId="5" fillId="0" borderId="75" xfId="8" applyNumberFormat="1" applyFont="1" applyFill="1" applyBorder="1" applyAlignment="1" applyProtection="1">
      <alignment vertical="center"/>
      <protection locked="0"/>
    </xf>
    <xf numFmtId="182" fontId="22" fillId="0" borderId="63" xfId="8" applyNumberFormat="1" applyFont="1" applyFill="1" applyBorder="1" applyAlignment="1" applyProtection="1">
      <alignment vertical="center"/>
      <protection locked="0"/>
    </xf>
    <xf numFmtId="182" fontId="22" fillId="0" borderId="74" xfId="8" applyNumberFormat="1" applyFont="1" applyFill="1" applyBorder="1" applyAlignment="1" applyProtection="1">
      <alignment vertical="center"/>
      <protection locked="0"/>
    </xf>
    <xf numFmtId="182" fontId="5" fillId="0" borderId="32" xfId="8" applyNumberFormat="1" applyFont="1" applyFill="1" applyBorder="1" applyAlignment="1">
      <alignment vertical="center"/>
    </xf>
    <xf numFmtId="182" fontId="5" fillId="0" borderId="103" xfId="8" applyNumberFormat="1" applyFont="1" applyFill="1" applyBorder="1" applyAlignment="1">
      <alignment vertical="center"/>
    </xf>
    <xf numFmtId="182" fontId="22" fillId="0" borderId="32" xfId="8" applyNumberFormat="1" applyFont="1" applyFill="1" applyBorder="1" applyAlignment="1" applyProtection="1">
      <alignment vertical="center"/>
      <protection locked="0"/>
    </xf>
    <xf numFmtId="0" fontId="5" fillId="0" borderId="106" xfId="2" applyFont="1" applyBorder="1" applyAlignment="1">
      <alignment horizontal="center" vertical="center" textRotation="255"/>
    </xf>
    <xf numFmtId="0" fontId="5" fillId="0" borderId="66" xfId="2" applyFont="1" applyBorder="1" applyAlignment="1">
      <alignment horizontal="center" vertical="center" wrapText="1"/>
    </xf>
    <xf numFmtId="182" fontId="5" fillId="0" borderId="33" xfId="8" applyNumberFormat="1" applyFont="1" applyFill="1" applyBorder="1" applyAlignment="1" applyProtection="1">
      <alignment vertical="center"/>
      <protection locked="0"/>
    </xf>
    <xf numFmtId="182" fontId="5" fillId="0" borderId="105" xfId="8" applyNumberFormat="1" applyFont="1" applyFill="1" applyBorder="1" applyAlignment="1" applyProtection="1">
      <alignment vertical="center"/>
      <protection locked="0"/>
    </xf>
    <xf numFmtId="182" fontId="22" fillId="0" borderId="106" xfId="8" applyNumberFormat="1" applyFont="1" applyFill="1" applyBorder="1" applyAlignment="1" applyProtection="1">
      <alignment vertical="center"/>
      <protection locked="0"/>
    </xf>
    <xf numFmtId="0" fontId="5" fillId="0" borderId="107" xfId="2" applyFont="1" applyBorder="1" applyAlignment="1">
      <alignment horizontal="center" vertical="center" textRotation="255"/>
    </xf>
    <xf numFmtId="182" fontId="5" fillId="0" borderId="58" xfId="8" applyNumberFormat="1" applyFont="1" applyFill="1" applyBorder="1" applyAlignment="1" applyProtection="1">
      <alignment vertical="center"/>
      <protection locked="0"/>
    </xf>
    <xf numFmtId="182" fontId="5" fillId="0" borderId="70" xfId="8" applyNumberFormat="1" applyFont="1" applyFill="1" applyBorder="1" applyAlignment="1" applyProtection="1">
      <alignment vertical="center"/>
      <protection locked="0"/>
    </xf>
    <xf numFmtId="182" fontId="22" fillId="0" borderId="118" xfId="8" applyNumberFormat="1" applyFont="1" applyFill="1" applyBorder="1" applyAlignment="1" applyProtection="1">
      <alignment vertical="center"/>
      <protection locked="0"/>
    </xf>
    <xf numFmtId="190" fontId="22" fillId="0" borderId="60" xfId="8" applyNumberFormat="1" applyFont="1" applyFill="1" applyBorder="1" applyAlignment="1" applyProtection="1">
      <alignment vertical="center"/>
      <protection locked="0"/>
    </xf>
    <xf numFmtId="2" fontId="22" fillId="0" borderId="0" xfId="2" quotePrefix="1" applyNumberFormat="1" applyFont="1" applyAlignment="1">
      <alignment horizontal="center" vertical="center"/>
    </xf>
    <xf numFmtId="0" fontId="5" fillId="0" borderId="91" xfId="2" applyFont="1" applyBorder="1" applyAlignment="1">
      <alignment horizontal="center" vertical="center"/>
    </xf>
    <xf numFmtId="0" fontId="5" fillId="0" borderId="160" xfId="2" applyFont="1" applyBorder="1" applyAlignment="1">
      <alignment horizontal="center" vertical="center"/>
    </xf>
    <xf numFmtId="0" fontId="5" fillId="0" borderId="130" xfId="2" applyFont="1" applyBorder="1" applyAlignment="1">
      <alignment horizontal="center" vertical="center"/>
    </xf>
    <xf numFmtId="0" fontId="5" fillId="0" borderId="34" xfId="2" applyFont="1" applyBorder="1" applyAlignment="1">
      <alignment horizontal="center" vertical="center"/>
    </xf>
    <xf numFmtId="182" fontId="5" fillId="0" borderId="128" xfId="8" applyNumberFormat="1" applyFont="1" applyFill="1" applyBorder="1" applyAlignment="1" applyProtection="1">
      <alignment horizontal="right" vertical="center"/>
      <protection locked="0"/>
    </xf>
    <xf numFmtId="182" fontId="5" fillId="0" borderId="90" xfId="8" applyNumberFormat="1" applyFont="1" applyFill="1" applyBorder="1" applyAlignment="1" applyProtection="1">
      <alignment horizontal="right" vertical="center"/>
      <protection locked="0"/>
    </xf>
    <xf numFmtId="182" fontId="5" fillId="0" borderId="34" xfId="8" applyNumberFormat="1" applyFont="1" applyFill="1" applyBorder="1" applyAlignment="1" applyProtection="1">
      <alignment horizontal="right" vertical="center"/>
      <protection locked="0"/>
    </xf>
    <xf numFmtId="190" fontId="5" fillId="0" borderId="160" xfId="8" applyNumberFormat="1" applyFont="1" applyFill="1" applyBorder="1" applyAlignment="1" applyProtection="1">
      <alignment vertical="center"/>
      <protection locked="0"/>
    </xf>
    <xf numFmtId="190" fontId="5" fillId="0" borderId="34" xfId="8" applyNumberFormat="1" applyFont="1" applyFill="1" applyBorder="1" applyAlignment="1" applyProtection="1">
      <alignment vertical="center"/>
      <protection locked="0"/>
    </xf>
    <xf numFmtId="41" fontId="5" fillId="0" borderId="128" xfId="8" applyNumberFormat="1" applyFont="1" applyFill="1" applyBorder="1" applyAlignment="1" applyProtection="1">
      <alignment vertical="center"/>
      <protection locked="0"/>
    </xf>
    <xf numFmtId="41" fontId="5" fillId="0" borderId="34" xfId="8" applyNumberFormat="1" applyFont="1" applyFill="1" applyBorder="1" applyAlignment="1" applyProtection="1">
      <alignment vertical="center"/>
      <protection locked="0"/>
    </xf>
    <xf numFmtId="0" fontId="5" fillId="0" borderId="71" xfId="2" applyFont="1" applyBorder="1" applyAlignment="1">
      <alignment horizontal="center" vertical="center"/>
    </xf>
    <xf numFmtId="182" fontId="5" fillId="0" borderId="71" xfId="8" applyNumberFormat="1" applyFont="1" applyFill="1" applyBorder="1" applyAlignment="1" applyProtection="1">
      <alignment horizontal="right" vertical="center"/>
      <protection locked="0"/>
    </xf>
    <xf numFmtId="182" fontId="22" fillId="0" borderId="71" xfId="8" applyNumberFormat="1" applyFont="1" applyFill="1" applyBorder="1" applyAlignment="1" applyProtection="1">
      <alignment horizontal="right" vertical="center"/>
      <protection locked="0"/>
    </xf>
    <xf numFmtId="190" fontId="5" fillId="0" borderId="71" xfId="8" applyNumberFormat="1" applyFont="1" applyFill="1" applyBorder="1" applyAlignment="1" applyProtection="1">
      <alignment vertical="center"/>
      <protection locked="0"/>
    </xf>
    <xf numFmtId="41" fontId="5" fillId="0" borderId="71" xfId="8" applyNumberFormat="1" applyFont="1" applyFill="1" applyBorder="1" applyAlignment="1" applyProtection="1">
      <alignment vertical="center"/>
      <protection locked="0"/>
    </xf>
    <xf numFmtId="0" fontId="5" fillId="0" borderId="72" xfId="2" applyFont="1" applyBorder="1" applyAlignment="1">
      <alignment horizontal="center" vertical="center" textRotation="255" wrapText="1" readingOrder="2"/>
    </xf>
    <xf numFmtId="0" fontId="5" fillId="0" borderId="39" xfId="2" applyFont="1" applyBorder="1" applyAlignment="1">
      <alignment horizontal="center" vertical="center" textRotation="255" readingOrder="2"/>
    </xf>
    <xf numFmtId="0" fontId="5" fillId="0" borderId="73" xfId="2" applyFont="1" applyBorder="1" applyAlignment="1">
      <alignment horizontal="center" vertical="center"/>
    </xf>
    <xf numFmtId="182" fontId="5" fillId="0" borderId="54" xfId="8" applyNumberFormat="1" applyFont="1" applyFill="1" applyBorder="1" applyAlignment="1" applyProtection="1">
      <alignment horizontal="center" vertical="center"/>
      <protection locked="0"/>
    </xf>
    <xf numFmtId="182" fontId="5" fillId="0" borderId="55" xfId="8" applyNumberFormat="1" applyFont="1" applyFill="1" applyBorder="1" applyAlignment="1" applyProtection="1">
      <alignment horizontal="center" vertical="center"/>
      <protection locked="0"/>
    </xf>
    <xf numFmtId="190" fontId="5" fillId="0" borderId="55" xfId="8" applyNumberFormat="1" applyFont="1" applyFill="1" applyBorder="1" applyAlignment="1" applyProtection="1">
      <alignment horizontal="center" vertical="center"/>
      <protection locked="0"/>
    </xf>
    <xf numFmtId="190" fontId="5" fillId="0" borderId="56" xfId="8" applyNumberFormat="1" applyFont="1" applyFill="1" applyBorder="1" applyAlignment="1" applyProtection="1">
      <alignment horizontal="center" vertical="center" wrapText="1"/>
      <protection locked="0"/>
    </xf>
    <xf numFmtId="0" fontId="81" fillId="0" borderId="0" xfId="2" applyFont="1"/>
    <xf numFmtId="0" fontId="5" fillId="0" borderId="106" xfId="2" applyFont="1" applyBorder="1" applyAlignment="1">
      <alignment horizontal="center" vertical="center" textRotation="255" readingOrder="2"/>
    </xf>
    <xf numFmtId="0" fontId="5" fillId="0" borderId="77" xfId="2" applyFont="1" applyBorder="1" applyAlignment="1">
      <alignment horizontal="center" vertical="center" textRotation="255" readingOrder="2"/>
    </xf>
    <xf numFmtId="0" fontId="5" fillId="0" borderId="64" xfId="2" applyFont="1" applyBorder="1" applyAlignment="1">
      <alignment horizontal="center" vertical="center" wrapText="1"/>
    </xf>
    <xf numFmtId="196" fontId="22" fillId="0" borderId="63" xfId="8" applyNumberFormat="1" applyFont="1" applyFill="1" applyBorder="1" applyAlignment="1" applyProtection="1">
      <alignment vertical="center"/>
      <protection locked="0"/>
    </xf>
    <xf numFmtId="196" fontId="22" fillId="0" borderId="64" xfId="8" applyNumberFormat="1" applyFont="1" applyFill="1" applyBorder="1" applyAlignment="1" applyProtection="1">
      <alignment vertical="center"/>
      <protection locked="0"/>
    </xf>
    <xf numFmtId="203" fontId="22" fillId="0" borderId="64" xfId="8" applyNumberFormat="1" applyFont="1" applyFill="1" applyBorder="1" applyAlignment="1" applyProtection="1">
      <alignment horizontal="right" vertical="center"/>
      <protection locked="0"/>
    </xf>
    <xf numFmtId="196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107" xfId="2" applyFont="1" applyBorder="1" applyAlignment="1">
      <alignment horizontal="center" vertical="center" textRotation="255" readingOrder="2"/>
    </xf>
    <xf numFmtId="0" fontId="5" fillId="0" borderId="42" xfId="2" applyFont="1" applyBorder="1" applyAlignment="1">
      <alignment horizontal="center" vertical="center" textRotation="255" readingOrder="2"/>
    </xf>
    <xf numFmtId="0" fontId="5" fillId="0" borderId="59" xfId="2" applyFont="1" applyBorder="1" applyAlignment="1">
      <alignment horizontal="center" vertical="center" wrapText="1"/>
    </xf>
    <xf numFmtId="196" fontId="22" fillId="0" borderId="58" xfId="8" applyNumberFormat="1" applyFont="1" applyFill="1" applyBorder="1" applyAlignment="1" applyProtection="1">
      <alignment vertical="center"/>
      <protection locked="0"/>
    </xf>
    <xf numFmtId="196" fontId="22" fillId="0" borderId="59" xfId="8" applyNumberFormat="1" applyFont="1" applyFill="1" applyBorder="1" applyAlignment="1" applyProtection="1">
      <alignment vertical="center"/>
      <protection locked="0"/>
    </xf>
    <xf numFmtId="203" fontId="22" fillId="0" borderId="59" xfId="8" applyNumberFormat="1" applyFont="1" applyFill="1" applyBorder="1" applyAlignment="1" applyProtection="1">
      <alignment horizontal="right" vertical="center"/>
      <protection locked="0"/>
    </xf>
    <xf numFmtId="196" fontId="22" fillId="0" borderId="60" xfId="8" applyNumberFormat="1" applyFont="1" applyFill="1" applyBorder="1" applyAlignment="1" applyProtection="1">
      <alignment vertical="center"/>
      <protection locked="0"/>
    </xf>
    <xf numFmtId="182" fontId="17" fillId="0" borderId="0" xfId="8" applyNumberFormat="1" applyFont="1" applyFill="1" applyBorder="1" applyAlignment="1" applyProtection="1">
      <alignment vertical="center"/>
      <protection locked="0"/>
    </xf>
    <xf numFmtId="181" fontId="5" fillId="0" borderId="0" xfId="8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0" fontId="82" fillId="0" borderId="0" xfId="22" applyFont="1" applyAlignment="1" applyProtection="1"/>
    <xf numFmtId="0" fontId="8" fillId="0" borderId="0" xfId="9" applyFont="1" applyAlignment="1">
      <alignment horizontal="center"/>
    </xf>
    <xf numFmtId="0" fontId="16" fillId="0" borderId="0" xfId="9" applyFont="1" applyAlignment="1">
      <alignment horizontal="center" vertical="center"/>
    </xf>
    <xf numFmtId="0" fontId="5" fillId="0" borderId="0" xfId="9" applyFont="1" applyAlignment="1">
      <alignment horizontal="right" vertical="top"/>
    </xf>
    <xf numFmtId="0" fontId="5" fillId="0" borderId="38" xfId="9" applyFont="1" applyBorder="1" applyAlignment="1">
      <alignment horizontal="center" vertical="center"/>
    </xf>
    <xf numFmtId="0" fontId="5" fillId="0" borderId="72" xfId="9" applyFont="1" applyBorder="1" applyAlignment="1">
      <alignment horizontal="centerContinuous" vertical="center"/>
    </xf>
    <xf numFmtId="0" fontId="5" fillId="0" borderId="36" xfId="9" applyFont="1" applyBorder="1" applyAlignment="1">
      <alignment horizontal="centerContinuous" vertical="center"/>
    </xf>
    <xf numFmtId="0" fontId="5" fillId="0" borderId="109" xfId="9" applyFont="1" applyBorder="1" applyAlignment="1">
      <alignment horizontal="centerContinuous" vertical="center"/>
    </xf>
    <xf numFmtId="0" fontId="5" fillId="0" borderId="92" xfId="9" applyFont="1" applyBorder="1" applyAlignment="1">
      <alignment horizontal="centerContinuous" vertical="center"/>
    </xf>
    <xf numFmtId="0" fontId="21" fillId="0" borderId="0" xfId="9" applyFont="1" applyAlignment="1">
      <alignment horizontal="center" vertical="center"/>
    </xf>
    <xf numFmtId="0" fontId="21" fillId="0" borderId="0" xfId="9" applyFont="1" applyAlignment="1">
      <alignment horizontal="center" vertical="center"/>
    </xf>
    <xf numFmtId="0" fontId="5" fillId="0" borderId="41" xfId="9" applyFont="1" applyBorder="1" applyAlignment="1">
      <alignment horizontal="center" vertical="center"/>
    </xf>
    <xf numFmtId="189" fontId="5" fillId="0" borderId="31" xfId="9" quotePrefix="1" applyNumberFormat="1" applyFont="1" applyBorder="1" applyAlignment="1">
      <alignment horizontal="center" vertical="center"/>
    </xf>
    <xf numFmtId="189" fontId="5" fillId="0" borderId="12" xfId="9" quotePrefix="1" applyNumberFormat="1" applyFont="1" applyBorder="1" applyAlignment="1">
      <alignment horizontal="center" vertical="center"/>
    </xf>
    <xf numFmtId="189" fontId="5" fillId="0" borderId="13" xfId="9" quotePrefix="1" applyNumberFormat="1" applyFont="1" applyBorder="1" applyAlignment="1">
      <alignment horizontal="center" vertical="center"/>
    </xf>
    <xf numFmtId="183" fontId="5" fillId="0" borderId="31" xfId="9" quotePrefix="1" applyNumberFormat="1" applyFont="1" applyBorder="1" applyAlignment="1">
      <alignment horizontal="center" vertical="center"/>
    </xf>
    <xf numFmtId="183" fontId="5" fillId="0" borderId="12" xfId="9" quotePrefix="1" applyNumberFormat="1" applyFont="1" applyBorder="1" applyAlignment="1">
      <alignment horizontal="center" vertical="center"/>
    </xf>
    <xf numFmtId="183" fontId="5" fillId="0" borderId="13" xfId="9" quotePrefix="1" applyNumberFormat="1" applyFont="1" applyBorder="1" applyAlignment="1">
      <alignment horizontal="center" vertical="center"/>
    </xf>
    <xf numFmtId="0" fontId="5" fillId="0" borderId="0" xfId="9" applyFont="1" applyAlignment="1">
      <alignment horizontal="center"/>
    </xf>
    <xf numFmtId="0" fontId="5" fillId="0" borderId="106" xfId="9" quotePrefix="1" applyFont="1" applyBorder="1" applyAlignment="1">
      <alignment horizontal="center" vertical="center"/>
    </xf>
    <xf numFmtId="0" fontId="5" fillId="0" borderId="122" xfId="9" quotePrefix="1" applyFont="1" applyBorder="1" applyAlignment="1">
      <alignment horizontal="center" vertical="center"/>
    </xf>
    <xf numFmtId="189" fontId="5" fillId="0" borderId="32" xfId="9" quotePrefix="1" applyNumberFormat="1" applyFont="1" applyBorder="1" applyAlignment="1">
      <alignment horizontal="center" vertical="center"/>
    </xf>
    <xf numFmtId="189" fontId="5" fillId="0" borderId="15" xfId="9" quotePrefix="1" applyNumberFormat="1" applyFont="1" applyBorder="1" applyAlignment="1">
      <alignment horizontal="center" vertical="center"/>
    </xf>
    <xf numFmtId="189" fontId="5" fillId="0" borderId="16" xfId="9" quotePrefix="1" applyNumberFormat="1" applyFont="1" applyBorder="1" applyAlignment="1">
      <alignment horizontal="center" vertical="center"/>
    </xf>
    <xf numFmtId="183" fontId="5" fillId="0" borderId="32" xfId="9" quotePrefix="1" applyNumberFormat="1" applyFont="1" applyBorder="1" applyAlignment="1">
      <alignment horizontal="center" vertical="center"/>
    </xf>
    <xf numFmtId="183" fontId="5" fillId="0" borderId="15" xfId="9" quotePrefix="1" applyNumberFormat="1" applyFont="1" applyBorder="1" applyAlignment="1">
      <alignment horizontal="center" vertical="center"/>
    </xf>
    <xf numFmtId="183" fontId="5" fillId="0" borderId="16" xfId="9" quotePrefix="1" applyNumberFormat="1" applyFont="1" applyBorder="1" applyAlignment="1">
      <alignment horizontal="center" vertical="center"/>
    </xf>
    <xf numFmtId="0" fontId="5" fillId="0" borderId="116" xfId="9" applyFont="1" applyBorder="1"/>
    <xf numFmtId="189" fontId="5" fillId="0" borderId="122" xfId="9" quotePrefix="1" applyNumberFormat="1" applyFont="1" applyBorder="1" applyAlignment="1">
      <alignment horizontal="center" vertical="center"/>
    </xf>
    <xf numFmtId="2" fontId="5" fillId="0" borderId="100" xfId="9" quotePrefix="1" applyNumberFormat="1" applyFont="1" applyBorder="1" applyAlignment="1">
      <alignment horizontal="center" vertical="center"/>
    </xf>
    <xf numFmtId="189" fontId="5" fillId="0" borderId="63" xfId="9" quotePrefix="1" applyNumberFormat="1" applyFont="1" applyBorder="1" applyAlignment="1">
      <alignment horizontal="center" vertical="center"/>
    </xf>
    <xf numFmtId="189" fontId="5" fillId="0" borderId="64" xfId="9" quotePrefix="1" applyNumberFormat="1" applyFont="1" applyBorder="1" applyAlignment="1">
      <alignment horizontal="center" vertical="center"/>
    </xf>
    <xf numFmtId="189" fontId="5" fillId="0" borderId="65" xfId="9" quotePrefix="1" applyNumberFormat="1" applyFont="1" applyBorder="1" applyAlignment="1">
      <alignment horizontal="center" vertical="center"/>
    </xf>
    <xf numFmtId="0" fontId="5" fillId="0" borderId="97" xfId="9" quotePrefix="1" applyFont="1" applyBorder="1" applyAlignment="1">
      <alignment horizontal="center" vertical="center"/>
    </xf>
    <xf numFmtId="0" fontId="22" fillId="0" borderId="106" xfId="9" applyFont="1" applyBorder="1"/>
    <xf numFmtId="0" fontId="22" fillId="0" borderId="0" xfId="9" applyFont="1" applyAlignment="1">
      <alignment horizontal="center"/>
    </xf>
    <xf numFmtId="0" fontId="22" fillId="0" borderId="0" xfId="9" applyFont="1"/>
    <xf numFmtId="2" fontId="5" fillId="0" borderId="87" xfId="9" quotePrefix="1" applyNumberFormat="1" applyFont="1" applyBorder="1" applyAlignment="1">
      <alignment horizontal="center" vertical="center"/>
    </xf>
    <xf numFmtId="189" fontId="5" fillId="0" borderId="33" xfId="9" quotePrefix="1" applyNumberFormat="1" applyFont="1" applyBorder="1" applyAlignment="1">
      <alignment horizontal="center" vertical="center"/>
    </xf>
    <xf numFmtId="189" fontId="5" fillId="0" borderId="18" xfId="9" quotePrefix="1" applyNumberFormat="1" applyFont="1" applyBorder="1" applyAlignment="1">
      <alignment horizontal="center" vertical="center"/>
    </xf>
    <xf numFmtId="189" fontId="5" fillId="0" borderId="19" xfId="9" quotePrefix="1" applyNumberFormat="1" applyFont="1" applyBorder="1" applyAlignment="1">
      <alignment horizontal="center" vertical="center"/>
    </xf>
    <xf numFmtId="0" fontId="5" fillId="0" borderId="87" xfId="9" quotePrefix="1" applyFont="1" applyBorder="1" applyAlignment="1">
      <alignment horizontal="center" vertical="center"/>
    </xf>
    <xf numFmtId="183" fontId="5" fillId="0" borderId="33" xfId="9" quotePrefix="1" applyNumberFormat="1" applyFont="1" applyBorder="1" applyAlignment="1">
      <alignment horizontal="center" vertical="center"/>
    </xf>
    <xf numFmtId="183" fontId="5" fillId="0" borderId="18" xfId="9" quotePrefix="1" applyNumberFormat="1" applyFont="1" applyBorder="1" applyAlignment="1">
      <alignment horizontal="center" vertical="center"/>
    </xf>
    <xf numFmtId="183" fontId="5" fillId="0" borderId="19" xfId="9" quotePrefix="1" applyNumberFormat="1" applyFont="1" applyBorder="1" applyAlignment="1">
      <alignment horizontal="center" vertical="center"/>
    </xf>
    <xf numFmtId="0" fontId="5" fillId="0" borderId="106" xfId="9" applyFont="1" applyBorder="1"/>
    <xf numFmtId="2" fontId="5" fillId="0" borderId="82" xfId="9" quotePrefix="1" applyNumberFormat="1" applyFont="1" applyBorder="1" applyAlignment="1">
      <alignment horizontal="center" vertical="center"/>
    </xf>
    <xf numFmtId="183" fontId="5" fillId="0" borderId="77" xfId="9" quotePrefix="1" applyNumberFormat="1" applyFont="1" applyBorder="1" applyAlignment="1">
      <alignment horizontal="center" vertical="center"/>
    </xf>
    <xf numFmtId="189" fontId="5" fillId="0" borderId="77" xfId="9" quotePrefix="1" applyNumberFormat="1" applyFont="1" applyBorder="1" applyAlignment="1">
      <alignment horizontal="center" vertical="center"/>
    </xf>
    <xf numFmtId="2" fontId="22" fillId="0" borderId="87" xfId="9" quotePrefix="1" applyNumberFormat="1" applyFont="1" applyBorder="1" applyAlignment="1">
      <alignment horizontal="center" vertical="center"/>
    </xf>
    <xf numFmtId="189" fontId="22" fillId="0" borderId="33" xfId="9" quotePrefix="1" applyNumberFormat="1" applyFont="1" applyBorder="1" applyAlignment="1">
      <alignment horizontal="center" vertical="center"/>
    </xf>
    <xf numFmtId="189" fontId="22" fillId="0" borderId="18" xfId="9" quotePrefix="1" applyNumberFormat="1" applyFont="1" applyBorder="1" applyAlignment="1">
      <alignment horizontal="center" vertical="center"/>
    </xf>
    <xf numFmtId="189" fontId="22" fillId="0" borderId="19" xfId="9" quotePrefix="1" applyNumberFormat="1" applyFont="1" applyBorder="1" applyAlignment="1">
      <alignment horizontal="center" vertical="center"/>
    </xf>
    <xf numFmtId="183" fontId="22" fillId="0" borderId="33" xfId="9" quotePrefix="1" applyNumberFormat="1" applyFont="1" applyBorder="1" applyAlignment="1">
      <alignment horizontal="center" vertical="center"/>
    </xf>
    <xf numFmtId="183" fontId="22" fillId="0" borderId="18" xfId="9" quotePrefix="1" applyNumberFormat="1" applyFont="1" applyBorder="1" applyAlignment="1">
      <alignment horizontal="center" vertical="center"/>
    </xf>
    <xf numFmtId="183" fontId="22" fillId="0" borderId="19" xfId="9" quotePrefix="1" applyNumberFormat="1" applyFont="1" applyBorder="1" applyAlignment="1">
      <alignment horizontal="center" vertical="center"/>
    </xf>
    <xf numFmtId="2" fontId="22" fillId="0" borderId="82" xfId="9" quotePrefix="1" applyNumberFormat="1" applyFont="1" applyBorder="1" applyAlignment="1">
      <alignment horizontal="center" vertical="center"/>
    </xf>
    <xf numFmtId="189" fontId="22" fillId="0" borderId="31" xfId="9" quotePrefix="1" applyNumberFormat="1" applyFont="1" applyBorder="1" applyAlignment="1">
      <alignment horizontal="center" vertical="center"/>
    </xf>
    <xf numFmtId="189" fontId="22" fillId="0" borderId="12" xfId="9" quotePrefix="1" applyNumberFormat="1" applyFont="1" applyBorder="1" applyAlignment="1">
      <alignment horizontal="center" vertical="center"/>
    </xf>
    <xf numFmtId="189" fontId="22" fillId="0" borderId="13" xfId="9" quotePrefix="1" applyNumberFormat="1" applyFont="1" applyBorder="1" applyAlignment="1">
      <alignment horizontal="center" vertical="center"/>
    </xf>
    <xf numFmtId="183" fontId="22" fillId="0" borderId="31" xfId="9" quotePrefix="1" applyNumberFormat="1" applyFont="1" applyBorder="1" applyAlignment="1">
      <alignment horizontal="center" vertical="center"/>
    </xf>
    <xf numFmtId="183" fontId="22" fillId="0" borderId="12" xfId="9" quotePrefix="1" applyNumberFormat="1" applyFont="1" applyBorder="1" applyAlignment="1">
      <alignment horizontal="center" vertical="center"/>
    </xf>
    <xf numFmtId="183" fontId="22" fillId="0" borderId="13" xfId="9" quotePrefix="1" applyNumberFormat="1" applyFont="1" applyBorder="1" applyAlignment="1">
      <alignment horizontal="center" vertical="center"/>
    </xf>
    <xf numFmtId="2" fontId="22" fillId="0" borderId="0" xfId="9" applyNumberFormat="1" applyFont="1"/>
    <xf numFmtId="2" fontId="22" fillId="0" borderId="0" xfId="9" applyNumberFormat="1" applyFont="1" applyAlignment="1">
      <alignment horizontal="center"/>
    </xf>
    <xf numFmtId="2" fontId="22" fillId="0" borderId="41" xfId="9" quotePrefix="1" applyNumberFormat="1" applyFont="1" applyBorder="1" applyAlignment="1">
      <alignment horizontal="center" vertical="center"/>
    </xf>
    <xf numFmtId="189" fontId="22" fillId="0" borderId="30" xfId="9" quotePrefix="1" applyNumberFormat="1" applyFont="1" applyBorder="1" applyAlignment="1">
      <alignment horizontal="center" vertical="center"/>
    </xf>
    <xf numFmtId="189" fontId="22" fillId="0" borderId="10" xfId="9" quotePrefix="1" applyNumberFormat="1" applyFont="1" applyBorder="1" applyAlignment="1">
      <alignment horizontal="center" vertical="center"/>
    </xf>
    <xf numFmtId="189" fontId="22" fillId="0" borderId="11" xfId="9" quotePrefix="1" applyNumberFormat="1" applyFont="1" applyBorder="1" applyAlignment="1">
      <alignment horizontal="center" vertical="center"/>
    </xf>
    <xf numFmtId="183" fontId="22" fillId="0" borderId="30" xfId="9" quotePrefix="1" applyNumberFormat="1" applyFont="1" applyBorder="1" applyAlignment="1">
      <alignment horizontal="center" vertical="center"/>
    </xf>
    <xf numFmtId="183" fontId="22" fillId="0" borderId="10" xfId="9" quotePrefix="1" applyNumberFormat="1" applyFont="1" applyBorder="1" applyAlignment="1">
      <alignment horizontal="center" vertical="center"/>
    </xf>
    <xf numFmtId="204" fontId="22" fillId="0" borderId="10" xfId="9" quotePrefix="1" applyNumberFormat="1" applyFont="1" applyBorder="1" applyAlignment="1">
      <alignment horizontal="center" vertical="center"/>
    </xf>
    <xf numFmtId="183" fontId="22" fillId="0" borderId="11" xfId="9" quotePrefix="1" applyNumberFormat="1" applyFont="1" applyBorder="1" applyAlignment="1">
      <alignment horizontal="center" vertical="center"/>
    </xf>
    <xf numFmtId="189" fontId="22" fillId="0" borderId="0" xfId="9" quotePrefix="1" applyNumberFormat="1" applyFont="1" applyAlignment="1">
      <alignment vertical="center"/>
    </xf>
    <xf numFmtId="189" fontId="22" fillId="0" borderId="0" xfId="9" quotePrefix="1" applyNumberFormat="1" applyFont="1" applyAlignment="1">
      <alignment horizontal="center" vertical="center"/>
    </xf>
    <xf numFmtId="183" fontId="22" fillId="0" borderId="0" xfId="9" quotePrefix="1" applyNumberFormat="1" applyFont="1" applyAlignment="1">
      <alignment horizontal="center" vertical="center"/>
    </xf>
    <xf numFmtId="0" fontId="5" fillId="0" borderId="0" xfId="9" applyFont="1" applyAlignment="1">
      <alignment horizontal="left" vertical="center"/>
    </xf>
    <xf numFmtId="176" fontId="5" fillId="0" borderId="0" xfId="9" applyNumberFormat="1" applyFont="1" applyAlignment="1">
      <alignment horizontal="right" vertical="center"/>
    </xf>
    <xf numFmtId="203" fontId="5" fillId="0" borderId="0" xfId="9" applyNumberFormat="1" applyFont="1" applyAlignment="1">
      <alignment horizontal="right" vertical="center"/>
    </xf>
    <xf numFmtId="189" fontId="8" fillId="0" borderId="0" xfId="9" applyNumberFormat="1" applyFont="1"/>
    <xf numFmtId="0" fontId="5" fillId="0" borderId="72" xfId="2" applyFont="1" applyBorder="1" applyAlignment="1">
      <alignment horizontal="centerContinuous" vertical="center"/>
    </xf>
    <xf numFmtId="0" fontId="5" fillId="0" borderId="109" xfId="2" applyFont="1" applyBorder="1" applyAlignment="1">
      <alignment horizontal="centerContinuous" vertical="center"/>
    </xf>
    <xf numFmtId="0" fontId="5" fillId="0" borderId="58" xfId="2" applyFont="1" applyBorder="1" applyAlignment="1">
      <alignment horizontal="center" vertical="center"/>
    </xf>
    <xf numFmtId="176" fontId="5" fillId="0" borderId="31" xfId="2" quotePrefix="1" applyNumberFormat="1" applyFont="1" applyBorder="1" applyAlignment="1">
      <alignment horizontal="center" vertical="center"/>
    </xf>
    <xf numFmtId="176" fontId="5" fillId="0" borderId="77" xfId="2" quotePrefix="1" applyNumberFormat="1" applyFont="1" applyBorder="1" applyAlignment="1">
      <alignment horizontal="center" vertical="center"/>
    </xf>
    <xf numFmtId="176" fontId="5" fillId="0" borderId="12" xfId="2" quotePrefix="1" applyNumberFormat="1" applyFont="1" applyBorder="1" applyAlignment="1">
      <alignment horizontal="center" vertical="center"/>
    </xf>
    <xf numFmtId="176" fontId="5" fillId="0" borderId="13" xfId="2" quotePrefix="1" applyNumberFormat="1" applyFont="1" applyBorder="1" applyAlignment="1">
      <alignment horizontal="center" vertical="center"/>
    </xf>
    <xf numFmtId="203" fontId="5" fillId="0" borderId="31" xfId="2" quotePrefix="1" applyNumberFormat="1" applyFont="1" applyBorder="1" applyAlignment="1">
      <alignment horizontal="center" vertical="center"/>
    </xf>
    <xf numFmtId="203" fontId="5" fillId="0" borderId="77" xfId="2" quotePrefix="1" applyNumberFormat="1" applyFont="1" applyBorder="1" applyAlignment="1">
      <alignment horizontal="center" vertical="center"/>
    </xf>
    <xf numFmtId="203" fontId="5" fillId="0" borderId="12" xfId="2" quotePrefix="1" applyNumberFormat="1" applyFont="1" applyBorder="1" applyAlignment="1">
      <alignment horizontal="center" vertical="center"/>
    </xf>
    <xf numFmtId="203" fontId="5" fillId="0" borderId="13" xfId="2" quotePrefix="1" applyNumberFormat="1" applyFont="1" applyBorder="1" applyAlignment="1">
      <alignment horizontal="center" vertical="center"/>
    </xf>
    <xf numFmtId="189" fontId="5" fillId="0" borderId="31" xfId="8" quotePrefix="1" applyNumberFormat="1" applyFont="1" applyFill="1" applyBorder="1" applyAlignment="1">
      <alignment horizontal="center" vertical="center"/>
    </xf>
    <xf numFmtId="176" fontId="5" fillId="0" borderId="77" xfId="9" quotePrefix="1" applyNumberFormat="1" applyFont="1" applyBorder="1" applyAlignment="1">
      <alignment horizontal="center" vertical="center"/>
    </xf>
    <xf numFmtId="176" fontId="5" fillId="0" borderId="12" xfId="9" quotePrefix="1" applyNumberFormat="1" applyFont="1" applyBorder="1" applyAlignment="1">
      <alignment horizontal="center" vertical="center"/>
    </xf>
    <xf numFmtId="176" fontId="5" fillId="0" borderId="13" xfId="9" quotePrefix="1" applyNumberFormat="1" applyFont="1" applyBorder="1" applyAlignment="1">
      <alignment horizontal="center" vertical="center"/>
    </xf>
    <xf numFmtId="203" fontId="5" fillId="0" borderId="77" xfId="9" quotePrefix="1" applyNumberFormat="1" applyFont="1" applyBorder="1" applyAlignment="1">
      <alignment horizontal="center" vertical="center"/>
    </xf>
    <xf numFmtId="203" fontId="5" fillId="0" borderId="12" xfId="9" quotePrefix="1" applyNumberFormat="1" applyFont="1" applyBorder="1" applyAlignment="1">
      <alignment horizontal="center" vertical="center"/>
    </xf>
    <xf numFmtId="203" fontId="5" fillId="0" borderId="13" xfId="9" quotePrefix="1" applyNumberFormat="1" applyFont="1" applyBorder="1" applyAlignment="1">
      <alignment horizontal="center" vertical="center"/>
    </xf>
    <xf numFmtId="203" fontId="5" fillId="0" borderId="106" xfId="9" quotePrefix="1" applyNumberFormat="1" applyFont="1" applyBorder="1" applyAlignment="1">
      <alignment horizontal="center" vertical="center"/>
    </xf>
    <xf numFmtId="0" fontId="5" fillId="0" borderId="100" xfId="2" quotePrefix="1" applyFont="1" applyBorder="1" applyAlignment="1">
      <alignment horizontal="center" vertical="center"/>
    </xf>
    <xf numFmtId="176" fontId="5" fillId="0" borderId="32" xfId="2" quotePrefix="1" applyNumberFormat="1" applyFont="1" applyBorder="1" applyAlignment="1">
      <alignment horizontal="center" vertical="center"/>
    </xf>
    <xf numFmtId="176" fontId="5" fillId="0" borderId="62" xfId="2" quotePrefix="1" applyNumberFormat="1" applyFont="1" applyBorder="1" applyAlignment="1">
      <alignment horizontal="center" vertical="center"/>
    </xf>
    <xf numFmtId="176" fontId="5" fillId="0" borderId="15" xfId="2" quotePrefix="1" applyNumberFormat="1" applyFont="1" applyBorder="1" applyAlignment="1">
      <alignment horizontal="center" vertical="center"/>
    </xf>
    <xf numFmtId="176" fontId="5" fillId="0" borderId="16" xfId="2" quotePrefix="1" applyNumberFormat="1" applyFont="1" applyBorder="1" applyAlignment="1">
      <alignment horizontal="center" vertical="center"/>
    </xf>
    <xf numFmtId="203" fontId="5" fillId="0" borderId="32" xfId="2" quotePrefix="1" applyNumberFormat="1" applyFont="1" applyBorder="1" applyAlignment="1">
      <alignment horizontal="center" vertical="center"/>
    </xf>
    <xf numFmtId="203" fontId="5" fillId="0" borderId="62" xfId="2" quotePrefix="1" applyNumberFormat="1" applyFont="1" applyBorder="1" applyAlignment="1">
      <alignment horizontal="center" vertical="center"/>
    </xf>
    <xf numFmtId="203" fontId="5" fillId="0" borderId="15" xfId="2" quotePrefix="1" applyNumberFormat="1" applyFont="1" applyBorder="1" applyAlignment="1">
      <alignment horizontal="center" vertical="center"/>
    </xf>
    <xf numFmtId="203" fontId="5" fillId="0" borderId="16" xfId="2" quotePrefix="1" applyNumberFormat="1" applyFont="1" applyBorder="1" applyAlignment="1">
      <alignment horizontal="center" vertical="center"/>
    </xf>
    <xf numFmtId="176" fontId="5" fillId="0" borderId="33" xfId="2" quotePrefix="1" applyNumberFormat="1" applyFont="1" applyBorder="1" applyAlignment="1">
      <alignment horizontal="center" vertical="center"/>
    </xf>
    <xf numFmtId="176" fontId="5" fillId="0" borderId="85" xfId="2" quotePrefix="1" applyNumberFormat="1" applyFont="1" applyBorder="1" applyAlignment="1">
      <alignment horizontal="center" vertical="center"/>
    </xf>
    <xf numFmtId="176" fontId="5" fillId="0" borderId="18" xfId="2" quotePrefix="1" applyNumberFormat="1" applyFont="1" applyBorder="1" applyAlignment="1">
      <alignment horizontal="center" vertical="center"/>
    </xf>
    <xf numFmtId="176" fontId="5" fillId="0" borderId="19" xfId="2" quotePrefix="1" applyNumberFormat="1" applyFont="1" applyBorder="1" applyAlignment="1">
      <alignment horizontal="center" vertical="center"/>
    </xf>
    <xf numFmtId="203" fontId="5" fillId="0" borderId="33" xfId="2" quotePrefix="1" applyNumberFormat="1" applyFont="1" applyBorder="1" applyAlignment="1">
      <alignment horizontal="center" vertical="center"/>
    </xf>
    <xf numFmtId="203" fontId="5" fillId="0" borderId="85" xfId="2" quotePrefix="1" applyNumberFormat="1" applyFont="1" applyBorder="1" applyAlignment="1">
      <alignment horizontal="center" vertical="center"/>
    </xf>
    <xf numFmtId="203" fontId="5" fillId="0" borderId="18" xfId="2" quotePrefix="1" applyNumberFormat="1" applyFont="1" applyBorder="1" applyAlignment="1">
      <alignment horizontal="center" vertical="center"/>
    </xf>
    <xf numFmtId="203" fontId="5" fillId="0" borderId="19" xfId="2" quotePrefix="1" applyNumberFormat="1" applyFont="1" applyBorder="1" applyAlignment="1">
      <alignment horizontal="center" vertical="center"/>
    </xf>
    <xf numFmtId="0" fontId="22" fillId="0" borderId="106" xfId="2" applyFont="1" applyBorder="1"/>
    <xf numFmtId="0" fontId="5" fillId="0" borderId="106" xfId="2" applyFont="1" applyBorder="1"/>
    <xf numFmtId="176" fontId="22" fillId="0" borderId="33" xfId="2" quotePrefix="1" applyNumberFormat="1" applyFont="1" applyBorder="1" applyAlignment="1">
      <alignment horizontal="center" vertical="center"/>
    </xf>
    <xf numFmtId="176" fontId="22" fillId="0" borderId="85" xfId="2" quotePrefix="1" applyNumberFormat="1" applyFont="1" applyBorder="1" applyAlignment="1">
      <alignment horizontal="center" vertical="center"/>
    </xf>
    <xf numFmtId="176" fontId="22" fillId="0" borderId="18" xfId="2" quotePrefix="1" applyNumberFormat="1" applyFont="1" applyBorder="1" applyAlignment="1">
      <alignment horizontal="center" vertical="center"/>
    </xf>
    <xf numFmtId="176" fontId="22" fillId="0" borderId="19" xfId="2" quotePrefix="1" applyNumberFormat="1" applyFont="1" applyBorder="1" applyAlignment="1">
      <alignment horizontal="center" vertical="center"/>
    </xf>
    <xf numFmtId="203" fontId="22" fillId="0" borderId="33" xfId="2" quotePrefix="1" applyNumberFormat="1" applyFont="1" applyBorder="1" applyAlignment="1">
      <alignment horizontal="center" vertical="center"/>
    </xf>
    <xf numFmtId="203" fontId="22" fillId="0" borderId="85" xfId="2" quotePrefix="1" applyNumberFormat="1" applyFont="1" applyBorder="1" applyAlignment="1">
      <alignment horizontal="center" vertical="center"/>
    </xf>
    <xf numFmtId="203" fontId="22" fillId="0" borderId="18" xfId="2" quotePrefix="1" applyNumberFormat="1" applyFont="1" applyBorder="1" applyAlignment="1">
      <alignment horizontal="center" vertical="center"/>
    </xf>
    <xf numFmtId="203" fontId="22" fillId="0" borderId="19" xfId="2" quotePrefix="1" applyNumberFormat="1" applyFont="1" applyBorder="1" applyAlignment="1">
      <alignment horizontal="center" vertical="center"/>
    </xf>
    <xf numFmtId="176" fontId="22" fillId="0" borderId="30" xfId="2" quotePrefix="1" applyNumberFormat="1" applyFont="1" applyBorder="1" applyAlignment="1">
      <alignment horizontal="center" vertical="center"/>
    </xf>
    <xf numFmtId="176" fontId="22" fillId="0" borderId="42" xfId="2" quotePrefix="1" applyNumberFormat="1" applyFont="1" applyBorder="1" applyAlignment="1">
      <alignment horizontal="center" vertical="center"/>
    </xf>
    <xf numFmtId="176" fontId="22" fillId="0" borderId="10" xfId="2" quotePrefix="1" applyNumberFormat="1" applyFont="1" applyBorder="1" applyAlignment="1">
      <alignment horizontal="center" vertical="center"/>
    </xf>
    <xf numFmtId="176" fontId="22" fillId="0" borderId="11" xfId="2" quotePrefix="1" applyNumberFormat="1" applyFont="1" applyBorder="1" applyAlignment="1">
      <alignment horizontal="center" vertical="center"/>
    </xf>
    <xf numFmtId="203" fontId="22" fillId="0" borderId="30" xfId="2" quotePrefix="1" applyNumberFormat="1" applyFont="1" applyBorder="1" applyAlignment="1">
      <alignment horizontal="center" vertical="center"/>
    </xf>
    <xf numFmtId="203" fontId="22" fillId="0" borderId="42" xfId="2" quotePrefix="1" applyNumberFormat="1" applyFont="1" applyBorder="1" applyAlignment="1">
      <alignment horizontal="center" vertical="center"/>
    </xf>
    <xf numFmtId="203" fontId="22" fillId="0" borderId="10" xfId="2" quotePrefix="1" applyNumberFormat="1" applyFont="1" applyBorder="1" applyAlignment="1">
      <alignment horizontal="center" vertical="center"/>
    </xf>
    <xf numFmtId="203" fontId="22" fillId="0" borderId="11" xfId="2" quotePrefix="1" applyNumberFormat="1" applyFont="1" applyBorder="1" applyAlignment="1">
      <alignment horizontal="center" vertical="center"/>
    </xf>
    <xf numFmtId="189" fontId="22" fillId="0" borderId="0" xfId="8" quotePrefix="1" applyNumberFormat="1" applyFont="1" applyFill="1" applyBorder="1" applyAlignment="1">
      <alignment vertical="center"/>
    </xf>
    <xf numFmtId="189" fontId="22" fillId="0" borderId="0" xfId="8" quotePrefix="1" applyNumberFormat="1" applyFont="1" applyFill="1" applyBorder="1" applyAlignment="1">
      <alignment horizontal="center" vertical="center"/>
    </xf>
    <xf numFmtId="183" fontId="22" fillId="0" borderId="0" xfId="8" quotePrefix="1" applyNumberFormat="1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5" fillId="0" borderId="73" xfId="2" applyFont="1" applyBorder="1" applyAlignment="1">
      <alignment horizontal="centerContinuous" vertical="center"/>
    </xf>
    <xf numFmtId="0" fontId="5" fillId="0" borderId="67" xfId="2" applyFont="1" applyBorder="1" applyAlignment="1">
      <alignment horizontal="centerContinuous" vertical="center"/>
    </xf>
    <xf numFmtId="183" fontId="5" fillId="0" borderId="106" xfId="8" applyNumberFormat="1" applyFont="1" applyFill="1" applyBorder="1" applyAlignment="1">
      <alignment horizontal="center" vertical="center"/>
    </xf>
    <xf numFmtId="183" fontId="5" fillId="0" borderId="12" xfId="8" applyNumberFormat="1" applyFont="1" applyFill="1" applyBorder="1" applyAlignment="1">
      <alignment horizontal="center" vertical="center"/>
    </xf>
    <xf numFmtId="183" fontId="5" fillId="0" borderId="13" xfId="8" applyNumberFormat="1" applyFont="1" applyFill="1" applyBorder="1" applyAlignment="1">
      <alignment horizontal="center" vertical="center"/>
    </xf>
    <xf numFmtId="0" fontId="5" fillId="0" borderId="97" xfId="2" quotePrefix="1" applyFont="1" applyBorder="1" applyAlignment="1">
      <alignment horizontal="center" vertical="center"/>
    </xf>
    <xf numFmtId="183" fontId="5" fillId="0" borderId="120" xfId="8" applyNumberFormat="1" applyFont="1" applyFill="1" applyBorder="1" applyAlignment="1">
      <alignment horizontal="center" vertical="center"/>
    </xf>
    <xf numFmtId="183" fontId="5" fillId="0" borderId="64" xfId="8" applyNumberFormat="1" applyFont="1" applyFill="1" applyBorder="1" applyAlignment="1">
      <alignment horizontal="center" vertical="center"/>
    </xf>
    <xf numFmtId="183" fontId="5" fillId="0" borderId="65" xfId="8" applyNumberFormat="1" applyFont="1" applyFill="1" applyBorder="1" applyAlignment="1">
      <alignment horizontal="center" vertical="center"/>
    </xf>
    <xf numFmtId="183" fontId="5" fillId="0" borderId="104" xfId="8" applyNumberFormat="1" applyFont="1" applyFill="1" applyBorder="1" applyAlignment="1">
      <alignment horizontal="center" vertical="center"/>
    </xf>
    <xf numFmtId="183" fontId="5" fillId="0" borderId="18" xfId="8" applyNumberFormat="1" applyFont="1" applyFill="1" applyBorder="1" applyAlignment="1">
      <alignment horizontal="center" vertical="center"/>
    </xf>
    <xf numFmtId="183" fontId="5" fillId="0" borderId="19" xfId="8" applyNumberFormat="1" applyFont="1" applyFill="1" applyBorder="1" applyAlignment="1">
      <alignment horizontal="center" vertical="center"/>
    </xf>
    <xf numFmtId="183" fontId="22" fillId="0" borderId="104" xfId="8" applyNumberFormat="1" applyFont="1" applyFill="1" applyBorder="1" applyAlignment="1">
      <alignment horizontal="center" vertical="center"/>
    </xf>
    <xf numFmtId="183" fontId="22" fillId="0" borderId="18" xfId="8" applyNumberFormat="1" applyFont="1" applyFill="1" applyBorder="1" applyAlignment="1">
      <alignment horizontal="center" vertical="center"/>
    </xf>
    <xf numFmtId="183" fontId="22" fillId="0" borderId="19" xfId="8" applyNumberFormat="1" applyFont="1" applyFill="1" applyBorder="1" applyAlignment="1">
      <alignment horizontal="center" vertical="center"/>
    </xf>
    <xf numFmtId="2" fontId="22" fillId="0" borderId="82" xfId="2" quotePrefix="1" applyNumberFormat="1" applyFont="1" applyBorder="1" applyAlignment="1">
      <alignment horizontal="center" vertical="center"/>
    </xf>
    <xf numFmtId="183" fontId="22" fillId="0" borderId="106" xfId="8" applyNumberFormat="1" applyFont="1" applyFill="1" applyBorder="1" applyAlignment="1">
      <alignment horizontal="center" vertical="center"/>
    </xf>
    <xf numFmtId="183" fontId="22" fillId="0" borderId="12" xfId="8" applyNumberFormat="1" applyFont="1" applyFill="1" applyBorder="1" applyAlignment="1">
      <alignment horizontal="center" vertical="center"/>
    </xf>
    <xf numFmtId="183" fontId="22" fillId="0" borderId="13" xfId="8" applyNumberFormat="1" applyFont="1" applyFill="1" applyBorder="1" applyAlignment="1">
      <alignment horizontal="center" vertical="center"/>
    </xf>
    <xf numFmtId="0" fontId="5" fillId="0" borderId="36" xfId="2" applyFont="1" applyBorder="1"/>
    <xf numFmtId="0" fontId="40" fillId="0" borderId="72" xfId="2" applyFont="1" applyBorder="1" applyAlignment="1">
      <alignment horizontal="center" vertical="center" wrapText="1"/>
    </xf>
    <xf numFmtId="0" fontId="40" fillId="0" borderId="92" xfId="2" applyFont="1" applyBorder="1" applyAlignment="1">
      <alignment horizontal="center" vertical="center" wrapText="1"/>
    </xf>
    <xf numFmtId="0" fontId="40" fillId="0" borderId="38" xfId="2" applyFont="1" applyBorder="1" applyAlignment="1">
      <alignment horizontal="center" vertical="center" wrapText="1"/>
    </xf>
    <xf numFmtId="0" fontId="39" fillId="0" borderId="69" xfId="2" applyFont="1" applyBorder="1" applyAlignment="1">
      <alignment horizontal="center" vertical="center"/>
    </xf>
    <xf numFmtId="0" fontId="39" fillId="0" borderId="68" xfId="2" applyFont="1" applyBorder="1" applyAlignment="1">
      <alignment horizontal="center" vertical="center"/>
    </xf>
    <xf numFmtId="0" fontId="39" fillId="0" borderId="72" xfId="2" applyFont="1" applyBorder="1" applyAlignment="1" applyProtection="1">
      <alignment horizontal="center" vertical="center"/>
      <protection locked="0"/>
    </xf>
    <xf numFmtId="0" fontId="39" fillId="0" borderId="92" xfId="2" applyFont="1" applyBorder="1" applyAlignment="1" applyProtection="1">
      <alignment horizontal="center" vertical="center"/>
      <protection locked="0"/>
    </xf>
    <xf numFmtId="0" fontId="39" fillId="0" borderId="38" xfId="2" applyFont="1" applyBorder="1" applyAlignment="1" applyProtection="1">
      <alignment horizontal="center" vertical="center"/>
      <protection locked="0"/>
    </xf>
    <xf numFmtId="0" fontId="40" fillId="0" borderId="107" xfId="2" applyFont="1" applyBorder="1" applyAlignment="1">
      <alignment horizontal="center" vertical="center" wrapText="1"/>
    </xf>
    <xf numFmtId="0" fontId="40" fillId="0" borderId="43" xfId="2" applyFont="1" applyBorder="1" applyAlignment="1">
      <alignment horizontal="center" vertical="center" wrapText="1"/>
    </xf>
    <xf numFmtId="0" fontId="40" fillId="0" borderId="41" xfId="2" applyFont="1" applyBorder="1" applyAlignment="1">
      <alignment horizontal="center" vertical="center" wrapText="1"/>
    </xf>
    <xf numFmtId="0" fontId="39" fillId="0" borderId="33" xfId="2" applyFont="1" applyBorder="1" applyAlignment="1">
      <alignment horizontal="center" vertical="center" wrapText="1"/>
    </xf>
    <xf numFmtId="184" fontId="39" fillId="0" borderId="19" xfId="2" applyNumberFormat="1" applyFont="1" applyBorder="1" applyAlignment="1">
      <alignment horizontal="center" vertical="center" wrapText="1"/>
    </xf>
    <xf numFmtId="0" fontId="39" fillId="0" borderId="98" xfId="2" quotePrefix="1" applyFont="1" applyBorder="1" applyAlignment="1" applyProtection="1">
      <alignment horizontal="center" vertical="center" wrapText="1"/>
      <protection locked="0"/>
    </xf>
    <xf numFmtId="176" fontId="40" fillId="0" borderId="69" xfId="2" applyNumberFormat="1" applyFont="1" applyBorder="1" applyAlignment="1">
      <alignment horizontal="center" vertical="center"/>
    </xf>
    <xf numFmtId="195" fontId="40" fillId="0" borderId="96" xfId="8" applyNumberFormat="1" applyFont="1" applyFill="1" applyBorder="1" applyAlignment="1">
      <alignment horizontal="center" vertical="center"/>
    </xf>
    <xf numFmtId="184" fontId="39" fillId="0" borderId="69" xfId="8" applyNumberFormat="1" applyFont="1" applyFill="1" applyBorder="1" applyAlignment="1">
      <alignment horizontal="center" vertical="center"/>
    </xf>
    <xf numFmtId="184" fontId="39" fillId="0" borderId="56" xfId="8" applyNumberFormat="1" applyFont="1" applyFill="1" applyBorder="1" applyAlignment="1">
      <alignment horizontal="center" vertical="center"/>
    </xf>
    <xf numFmtId="184" fontId="39" fillId="0" borderId="54" xfId="8" applyNumberFormat="1" applyFont="1" applyFill="1" applyBorder="1" applyAlignment="1">
      <alignment horizontal="right" vertical="center"/>
    </xf>
    <xf numFmtId="177" fontId="39" fillId="0" borderId="33" xfId="8" applyNumberFormat="1" applyFont="1" applyFill="1" applyBorder="1" applyAlignment="1" applyProtection="1">
      <alignment vertical="center"/>
      <protection locked="0"/>
    </xf>
    <xf numFmtId="177" fontId="39" fillId="0" borderId="77" xfId="8" applyNumberFormat="1" applyFont="1" applyFill="1" applyBorder="1" applyAlignment="1" applyProtection="1">
      <alignment vertical="center"/>
      <protection locked="0"/>
    </xf>
    <xf numFmtId="177" fontId="39" fillId="0" borderId="96" xfId="8" applyNumberFormat="1" applyFont="1" applyFill="1" applyBorder="1" applyAlignment="1" applyProtection="1">
      <alignment vertical="center"/>
      <protection locked="0"/>
    </xf>
    <xf numFmtId="0" fontId="40" fillId="0" borderId="106" xfId="2" applyFont="1" applyBorder="1" applyAlignment="1">
      <alignment horizontal="center" vertical="center" wrapText="1"/>
    </xf>
    <xf numFmtId="0" fontId="40" fillId="0" borderId="80" xfId="2" applyFont="1" applyBorder="1" applyAlignment="1">
      <alignment horizontal="center" vertical="center" wrapText="1"/>
    </xf>
    <xf numFmtId="176" fontId="40" fillId="0" borderId="120" xfId="2" applyNumberFormat="1" applyFont="1" applyBorder="1" applyAlignment="1">
      <alignment horizontal="center" vertical="center"/>
    </xf>
    <xf numFmtId="195" fontId="40" fillId="0" borderId="97" xfId="8" applyNumberFormat="1" applyFont="1" applyFill="1" applyBorder="1" applyAlignment="1">
      <alignment horizontal="center" vertical="center"/>
    </xf>
    <xf numFmtId="184" fontId="39" fillId="0" borderId="120" xfId="8" applyNumberFormat="1" applyFont="1" applyFill="1" applyBorder="1" applyAlignment="1">
      <alignment horizontal="center" vertical="center"/>
    </xf>
    <xf numFmtId="184" fontId="39" fillId="0" borderId="65" xfId="8" applyNumberFormat="1" applyFont="1" applyFill="1" applyBorder="1" applyAlignment="1">
      <alignment horizontal="center" vertical="center"/>
    </xf>
    <xf numFmtId="184" fontId="39" fillId="0" borderId="63" xfId="8" applyNumberFormat="1" applyFont="1" applyFill="1" applyBorder="1" applyAlignment="1">
      <alignment horizontal="right" vertical="center"/>
    </xf>
    <xf numFmtId="190" fontId="39" fillId="0" borderId="75" xfId="8" applyNumberFormat="1" applyFont="1" applyFill="1" applyBorder="1" applyAlignment="1" applyProtection="1">
      <alignment vertical="center"/>
      <protection locked="0"/>
    </xf>
    <xf numFmtId="177" fontId="39" fillId="0" borderId="100" xfId="8" applyNumberFormat="1" applyFont="1" applyFill="1" applyBorder="1" applyAlignment="1" applyProtection="1">
      <alignment vertical="center"/>
      <protection locked="0"/>
    </xf>
    <xf numFmtId="184" fontId="39" fillId="0" borderId="120" xfId="8" applyNumberFormat="1" applyFont="1" applyFill="1" applyBorder="1" applyAlignment="1">
      <alignment horizontal="right" vertical="center"/>
    </xf>
    <xf numFmtId="177" fontId="39" fillId="0" borderId="65" xfId="8" applyNumberFormat="1" applyFont="1" applyFill="1" applyBorder="1" applyAlignment="1" applyProtection="1">
      <alignment vertical="center"/>
      <protection locked="0"/>
    </xf>
    <xf numFmtId="42" fontId="39" fillId="0" borderId="97" xfId="8" applyNumberFormat="1" applyFont="1" applyFill="1" applyBorder="1" applyAlignment="1" applyProtection="1">
      <alignment horizontal="right" vertical="center"/>
      <protection locked="0"/>
    </xf>
    <xf numFmtId="177" fontId="39" fillId="0" borderId="63" xfId="8" applyNumberFormat="1" applyFont="1" applyFill="1" applyBorder="1" applyAlignment="1" applyProtection="1">
      <alignment vertical="center"/>
      <protection locked="0"/>
    </xf>
    <xf numFmtId="176" fontId="40" fillId="0" borderId="118" xfId="2" applyNumberFormat="1" applyFont="1" applyBorder="1" applyAlignment="1">
      <alignment horizontal="center" vertical="center"/>
    </xf>
    <xf numFmtId="195" fontId="40" fillId="0" borderId="98" xfId="8" applyNumberFormat="1" applyFont="1" applyFill="1" applyBorder="1" applyAlignment="1">
      <alignment horizontal="center" vertical="center"/>
    </xf>
    <xf numFmtId="182" fontId="39" fillId="0" borderId="118" xfId="8" applyNumberFormat="1" applyFont="1" applyFill="1" applyBorder="1" applyAlignment="1">
      <alignment horizontal="center" vertical="center"/>
    </xf>
    <xf numFmtId="182" fontId="39" fillId="0" borderId="60" xfId="8" applyNumberFormat="1" applyFont="1" applyFill="1" applyBorder="1" applyAlignment="1">
      <alignment horizontal="center" vertical="center"/>
    </xf>
    <xf numFmtId="182" fontId="39" fillId="0" borderId="118" xfId="8" applyNumberFormat="1" applyFont="1" applyFill="1" applyBorder="1" applyAlignment="1">
      <alignment horizontal="right" vertical="center"/>
    </xf>
    <xf numFmtId="177" fontId="39" fillId="0" borderId="30" xfId="8" applyNumberFormat="1" applyFont="1" applyFill="1" applyBorder="1" applyAlignment="1" applyProtection="1">
      <alignment vertical="center"/>
      <protection locked="0"/>
    </xf>
    <xf numFmtId="177" fontId="39" fillId="0" borderId="60" xfId="8" applyNumberFormat="1" applyFont="1" applyFill="1" applyBorder="1" applyAlignment="1" applyProtection="1">
      <alignment vertical="center"/>
      <protection locked="0"/>
    </xf>
    <xf numFmtId="187" fontId="39" fillId="0" borderId="98" xfId="8" applyNumberFormat="1" applyFont="1" applyFill="1" applyBorder="1" applyAlignment="1">
      <alignment horizontal="right" vertical="center"/>
    </xf>
    <xf numFmtId="0" fontId="40" fillId="0" borderId="29" xfId="2" applyFont="1" applyBorder="1" applyAlignment="1">
      <alignment horizontal="center" vertical="center" wrapText="1"/>
    </xf>
    <xf numFmtId="184" fontId="39" fillId="0" borderId="72" xfId="8" applyNumberFormat="1" applyFont="1" applyFill="1" applyBorder="1" applyAlignment="1">
      <alignment horizontal="center" vertical="center"/>
    </xf>
    <xf numFmtId="184" fontId="39" fillId="0" borderId="54" xfId="8" applyNumberFormat="1" applyFont="1" applyFill="1" applyBorder="1" applyAlignment="1">
      <alignment horizontal="center" vertical="center"/>
    </xf>
    <xf numFmtId="177" fontId="39" fillId="0" borderId="31" xfId="8" applyNumberFormat="1" applyFont="1" applyFill="1" applyBorder="1" applyAlignment="1" applyProtection="1">
      <alignment vertical="center"/>
      <protection locked="0"/>
    </xf>
    <xf numFmtId="0" fontId="40" fillId="0" borderId="13" xfId="2" applyFont="1" applyBorder="1" applyAlignment="1">
      <alignment horizontal="center" vertical="center" wrapText="1"/>
    </xf>
    <xf numFmtId="184" fontId="39" fillId="0" borderId="63" xfId="8" applyNumberFormat="1" applyFont="1" applyFill="1" applyBorder="1" applyAlignment="1">
      <alignment horizontal="center" vertical="center"/>
    </xf>
    <xf numFmtId="190" fontId="39" fillId="0" borderId="63" xfId="8" applyNumberFormat="1" applyFont="1" applyFill="1" applyBorder="1" applyAlignment="1" applyProtection="1">
      <alignment vertical="center"/>
      <protection locked="0"/>
    </xf>
    <xf numFmtId="177" fontId="39" fillId="0" borderId="105" xfId="8" applyNumberFormat="1" applyFont="1" applyFill="1" applyBorder="1" applyAlignment="1" applyProtection="1">
      <alignment vertical="center"/>
      <protection locked="0"/>
    </xf>
    <xf numFmtId="177" fontId="39" fillId="0" borderId="97" xfId="8" applyNumberFormat="1" applyFont="1" applyFill="1" applyBorder="1" applyAlignment="1" applyProtection="1">
      <alignment vertical="center"/>
      <protection locked="0"/>
    </xf>
    <xf numFmtId="41" fontId="39" fillId="0" borderId="63" xfId="8" applyNumberFormat="1" applyFont="1" applyFill="1" applyBorder="1" applyAlignment="1">
      <alignment horizontal="right" vertical="center"/>
    </xf>
    <xf numFmtId="0" fontId="40" fillId="0" borderId="16" xfId="2" applyFont="1" applyBorder="1" applyAlignment="1">
      <alignment horizontal="center" vertical="center" wrapText="1"/>
    </xf>
    <xf numFmtId="182" fontId="39" fillId="0" borderId="107" xfId="8" applyNumberFormat="1" applyFont="1" applyFill="1" applyBorder="1" applyAlignment="1">
      <alignment horizontal="right" vertical="center"/>
    </xf>
    <xf numFmtId="177" fontId="39" fillId="0" borderId="58" xfId="8" applyNumberFormat="1" applyFont="1" applyFill="1" applyBorder="1" applyAlignment="1" applyProtection="1">
      <alignment vertical="center"/>
      <protection locked="0"/>
    </xf>
    <xf numFmtId="177" fontId="39" fillId="0" borderId="70" xfId="8" applyNumberFormat="1" applyFont="1" applyFill="1" applyBorder="1" applyAlignment="1" applyProtection="1">
      <alignment vertical="center"/>
      <protection locked="0"/>
    </xf>
    <xf numFmtId="0" fontId="40" fillId="0" borderId="19" xfId="2" applyFont="1" applyBorder="1" applyAlignment="1">
      <alignment horizontal="center" vertical="center" wrapText="1"/>
    </xf>
    <xf numFmtId="187" fontId="39" fillId="0" borderId="54" xfId="8" applyNumberFormat="1" applyFont="1" applyFill="1" applyBorder="1" applyAlignment="1">
      <alignment horizontal="center" vertical="center"/>
    </xf>
    <xf numFmtId="187" fontId="39" fillId="0" borderId="68" xfId="8" applyNumberFormat="1" applyFont="1" applyFill="1" applyBorder="1" applyAlignment="1">
      <alignment horizontal="center" vertical="center"/>
    </xf>
    <xf numFmtId="177" fontId="39" fillId="0" borderId="63" xfId="8" applyNumberFormat="1" applyFont="1" applyFill="1" applyBorder="1" applyAlignment="1">
      <alignment vertical="center"/>
    </xf>
    <xf numFmtId="177" fontId="39" fillId="0" borderId="75" xfId="8" applyNumberFormat="1" applyFont="1" applyFill="1" applyBorder="1" applyAlignment="1">
      <alignment vertical="center"/>
    </xf>
    <xf numFmtId="182" fontId="39" fillId="0" borderId="76" xfId="8" applyNumberFormat="1" applyFont="1" applyFill="1" applyBorder="1" applyAlignment="1">
      <alignment horizontal="center" vertical="center"/>
    </xf>
    <xf numFmtId="177" fontId="39" fillId="0" borderId="58" xfId="8" applyNumberFormat="1" applyFont="1" applyFill="1" applyBorder="1" applyAlignment="1">
      <alignment vertical="center"/>
    </xf>
    <xf numFmtId="177" fontId="39" fillId="0" borderId="70" xfId="8" applyNumberFormat="1" applyFont="1" applyFill="1" applyBorder="1" applyAlignment="1">
      <alignment vertical="center"/>
    </xf>
    <xf numFmtId="177" fontId="39" fillId="0" borderId="54" xfId="8" applyNumberFormat="1" applyFont="1" applyFill="1" applyBorder="1" applyAlignment="1" applyProtection="1">
      <alignment vertical="center"/>
      <protection locked="0"/>
    </xf>
    <xf numFmtId="177" fontId="39" fillId="0" borderId="68" xfId="8" applyNumberFormat="1" applyFont="1" applyFill="1" applyBorder="1" applyAlignment="1" applyProtection="1">
      <alignment vertical="center"/>
      <protection locked="0"/>
    </xf>
    <xf numFmtId="182" fontId="39" fillId="0" borderId="58" xfId="8" applyNumberFormat="1" applyFont="1" applyFill="1" applyBorder="1" applyAlignment="1">
      <alignment horizontal="center" vertical="center"/>
    </xf>
    <xf numFmtId="190" fontId="39" fillId="0" borderId="33" xfId="8" applyNumberFormat="1" applyFont="1" applyFill="1" applyBorder="1" applyAlignment="1" applyProtection="1">
      <alignment vertical="center"/>
      <protection locked="0"/>
    </xf>
    <xf numFmtId="190" fontId="39" fillId="0" borderId="105" xfId="8" applyNumberFormat="1" applyFont="1" applyFill="1" applyBorder="1" applyAlignment="1" applyProtection="1">
      <alignment vertical="center"/>
      <protection locked="0"/>
    </xf>
    <xf numFmtId="177" fontId="39" fillId="0" borderId="56" xfId="8" applyNumberFormat="1" applyFont="1" applyFill="1" applyBorder="1" applyAlignment="1" applyProtection="1">
      <alignment vertical="center"/>
      <protection locked="0"/>
    </xf>
    <xf numFmtId="41" fontId="39" fillId="0" borderId="63" xfId="8" applyNumberFormat="1" applyFont="1" applyFill="1" applyBorder="1" applyAlignment="1" applyProtection="1">
      <alignment horizontal="center" vertical="center"/>
      <protection locked="0"/>
    </xf>
    <xf numFmtId="41" fontId="39" fillId="0" borderId="65" xfId="8" applyNumberFormat="1" applyFont="1" applyFill="1" applyBorder="1" applyAlignment="1" applyProtection="1">
      <alignment horizontal="center" vertical="center"/>
      <protection locked="0"/>
    </xf>
    <xf numFmtId="177" fontId="39" fillId="0" borderId="63" xfId="8" applyNumberFormat="1" applyFont="1" applyFill="1" applyBorder="1" applyAlignment="1" applyProtection="1">
      <alignment horizontal="right" vertical="center"/>
      <protection locked="0"/>
    </xf>
    <xf numFmtId="177" fontId="39" fillId="0" borderId="65" xfId="8" applyNumberFormat="1" applyFont="1" applyFill="1" applyBorder="1" applyAlignment="1" applyProtection="1">
      <alignment horizontal="right" vertical="center"/>
      <protection locked="0"/>
    </xf>
    <xf numFmtId="42" fontId="39" fillId="0" borderId="100" xfId="8" applyNumberFormat="1" applyFont="1" applyFill="1" applyBorder="1" applyAlignment="1" applyProtection="1">
      <alignment horizontal="right" vertical="center"/>
      <protection locked="0"/>
    </xf>
    <xf numFmtId="182" fontId="39" fillId="0" borderId="58" xfId="8" applyNumberFormat="1" applyFont="1" applyFill="1" applyBorder="1" applyAlignment="1" applyProtection="1">
      <alignment horizontal="center" vertical="center"/>
      <protection locked="0"/>
    </xf>
    <xf numFmtId="182" fontId="39" fillId="0" borderId="60" xfId="8" applyNumberFormat="1" applyFont="1" applyFill="1" applyBorder="1" applyAlignment="1" applyProtection="1">
      <alignment horizontal="center" vertical="center"/>
      <protection locked="0"/>
    </xf>
    <xf numFmtId="177" fontId="39" fillId="0" borderId="58" xfId="8" applyNumberFormat="1" applyFont="1" applyFill="1" applyBorder="1" applyAlignment="1" applyProtection="1">
      <alignment horizontal="right" vertical="center"/>
      <protection locked="0"/>
    </xf>
    <xf numFmtId="177" fontId="39" fillId="0" borderId="60" xfId="8" applyNumberFormat="1" applyFont="1" applyFill="1" applyBorder="1" applyAlignment="1" applyProtection="1">
      <alignment horizontal="right" vertical="center"/>
      <protection locked="0"/>
    </xf>
    <xf numFmtId="42" fontId="39" fillId="0" borderId="98" xfId="8" applyNumberFormat="1" applyFont="1" applyFill="1" applyBorder="1" applyAlignment="1" applyProtection="1">
      <alignment horizontal="right" vertical="center"/>
      <protection locked="0"/>
    </xf>
    <xf numFmtId="205" fontId="39" fillId="0" borderId="54" xfId="8" applyNumberFormat="1" applyFont="1" applyFill="1" applyBorder="1" applyAlignment="1" applyProtection="1">
      <alignment vertical="center"/>
      <protection locked="0"/>
    </xf>
    <xf numFmtId="205" fontId="39" fillId="0" borderId="68" xfId="8" applyNumberFormat="1" applyFont="1" applyFill="1" applyBorder="1" applyAlignment="1" applyProtection="1">
      <alignment vertical="center"/>
      <protection locked="0"/>
    </xf>
    <xf numFmtId="0" fontId="40" fillId="0" borderId="105" xfId="2" applyFont="1" applyBorder="1" applyAlignment="1">
      <alignment horizontal="center" vertical="center" wrapText="1"/>
    </xf>
    <xf numFmtId="184" fontId="39" fillId="0" borderId="29" xfId="8" applyNumberFormat="1" applyFont="1" applyFill="1" applyBorder="1" applyAlignment="1">
      <alignment horizontal="center" vertical="center"/>
    </xf>
    <xf numFmtId="206" fontId="39" fillId="12" borderId="118" xfId="8" applyNumberFormat="1" applyFont="1" applyFill="1" applyBorder="1" applyAlignment="1">
      <alignment horizontal="center" vertical="center"/>
    </xf>
    <xf numFmtId="206" fontId="39" fillId="12" borderId="60" xfId="8" applyNumberFormat="1" applyFont="1" applyFill="1" applyBorder="1" applyAlignment="1">
      <alignment horizontal="center" vertical="center"/>
    </xf>
    <xf numFmtId="206" fontId="39" fillId="12" borderId="58" xfId="8" applyNumberFormat="1" applyFont="1" applyFill="1" applyBorder="1" applyAlignment="1">
      <alignment horizontal="center" vertical="center"/>
    </xf>
    <xf numFmtId="3" fontId="17" fillId="0" borderId="0" xfId="2" applyNumberFormat="1" applyFont="1" applyAlignment="1">
      <alignment vertical="center"/>
    </xf>
    <xf numFmtId="41" fontId="39" fillId="0" borderId="120" xfId="8" applyNumberFormat="1" applyFont="1" applyFill="1" applyBorder="1" applyAlignment="1" applyProtection="1">
      <alignment horizontal="right" vertical="center"/>
      <protection locked="0"/>
    </xf>
    <xf numFmtId="41" fontId="39" fillId="0" borderId="63" xfId="8" applyNumberFormat="1" applyFont="1" applyFill="1" applyBorder="1" applyAlignment="1" applyProtection="1">
      <alignment horizontal="right" vertical="center"/>
      <protection locked="0"/>
    </xf>
    <xf numFmtId="41" fontId="39" fillId="0" borderId="33" xfId="8" applyNumberFormat="1" applyFont="1" applyFill="1" applyBorder="1" applyAlignment="1" applyProtection="1">
      <alignment horizontal="right" vertical="center"/>
      <protection locked="0"/>
    </xf>
    <xf numFmtId="207" fontId="39" fillId="0" borderId="100" xfId="8" applyNumberFormat="1" applyFont="1" applyFill="1" applyBorder="1" applyAlignment="1" applyProtection="1">
      <alignment horizontal="right" vertical="center"/>
      <protection locked="0"/>
    </xf>
    <xf numFmtId="184" fontId="17" fillId="0" borderId="0" xfId="2" applyNumberFormat="1" applyFont="1" applyAlignment="1">
      <alignment vertical="center"/>
    </xf>
    <xf numFmtId="182" fontId="39" fillId="0" borderId="76" xfId="8" applyNumberFormat="1" applyFont="1" applyFill="1" applyBorder="1" applyAlignment="1">
      <alignment horizontal="right" vertical="center"/>
    </xf>
    <xf numFmtId="182" fontId="39" fillId="0" borderId="58" xfId="8" applyNumberFormat="1" applyFont="1" applyFill="1" applyBorder="1" applyAlignment="1" applyProtection="1">
      <alignment horizontal="right" vertical="center"/>
      <protection locked="0"/>
    </xf>
    <xf numFmtId="179" fontId="39" fillId="0" borderId="30" xfId="8" applyNumberFormat="1" applyFont="1" applyFill="1" applyBorder="1" applyAlignment="1" applyProtection="1">
      <alignment horizontal="right" vertical="center"/>
      <protection locked="0"/>
    </xf>
    <xf numFmtId="9" fontId="39" fillId="0" borderId="98" xfId="12" applyFont="1" applyFill="1" applyBorder="1" applyAlignment="1" applyProtection="1">
      <alignment horizontal="right" vertical="center"/>
      <protection locked="0"/>
    </xf>
    <xf numFmtId="177" fontId="39" fillId="0" borderId="32" xfId="8" applyNumberFormat="1" applyFont="1" applyFill="1" applyBorder="1" applyAlignment="1" applyProtection="1">
      <alignment vertical="center"/>
      <protection locked="0"/>
    </xf>
    <xf numFmtId="41" fontId="39" fillId="0" borderId="120" xfId="8" applyNumberFormat="1" applyFont="1" applyFill="1" applyBorder="1" applyAlignment="1" applyProtection="1">
      <alignment horizontal="center" vertical="center"/>
      <protection locked="0"/>
    </xf>
    <xf numFmtId="0" fontId="40" fillId="0" borderId="72" xfId="2" applyFont="1" applyBorder="1" applyAlignment="1">
      <alignment horizontal="center" vertical="center"/>
    </xf>
    <xf numFmtId="0" fontId="40" fillId="0" borderId="92" xfId="2" applyFont="1" applyBorder="1" applyAlignment="1">
      <alignment horizontal="center" vertical="center"/>
    </xf>
    <xf numFmtId="184" fontId="39" fillId="0" borderId="69" xfId="8" applyNumberFormat="1" applyFont="1" applyFill="1" applyBorder="1" applyAlignment="1">
      <alignment horizontal="right" vertical="center"/>
    </xf>
    <xf numFmtId="184" fontId="39" fillId="0" borderId="56" xfId="8" applyNumberFormat="1" applyFont="1" applyFill="1" applyBorder="1" applyAlignment="1">
      <alignment horizontal="right" vertical="center"/>
    </xf>
    <xf numFmtId="0" fontId="40" fillId="0" borderId="106" xfId="2" applyFont="1" applyBorder="1" applyAlignment="1">
      <alignment horizontal="center" vertical="center"/>
    </xf>
    <xf numFmtId="0" fontId="40" fillId="0" borderId="80" xfId="2" applyFont="1" applyBorder="1" applyAlignment="1">
      <alignment horizontal="center" vertical="center"/>
    </xf>
    <xf numFmtId="184" fontId="39" fillId="0" borderId="65" xfId="8" applyNumberFormat="1" applyFont="1" applyFill="1" applyBorder="1" applyAlignment="1">
      <alignment horizontal="right" vertical="center"/>
    </xf>
    <xf numFmtId="190" fontId="39" fillId="0" borderId="65" xfId="8" applyNumberFormat="1" applyFont="1" applyFill="1" applyBorder="1" applyAlignment="1" applyProtection="1">
      <alignment vertical="center"/>
      <protection locked="0"/>
    </xf>
    <xf numFmtId="176" fontId="39" fillId="0" borderId="120" xfId="8" applyNumberFormat="1" applyFont="1" applyFill="1" applyBorder="1" applyAlignment="1">
      <alignment horizontal="right" vertical="center"/>
    </xf>
    <xf numFmtId="176" fontId="39" fillId="0" borderId="65" xfId="8" applyNumberFormat="1" applyFont="1" applyFill="1" applyBorder="1" applyAlignment="1">
      <alignment horizontal="right" vertical="center"/>
    </xf>
    <xf numFmtId="0" fontId="40" fillId="0" borderId="107" xfId="2" applyFont="1" applyBorder="1" applyAlignment="1">
      <alignment horizontal="center" vertical="center"/>
    </xf>
    <xf numFmtId="0" fontId="40" fillId="0" borderId="43" xfId="2" applyFont="1" applyBorder="1" applyAlignment="1">
      <alignment horizontal="center" vertical="center"/>
    </xf>
    <xf numFmtId="206" fontId="39" fillId="0" borderId="118" xfId="8" applyNumberFormat="1" applyFont="1" applyFill="1" applyBorder="1" applyAlignment="1">
      <alignment horizontal="center" vertical="center"/>
    </xf>
    <xf numFmtId="206" fontId="39" fillId="0" borderId="60" xfId="8" applyNumberFormat="1" applyFont="1" applyFill="1" applyBorder="1" applyAlignment="1">
      <alignment horizontal="center" vertical="center"/>
    </xf>
    <xf numFmtId="190" fontId="39" fillId="0" borderId="58" xfId="8" applyNumberFormat="1" applyFont="1" applyFill="1" applyBorder="1" applyAlignment="1" applyProtection="1">
      <alignment vertical="center"/>
      <protection locked="0"/>
    </xf>
    <xf numFmtId="190" fontId="39" fillId="0" borderId="60" xfId="8" applyNumberFormat="1" applyFont="1" applyFill="1" applyBorder="1" applyAlignment="1" applyProtection="1">
      <alignment vertical="center"/>
      <protection locked="0"/>
    </xf>
    <xf numFmtId="0" fontId="20" fillId="0" borderId="0" xfId="2" applyFont="1" applyAlignment="1">
      <alignment horizontal="center" vertical="center"/>
    </xf>
    <xf numFmtId="195" fontId="5" fillId="0" borderId="0" xfId="8" applyNumberFormat="1" applyFont="1" applyFill="1" applyBorder="1" applyAlignment="1">
      <alignment horizontal="center" vertical="center"/>
    </xf>
    <xf numFmtId="206" fontId="5" fillId="0" borderId="0" xfId="8" applyNumberFormat="1" applyFont="1" applyFill="1" applyBorder="1" applyAlignment="1">
      <alignment horizontal="center" vertical="center"/>
    </xf>
    <xf numFmtId="190" fontId="5" fillId="0" borderId="0" xfId="8" applyNumberFormat="1" applyFont="1" applyFill="1" applyBorder="1" applyAlignment="1" applyProtection="1">
      <alignment vertical="center"/>
      <protection locked="0"/>
    </xf>
    <xf numFmtId="0" fontId="40" fillId="0" borderId="0" xfId="2" applyFont="1" applyAlignment="1">
      <alignment vertical="center"/>
    </xf>
    <xf numFmtId="0" fontId="17" fillId="0" borderId="0" xfId="9" applyFont="1" applyAlignment="1">
      <alignment vertical="center"/>
    </xf>
    <xf numFmtId="0" fontId="83" fillId="0" borderId="0" xfId="2" applyFont="1" applyAlignment="1" applyProtection="1">
      <alignment vertical="center"/>
      <protection locked="0"/>
    </xf>
    <xf numFmtId="0" fontId="84" fillId="0" borderId="0" xfId="2" applyFont="1" applyAlignment="1">
      <alignment vertical="center"/>
    </xf>
    <xf numFmtId="176" fontId="38" fillId="0" borderId="0" xfId="2" applyNumberFormat="1" applyFont="1" applyAlignment="1">
      <alignment vertical="center"/>
    </xf>
    <xf numFmtId="0" fontId="85" fillId="0" borderId="0" xfId="2" applyFont="1"/>
    <xf numFmtId="41" fontId="86" fillId="0" borderId="0" xfId="10" quotePrefix="1" applyFont="1" applyBorder="1" applyAlignment="1">
      <alignment horizontal="center" vertical="center"/>
    </xf>
    <xf numFmtId="0" fontId="87" fillId="0" borderId="0" xfId="2" applyFont="1" applyAlignment="1">
      <alignment horizontal="right" vertical="center"/>
    </xf>
    <xf numFmtId="2" fontId="88" fillId="0" borderId="79" xfId="2" quotePrefix="1" applyNumberFormat="1" applyFont="1" applyBorder="1" applyAlignment="1">
      <alignment horizontal="center" vertical="center"/>
    </xf>
    <xf numFmtId="0" fontId="29" fillId="0" borderId="0" xfId="2" applyFont="1" applyAlignment="1" applyProtection="1">
      <alignment vertical="center"/>
      <protection locked="0"/>
    </xf>
    <xf numFmtId="208" fontId="89" fillId="0" borderId="79" xfId="10" quotePrefix="1" applyNumberFormat="1" applyFont="1" applyBorder="1" applyAlignment="1">
      <alignment horizontal="center" vertical="center"/>
    </xf>
    <xf numFmtId="41" fontId="90" fillId="0" borderId="79" xfId="10" quotePrefix="1" applyFont="1" applyBorder="1" applyAlignment="1">
      <alignment horizontal="center" vertical="center"/>
    </xf>
    <xf numFmtId="41" fontId="90" fillId="0" borderId="79" xfId="10" quotePrefix="1" applyFont="1" applyBorder="1" applyAlignment="1">
      <alignment horizontal="right" vertical="center"/>
    </xf>
    <xf numFmtId="0" fontId="81" fillId="0" borderId="0" xfId="2" applyFont="1" applyAlignment="1">
      <alignment vertical="center"/>
    </xf>
    <xf numFmtId="2" fontId="88" fillId="0" borderId="79" xfId="9" quotePrefix="1" applyNumberFormat="1" applyFont="1" applyBorder="1" applyAlignment="1">
      <alignment horizontal="center" vertical="center"/>
    </xf>
    <xf numFmtId="209" fontId="91" fillId="0" borderId="0" xfId="2" applyNumberFormat="1" applyFont="1" applyAlignment="1">
      <alignment horizontal="right" vertical="center"/>
    </xf>
    <xf numFmtId="2" fontId="88" fillId="0" borderId="0" xfId="2" quotePrefix="1" applyNumberFormat="1" applyFont="1" applyAlignment="1">
      <alignment horizontal="center" vertical="center"/>
    </xf>
    <xf numFmtId="208" fontId="89" fillId="0" borderId="0" xfId="10" quotePrefix="1" applyNumberFormat="1" applyFont="1" applyBorder="1" applyAlignment="1">
      <alignment horizontal="center" vertical="center"/>
    </xf>
    <xf numFmtId="41" fontId="89" fillId="0" borderId="0" xfId="10" quotePrefix="1" applyFont="1" applyBorder="1" applyAlignment="1">
      <alignment horizontal="center" vertical="center"/>
    </xf>
    <xf numFmtId="177" fontId="29" fillId="0" borderId="0" xfId="14" applyNumberFormat="1" applyFont="1" applyFill="1" applyBorder="1" applyAlignment="1" applyProtection="1">
      <alignment vertical="center"/>
      <protection locked="0"/>
    </xf>
    <xf numFmtId="184" fontId="29" fillId="0" borderId="0" xfId="14" applyNumberFormat="1" applyFont="1" applyFill="1" applyBorder="1" applyAlignment="1">
      <alignment horizontal="center" vertical="center"/>
    </xf>
    <xf numFmtId="182" fontId="29" fillId="0" borderId="0" xfId="14" applyNumberFormat="1" applyFont="1" applyFill="1" applyBorder="1" applyAlignment="1">
      <alignment horizontal="center" vertical="center"/>
    </xf>
    <xf numFmtId="177" fontId="29" fillId="0" borderId="0" xfId="14" applyNumberFormat="1" applyFont="1" applyFill="1" applyBorder="1" applyAlignment="1">
      <alignment vertical="center"/>
    </xf>
    <xf numFmtId="0" fontId="5" fillId="0" borderId="0" xfId="2" applyFont="1" applyAlignment="1">
      <alignment vertical="center" wrapText="1"/>
    </xf>
    <xf numFmtId="190" fontId="29" fillId="0" borderId="0" xfId="14" applyNumberFormat="1" applyFont="1" applyFill="1" applyBorder="1" applyAlignment="1" applyProtection="1">
      <alignment vertical="center"/>
      <protection locked="0"/>
    </xf>
    <xf numFmtId="205" fontId="29" fillId="0" borderId="0" xfId="14" applyNumberFormat="1" applyFont="1" applyFill="1" applyBorder="1" applyAlignment="1" applyProtection="1">
      <alignment vertical="center"/>
      <protection locked="0"/>
    </xf>
    <xf numFmtId="0" fontId="92" fillId="0" borderId="0" xfId="9" applyFont="1" applyAlignment="1">
      <alignment horizontal="left"/>
    </xf>
    <xf numFmtId="0" fontId="10" fillId="0" borderId="0" xfId="9"/>
    <xf numFmtId="0" fontId="93" fillId="0" borderId="0" xfId="3" applyFont="1">
      <alignment vertical="center"/>
    </xf>
    <xf numFmtId="0" fontId="94" fillId="0" borderId="0" xfId="2" applyFont="1" applyAlignment="1" applyProtection="1">
      <alignment vertical="center"/>
      <protection locked="0"/>
    </xf>
    <xf numFmtId="3" fontId="5" fillId="0" borderId="0" xfId="2" applyNumberFormat="1" applyFont="1" applyAlignment="1">
      <alignment vertical="center"/>
    </xf>
    <xf numFmtId="0" fontId="5" fillId="0" borderId="27" xfId="2" applyFont="1" applyBorder="1" applyAlignment="1">
      <alignment vertical="center"/>
    </xf>
    <xf numFmtId="0" fontId="5" fillId="0" borderId="92" xfId="2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right" vertical="center"/>
    </xf>
    <xf numFmtId="176" fontId="5" fillId="0" borderId="12" xfId="2" applyNumberFormat="1" applyFont="1" applyBorder="1" applyAlignment="1">
      <alignment horizontal="right" vertical="center"/>
    </xf>
    <xf numFmtId="177" fontId="5" fillId="0" borderId="12" xfId="2" applyNumberFormat="1" applyFont="1" applyBorder="1" applyAlignment="1">
      <alignment horizontal="right" vertical="center"/>
    </xf>
    <xf numFmtId="203" fontId="5" fillId="0" borderId="12" xfId="2" applyNumberFormat="1" applyFont="1" applyBorder="1" applyAlignment="1">
      <alignment horizontal="right" vertical="center"/>
    </xf>
    <xf numFmtId="203" fontId="5" fillId="0" borderId="13" xfId="2" applyNumberFormat="1" applyFont="1" applyBorder="1" applyAlignment="1">
      <alignment horizontal="right" vertical="center"/>
    </xf>
    <xf numFmtId="177" fontId="5" fillId="0" borderId="77" xfId="2" applyNumberFormat="1" applyFont="1" applyBorder="1" applyAlignment="1">
      <alignment horizontal="right" vertical="center"/>
    </xf>
    <xf numFmtId="203" fontId="5" fillId="0" borderId="77" xfId="2" applyNumberFormat="1" applyFont="1" applyBorder="1" applyAlignment="1">
      <alignment horizontal="right" vertical="center"/>
    </xf>
    <xf numFmtId="0" fontId="26" fillId="0" borderId="0" xfId="2" applyFont="1" applyAlignment="1">
      <alignment vertical="center"/>
    </xf>
    <xf numFmtId="176" fontId="5" fillId="0" borderId="77" xfId="2" quotePrefix="1" applyNumberFormat="1" applyFont="1" applyBorder="1" applyAlignment="1">
      <alignment vertical="center"/>
    </xf>
    <xf numFmtId="176" fontId="5" fillId="0" borderId="12" xfId="2" quotePrefix="1" applyNumberFormat="1" applyFont="1" applyBorder="1" applyAlignment="1">
      <alignment vertical="center"/>
    </xf>
    <xf numFmtId="176" fontId="5" fillId="0" borderId="66" xfId="2" quotePrefix="1" applyNumberFormat="1" applyFont="1" applyBorder="1" applyAlignment="1">
      <alignment vertical="center"/>
    </xf>
    <xf numFmtId="176" fontId="5" fillId="0" borderId="64" xfId="2" quotePrefix="1" applyNumberFormat="1" applyFont="1" applyBorder="1" applyAlignment="1">
      <alignment vertical="center"/>
    </xf>
    <xf numFmtId="177" fontId="5" fillId="0" borderId="64" xfId="2" applyNumberFormat="1" applyFont="1" applyBorder="1" applyAlignment="1">
      <alignment horizontal="right" vertical="center"/>
    </xf>
    <xf numFmtId="176" fontId="5" fillId="0" borderId="64" xfId="2" applyNumberFormat="1" applyFont="1" applyBorder="1" applyAlignment="1">
      <alignment horizontal="right" vertical="center"/>
    </xf>
    <xf numFmtId="203" fontId="5" fillId="0" borderId="64" xfId="2" applyNumberFormat="1" applyFont="1" applyBorder="1" applyAlignment="1">
      <alignment horizontal="right" vertical="center"/>
    </xf>
    <xf numFmtId="203" fontId="5" fillId="0" borderId="65" xfId="2" applyNumberFormat="1" applyFont="1" applyBorder="1" applyAlignment="1">
      <alignment horizontal="right" vertical="center"/>
    </xf>
    <xf numFmtId="176" fontId="5" fillId="0" borderId="85" xfId="2" quotePrefix="1" applyNumberFormat="1" applyFont="1" applyBorder="1" applyAlignment="1">
      <alignment vertical="center"/>
    </xf>
    <xf numFmtId="176" fontId="5" fillId="0" borderId="18" xfId="2" quotePrefix="1" applyNumberFormat="1" applyFont="1" applyBorder="1" applyAlignment="1">
      <alignment vertical="center"/>
    </xf>
    <xf numFmtId="177" fontId="5" fillId="0" borderId="18" xfId="2" applyNumberFormat="1" applyFont="1" applyBorder="1" applyAlignment="1">
      <alignment horizontal="right" vertical="center"/>
    </xf>
    <xf numFmtId="176" fontId="5" fillId="0" borderId="18" xfId="2" applyNumberFormat="1" applyFont="1" applyBorder="1" applyAlignment="1">
      <alignment horizontal="right" vertical="center"/>
    </xf>
    <xf numFmtId="203" fontId="5" fillId="0" borderId="18" xfId="2" applyNumberFormat="1" applyFont="1" applyBorder="1" applyAlignment="1">
      <alignment horizontal="right" vertical="center"/>
    </xf>
    <xf numFmtId="203" fontId="5" fillId="0" borderId="19" xfId="2" applyNumberFormat="1" applyFont="1" applyBorder="1" applyAlignment="1">
      <alignment horizontal="right" vertical="center"/>
    </xf>
    <xf numFmtId="176" fontId="5" fillId="0" borderId="42" xfId="2" quotePrefix="1" applyNumberFormat="1" applyFont="1" applyBorder="1" applyAlignment="1">
      <alignment vertical="center"/>
    </xf>
    <xf numFmtId="176" fontId="5" fillId="0" borderId="10" xfId="2" quotePrefix="1" applyNumberFormat="1" applyFont="1" applyBorder="1" applyAlignment="1">
      <alignment vertical="center"/>
    </xf>
    <xf numFmtId="177" fontId="5" fillId="0" borderId="10" xfId="2" applyNumberFormat="1" applyFont="1" applyBorder="1" applyAlignment="1">
      <alignment horizontal="right" vertical="center"/>
    </xf>
    <xf numFmtId="176" fontId="5" fillId="0" borderId="10" xfId="2" applyNumberFormat="1" applyFont="1" applyBorder="1" applyAlignment="1">
      <alignment horizontal="right" vertical="center"/>
    </xf>
    <xf numFmtId="203" fontId="5" fillId="0" borderId="10" xfId="2" applyNumberFormat="1" applyFont="1" applyBorder="1" applyAlignment="1">
      <alignment horizontal="right" vertical="center"/>
    </xf>
    <xf numFmtId="203" fontId="5" fillId="0" borderId="11" xfId="2" applyNumberFormat="1" applyFont="1" applyBorder="1" applyAlignment="1">
      <alignment horizontal="right" vertical="center"/>
    </xf>
    <xf numFmtId="0" fontId="22" fillId="0" borderId="0" xfId="2" quotePrefix="1" applyFont="1" applyAlignment="1">
      <alignment vertical="center"/>
    </xf>
    <xf numFmtId="176" fontId="22" fillId="0" borderId="0" xfId="2" applyNumberFormat="1" applyFont="1" applyAlignment="1">
      <alignment horizontal="right" vertical="center"/>
    </xf>
    <xf numFmtId="177" fontId="22" fillId="0" borderId="0" xfId="2" applyNumberFormat="1" applyFont="1" applyAlignment="1">
      <alignment horizontal="right" vertical="center"/>
    </xf>
    <xf numFmtId="203" fontId="22" fillId="0" borderId="0" xfId="2" applyNumberFormat="1" applyFont="1" applyAlignment="1">
      <alignment horizontal="right" vertical="center"/>
    </xf>
    <xf numFmtId="210" fontId="5" fillId="0" borderId="0" xfId="2" applyNumberFormat="1" applyFont="1" applyAlignment="1">
      <alignment horizontal="right" vertical="center"/>
    </xf>
    <xf numFmtId="210" fontId="22" fillId="0" borderId="0" xfId="2" applyNumberFormat="1" applyFont="1" applyAlignment="1">
      <alignment horizontal="right" vertical="center"/>
    </xf>
    <xf numFmtId="196" fontId="22" fillId="0" borderId="0" xfId="2" applyNumberFormat="1" applyFont="1" applyAlignment="1">
      <alignment horizontal="right" vertical="center"/>
    </xf>
    <xf numFmtId="0" fontId="5" fillId="12" borderId="0" xfId="1" applyFont="1" applyFill="1" applyAlignment="1">
      <alignment horizontal="center" vertical="center"/>
    </xf>
    <xf numFmtId="176" fontId="8" fillId="12" borderId="0" xfId="1" applyNumberFormat="1" applyFont="1" applyFill="1" applyAlignment="1">
      <alignment horizontal="right" vertical="center" wrapText="1"/>
    </xf>
    <xf numFmtId="0" fontId="94" fillId="0" borderId="0" xfId="2" applyFont="1" applyAlignment="1" applyProtection="1">
      <alignment horizontal="left" vertical="center"/>
      <protection locked="0"/>
    </xf>
    <xf numFmtId="190" fontId="8" fillId="0" borderId="0" xfId="2" applyNumberFormat="1" applyFont="1" applyAlignment="1">
      <alignment vertical="center"/>
    </xf>
    <xf numFmtId="190" fontId="8" fillId="0" borderId="0" xfId="2" applyNumberFormat="1" applyFont="1" applyAlignment="1">
      <alignment horizontal="center" vertical="center"/>
    </xf>
    <xf numFmtId="190" fontId="16" fillId="0" borderId="0" xfId="2" applyNumberFormat="1" applyFont="1" applyAlignment="1">
      <alignment vertical="center"/>
    </xf>
    <xf numFmtId="190" fontId="21" fillId="0" borderId="0" xfId="2" applyNumberFormat="1" applyFont="1" applyAlignment="1">
      <alignment vertical="center"/>
    </xf>
    <xf numFmtId="190" fontId="16" fillId="0" borderId="0" xfId="2" applyNumberFormat="1" applyFont="1" applyAlignment="1">
      <alignment horizontal="center" vertical="center"/>
    </xf>
    <xf numFmtId="190" fontId="21" fillId="0" borderId="0" xfId="2" applyNumberFormat="1" applyFont="1" applyAlignment="1">
      <alignment vertical="top"/>
    </xf>
    <xf numFmtId="0" fontId="5" fillId="0" borderId="79" xfId="2" applyFont="1" applyBorder="1" applyAlignment="1">
      <alignment horizontal="center" vertical="center"/>
    </xf>
    <xf numFmtId="0" fontId="5" fillId="0" borderId="91" xfId="2" applyFont="1" applyBorder="1" applyAlignment="1">
      <alignment horizontal="center" vertical="center"/>
    </xf>
    <xf numFmtId="190" fontId="5" fillId="0" borderId="160" xfId="2" applyNumberFormat="1" applyFont="1" applyBorder="1" applyAlignment="1">
      <alignment horizontal="center" vertical="center"/>
    </xf>
    <xf numFmtId="190" fontId="5" fillId="0" borderId="90" xfId="2" applyNumberFormat="1" applyFont="1" applyBorder="1" applyAlignment="1">
      <alignment horizontal="center" vertical="center"/>
    </xf>
    <xf numFmtId="176" fontId="5" fillId="0" borderId="106" xfId="2" applyNumberFormat="1" applyFont="1" applyBorder="1" applyAlignment="1">
      <alignment horizontal="right" vertical="center"/>
    </xf>
    <xf numFmtId="177" fontId="5" fillId="0" borderId="0" xfId="2" applyNumberFormat="1" applyFont="1" applyAlignment="1">
      <alignment horizontal="right" vertical="center"/>
    </xf>
    <xf numFmtId="177" fontId="5" fillId="0" borderId="13" xfId="2" applyNumberFormat="1" applyFont="1" applyBorder="1" applyAlignment="1">
      <alignment horizontal="right" vertical="center"/>
    </xf>
    <xf numFmtId="176" fontId="5" fillId="0" borderId="31" xfId="2" applyNumberFormat="1" applyFont="1" applyBorder="1" applyAlignment="1">
      <alignment horizontal="right" vertical="center"/>
    </xf>
    <xf numFmtId="176" fontId="5" fillId="0" borderId="31" xfId="2" quotePrefix="1" applyNumberFormat="1" applyFont="1" applyBorder="1" applyAlignment="1">
      <alignment vertical="center"/>
    </xf>
    <xf numFmtId="177" fontId="5" fillId="0" borderId="12" xfId="2" quotePrefix="1" applyNumberFormat="1" applyFont="1" applyBorder="1" applyAlignment="1">
      <alignment vertical="center"/>
    </xf>
    <xf numFmtId="177" fontId="5" fillId="0" borderId="13" xfId="2" quotePrefix="1" applyNumberFormat="1" applyFont="1" applyBorder="1" applyAlignment="1">
      <alignment vertical="center"/>
    </xf>
    <xf numFmtId="0" fontId="5" fillId="0" borderId="106" xfId="2" quotePrefix="1" applyFont="1" applyBorder="1" applyAlignment="1">
      <alignment horizontal="center" vertical="center"/>
    </xf>
    <xf numFmtId="176" fontId="5" fillId="0" borderId="63" xfId="2" quotePrefix="1" applyNumberFormat="1" applyFont="1" applyBorder="1" applyAlignment="1">
      <alignment vertical="center"/>
    </xf>
    <xf numFmtId="177" fontId="5" fillId="0" borderId="64" xfId="2" quotePrefix="1" applyNumberFormat="1" applyFont="1" applyBorder="1" applyAlignment="1">
      <alignment vertical="center"/>
    </xf>
    <xf numFmtId="177" fontId="5" fillId="0" borderId="65" xfId="2" quotePrefix="1" applyNumberFormat="1" applyFont="1" applyBorder="1" applyAlignment="1">
      <alignment vertical="center"/>
    </xf>
    <xf numFmtId="176" fontId="5" fillId="0" borderId="33" xfId="2" quotePrefix="1" applyNumberFormat="1" applyFont="1" applyBorder="1" applyAlignment="1">
      <alignment vertical="center"/>
    </xf>
    <xf numFmtId="177" fontId="5" fillId="0" borderId="18" xfId="2" quotePrefix="1" applyNumberFormat="1" applyFont="1" applyBorder="1" applyAlignment="1">
      <alignment vertical="center"/>
    </xf>
    <xf numFmtId="177" fontId="5" fillId="0" borderId="19" xfId="2" quotePrefix="1" applyNumberFormat="1" applyFont="1" applyBorder="1" applyAlignment="1">
      <alignment vertical="center"/>
    </xf>
    <xf numFmtId="176" fontId="5" fillId="0" borderId="30" xfId="2" quotePrefix="1" applyNumberFormat="1" applyFont="1" applyBorder="1" applyAlignment="1">
      <alignment vertical="center"/>
    </xf>
    <xf numFmtId="177" fontId="5" fillId="0" borderId="10" xfId="2" quotePrefix="1" applyNumberFormat="1" applyFont="1" applyBorder="1" applyAlignment="1">
      <alignment vertical="center"/>
    </xf>
    <xf numFmtId="177" fontId="5" fillId="0" borderId="11" xfId="2" quotePrefix="1" applyNumberFormat="1" applyFont="1" applyBorder="1" applyAlignment="1">
      <alignment vertical="center"/>
    </xf>
    <xf numFmtId="3" fontId="22" fillId="0" borderId="0" xfId="2" applyNumberFormat="1" applyFont="1" applyAlignment="1">
      <alignment vertical="center"/>
    </xf>
    <xf numFmtId="0" fontId="22" fillId="0" borderId="0" xfId="2" quotePrefix="1" applyFont="1" applyAlignment="1">
      <alignment horizontal="center" vertical="center"/>
    </xf>
    <xf numFmtId="176" fontId="22" fillId="0" borderId="0" xfId="2" quotePrefix="1" applyNumberFormat="1" applyFont="1" applyAlignment="1">
      <alignment vertical="center"/>
    </xf>
    <xf numFmtId="190" fontId="22" fillId="0" borderId="0" xfId="2" quotePrefix="1" applyNumberFormat="1" applyFont="1" applyAlignment="1">
      <alignment vertical="center"/>
    </xf>
    <xf numFmtId="196" fontId="21" fillId="0" borderId="0" xfId="2" applyNumberFormat="1" applyFont="1" applyAlignment="1">
      <alignment horizontal="center" vertical="center"/>
    </xf>
    <xf numFmtId="190" fontId="21" fillId="0" borderId="0" xfId="2" applyNumberFormat="1" applyFont="1" applyAlignment="1">
      <alignment horizontal="center" vertical="center"/>
    </xf>
    <xf numFmtId="0" fontId="17" fillId="0" borderId="0" xfId="2" applyFont="1" applyAlignment="1">
      <alignment vertical="top"/>
    </xf>
    <xf numFmtId="196" fontId="21" fillId="0" borderId="0" xfId="2" quotePrefix="1" applyNumberFormat="1" applyFont="1" applyAlignment="1">
      <alignment horizontal="center" vertical="center"/>
    </xf>
    <xf numFmtId="190" fontId="21" fillId="0" borderId="0" xfId="2" quotePrefix="1" applyNumberFormat="1" applyFont="1" applyAlignment="1">
      <alignment horizontal="center" vertical="center"/>
    </xf>
    <xf numFmtId="0" fontId="17" fillId="0" borderId="0" xfId="2" applyFont="1" applyAlignment="1">
      <alignment horizontal="center"/>
    </xf>
    <xf numFmtId="203" fontId="21" fillId="0" borderId="0" xfId="2" applyNumberFormat="1" applyFont="1" applyAlignment="1">
      <alignment vertical="center"/>
    </xf>
    <xf numFmtId="0" fontId="21" fillId="0" borderId="0" xfId="2" quotePrefix="1" applyFont="1" applyAlignment="1">
      <alignment horizontal="center" vertical="center"/>
    </xf>
    <xf numFmtId="189" fontId="17" fillId="0" borderId="0" xfId="2" applyNumberFormat="1" applyFont="1" applyAlignment="1">
      <alignment horizontal="right" vertical="center"/>
    </xf>
    <xf numFmtId="189" fontId="17" fillId="0" borderId="0" xfId="2" applyNumberFormat="1" applyFont="1" applyAlignment="1">
      <alignment vertical="center"/>
    </xf>
    <xf numFmtId="180" fontId="21" fillId="0" borderId="0" xfId="2" applyNumberFormat="1" applyFont="1" applyAlignment="1">
      <alignment vertical="center"/>
    </xf>
    <xf numFmtId="176" fontId="74" fillId="0" borderId="0" xfId="2" applyNumberFormat="1" applyFont="1" applyAlignment="1">
      <alignment vertical="center"/>
    </xf>
    <xf numFmtId="0" fontId="74" fillId="0" borderId="0" xfId="2" applyFont="1"/>
    <xf numFmtId="190" fontId="8" fillId="0" borderId="0" xfId="2" applyNumberFormat="1" applyFont="1"/>
    <xf numFmtId="190" fontId="8" fillId="0" borderId="0" xfId="2" applyNumberFormat="1" applyFont="1" applyAlignment="1">
      <alignment horizontal="center"/>
    </xf>
    <xf numFmtId="177" fontId="5" fillId="0" borderId="86" xfId="2" applyNumberFormat="1" applyFont="1" applyBorder="1" applyAlignment="1">
      <alignment horizontal="right" vertical="center"/>
    </xf>
    <xf numFmtId="176" fontId="5" fillId="0" borderId="86" xfId="2" applyNumberFormat="1" applyFont="1" applyBorder="1" applyAlignment="1">
      <alignment horizontal="right" vertical="center"/>
    </xf>
    <xf numFmtId="176" fontId="5" fillId="0" borderId="122" xfId="2" applyNumberFormat="1" applyFont="1" applyBorder="1" applyAlignment="1">
      <alignment horizontal="right" vertical="center"/>
    </xf>
    <xf numFmtId="177" fontId="5" fillId="0" borderId="102" xfId="2" applyNumberFormat="1" applyFont="1" applyBorder="1" applyAlignment="1">
      <alignment horizontal="right" vertical="center"/>
    </xf>
    <xf numFmtId="176" fontId="5" fillId="0" borderId="102" xfId="2" applyNumberFormat="1" applyFont="1" applyBorder="1" applyAlignment="1">
      <alignment horizontal="right" vertical="center"/>
    </xf>
    <xf numFmtId="177" fontId="5" fillId="0" borderId="15" xfId="2" applyNumberFormat="1" applyFont="1" applyBorder="1" applyAlignment="1">
      <alignment horizontal="right" vertical="center"/>
    </xf>
    <xf numFmtId="176" fontId="5" fillId="0" borderId="116" xfId="2" applyNumberFormat="1" applyFont="1" applyBorder="1" applyAlignment="1">
      <alignment horizontal="right" vertical="center"/>
    </xf>
    <xf numFmtId="177" fontId="5" fillId="0" borderId="16" xfId="2" applyNumberFormat="1" applyFont="1" applyBorder="1" applyAlignment="1">
      <alignment horizontal="right" vertical="center"/>
    </xf>
    <xf numFmtId="176" fontId="5" fillId="0" borderId="104" xfId="2" applyNumberFormat="1" applyFont="1" applyBorder="1" applyAlignment="1">
      <alignment horizontal="right" vertical="center"/>
    </xf>
    <xf numFmtId="177" fontId="5" fillId="0" borderId="78" xfId="2" applyNumberFormat="1" applyFont="1" applyBorder="1" applyAlignment="1">
      <alignment horizontal="right" vertical="center"/>
    </xf>
    <xf numFmtId="176" fontId="5" fillId="0" borderId="78" xfId="2" applyNumberFormat="1" applyFont="1" applyBorder="1" applyAlignment="1">
      <alignment horizontal="right" vertical="center"/>
    </xf>
    <xf numFmtId="176" fontId="5" fillId="0" borderId="84" xfId="2" applyNumberFormat="1" applyFont="1" applyBorder="1" applyAlignment="1">
      <alignment horizontal="right" vertical="center"/>
    </xf>
    <xf numFmtId="177" fontId="5" fillId="0" borderId="19" xfId="2" applyNumberFormat="1" applyFont="1" applyBorder="1" applyAlignment="1">
      <alignment horizontal="right" vertical="center"/>
    </xf>
    <xf numFmtId="176" fontId="5" fillId="0" borderId="107" xfId="2" applyNumberFormat="1" applyFont="1" applyBorder="1" applyAlignment="1">
      <alignment horizontal="right" vertical="center"/>
    </xf>
    <xf numFmtId="177" fontId="5" fillId="0" borderId="88" xfId="2" applyNumberFormat="1" applyFont="1" applyBorder="1" applyAlignment="1">
      <alignment horizontal="right" vertical="center"/>
    </xf>
    <xf numFmtId="176" fontId="5" fillId="0" borderId="88" xfId="2" applyNumberFormat="1" applyFont="1" applyBorder="1" applyAlignment="1">
      <alignment horizontal="right" vertical="center"/>
    </xf>
    <xf numFmtId="176" fontId="5" fillId="0" borderId="99" xfId="2" applyNumberFormat="1" applyFont="1" applyBorder="1" applyAlignment="1">
      <alignment horizontal="right" vertical="center"/>
    </xf>
    <xf numFmtId="177" fontId="5" fillId="0" borderId="11" xfId="2" applyNumberFormat="1" applyFont="1" applyBorder="1" applyAlignment="1">
      <alignment horizontal="right" vertical="center"/>
    </xf>
    <xf numFmtId="190" fontId="5" fillId="0" borderId="0" xfId="2" applyNumberFormat="1" applyFont="1" applyAlignment="1">
      <alignment horizontal="right" vertical="center"/>
    </xf>
    <xf numFmtId="190" fontId="5" fillId="0" borderId="0" xfId="2" applyNumberFormat="1" applyFont="1" applyAlignment="1">
      <alignment vertical="center"/>
    </xf>
    <xf numFmtId="203" fontId="5" fillId="0" borderId="0" xfId="2" applyNumberFormat="1" applyFont="1" applyAlignment="1">
      <alignment vertical="center"/>
    </xf>
    <xf numFmtId="190" fontId="5" fillId="0" borderId="0" xfId="2" applyNumberFormat="1" applyFont="1"/>
    <xf numFmtId="190" fontId="82" fillId="0" borderId="0" xfId="22" applyNumberFormat="1" applyFont="1" applyAlignment="1" applyProtection="1">
      <alignment vertical="center"/>
    </xf>
    <xf numFmtId="190" fontId="5" fillId="0" borderId="0" xfId="2" applyNumberFormat="1" applyFont="1" applyAlignment="1">
      <alignment vertical="top"/>
    </xf>
    <xf numFmtId="0" fontId="5" fillId="0" borderId="129" xfId="2" applyFont="1" applyBorder="1" applyAlignment="1">
      <alignment horizontal="center" vertical="center"/>
    </xf>
    <xf numFmtId="190" fontId="5" fillId="0" borderId="129" xfId="2" applyNumberFormat="1" applyFont="1" applyBorder="1" applyAlignment="1">
      <alignment horizontal="center" vertical="center"/>
    </xf>
    <xf numFmtId="189" fontId="5" fillId="0" borderId="106" xfId="2" applyNumberFormat="1" applyFont="1" applyBorder="1" applyAlignment="1">
      <alignment horizontal="right" vertical="center"/>
    </xf>
    <xf numFmtId="189" fontId="5" fillId="0" borderId="0" xfId="2" applyNumberFormat="1" applyFont="1" applyAlignment="1">
      <alignment horizontal="right" vertical="center"/>
    </xf>
    <xf numFmtId="189" fontId="5" fillId="0" borderId="32" xfId="2" applyNumberFormat="1" applyFont="1" applyBorder="1" applyAlignment="1">
      <alignment horizontal="right" vertical="center"/>
    </xf>
    <xf numFmtId="189" fontId="5" fillId="0" borderId="15" xfId="2" applyNumberFormat="1" applyFont="1" applyBorder="1" applyAlignment="1">
      <alignment horizontal="right" vertical="center"/>
    </xf>
    <xf numFmtId="189" fontId="5" fillId="0" borderId="62" xfId="2" applyNumberFormat="1" applyFont="1" applyBorder="1" applyAlignment="1">
      <alignment horizontal="right" vertical="center"/>
    </xf>
    <xf numFmtId="189" fontId="5" fillId="0" borderId="66" xfId="2" quotePrefix="1" applyNumberFormat="1" applyFont="1" applyBorder="1" applyAlignment="1">
      <alignment vertical="center"/>
    </xf>
    <xf numFmtId="189" fontId="5" fillId="0" borderId="64" xfId="2" quotePrefix="1" applyNumberFormat="1" applyFont="1" applyBorder="1" applyAlignment="1">
      <alignment vertical="center"/>
    </xf>
    <xf numFmtId="177" fontId="5" fillId="0" borderId="66" xfId="2" quotePrefix="1" applyNumberFormat="1" applyFont="1" applyBorder="1" applyAlignment="1">
      <alignment vertical="center"/>
    </xf>
    <xf numFmtId="189" fontId="5" fillId="0" borderId="77" xfId="2" quotePrefix="1" applyNumberFormat="1" applyFont="1" applyBorder="1" applyAlignment="1">
      <alignment vertical="center"/>
    </xf>
    <xf numFmtId="177" fontId="5" fillId="0" borderId="77" xfId="2" quotePrefix="1" applyNumberFormat="1" applyFont="1" applyBorder="1" applyAlignment="1">
      <alignment vertical="center"/>
    </xf>
    <xf numFmtId="189" fontId="5" fillId="0" borderId="85" xfId="2" quotePrefix="1" applyNumberFormat="1" applyFont="1" applyBorder="1" applyAlignment="1">
      <alignment vertical="center"/>
    </xf>
    <xf numFmtId="189" fontId="5" fillId="0" borderId="18" xfId="2" quotePrefix="1" applyNumberFormat="1" applyFont="1" applyBorder="1" applyAlignment="1">
      <alignment vertical="center"/>
    </xf>
    <xf numFmtId="177" fontId="5" fillId="0" borderId="85" xfId="2" quotePrefix="1" applyNumberFormat="1" applyFont="1" applyBorder="1" applyAlignment="1">
      <alignment vertical="center"/>
    </xf>
    <xf numFmtId="189" fontId="5" fillId="0" borderId="42" xfId="2" quotePrefix="1" applyNumberFormat="1" applyFont="1" applyBorder="1" applyAlignment="1">
      <alignment vertical="center"/>
    </xf>
    <xf numFmtId="189" fontId="5" fillId="0" borderId="10" xfId="2" quotePrefix="1" applyNumberFormat="1" applyFont="1" applyBorder="1" applyAlignment="1">
      <alignment vertical="center"/>
    </xf>
    <xf numFmtId="177" fontId="5" fillId="0" borderId="42" xfId="2" quotePrefix="1" applyNumberFormat="1" applyFont="1" applyBorder="1" applyAlignment="1">
      <alignment vertical="center"/>
    </xf>
    <xf numFmtId="211" fontId="26" fillId="0" borderId="0" xfId="2" applyNumberFormat="1" applyFont="1" applyAlignment="1">
      <alignment vertical="center"/>
    </xf>
    <xf numFmtId="189" fontId="22" fillId="0" borderId="0" xfId="2" quotePrefix="1" applyNumberFormat="1" applyFont="1" applyAlignment="1">
      <alignment vertical="center"/>
    </xf>
    <xf numFmtId="196" fontId="5" fillId="0" borderId="0" xfId="2" applyNumberFormat="1" applyFont="1" applyAlignment="1">
      <alignment horizontal="center" vertical="center"/>
    </xf>
    <xf numFmtId="190" fontId="5" fillId="0" borderId="0" xfId="2" applyNumberFormat="1" applyFont="1" applyAlignment="1">
      <alignment horizontal="center" vertical="center"/>
    </xf>
    <xf numFmtId="196" fontId="5" fillId="0" borderId="0" xfId="2" quotePrefix="1" applyNumberFormat="1" applyFont="1" applyAlignment="1">
      <alignment horizontal="center" vertical="center"/>
    </xf>
    <xf numFmtId="190" fontId="5" fillId="0" borderId="0" xfId="2" quotePrefix="1" applyNumberFormat="1" applyFont="1" applyAlignment="1">
      <alignment horizontal="center" vertical="center"/>
    </xf>
    <xf numFmtId="176" fontId="8" fillId="0" borderId="0" xfId="2" applyNumberFormat="1" applyFont="1"/>
    <xf numFmtId="0" fontId="21" fillId="0" borderId="0" xfId="2" applyFont="1" applyAlignment="1">
      <alignment horizontal="right" vertical="top"/>
    </xf>
    <xf numFmtId="0" fontId="5" fillId="0" borderId="92" xfId="2" applyFont="1" applyBorder="1" applyAlignment="1">
      <alignment vertical="center"/>
    </xf>
    <xf numFmtId="0" fontId="5" fillId="0" borderId="42" xfId="2" applyFont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70" xfId="2" applyFont="1" applyBorder="1" applyAlignment="1">
      <alignment horizontal="center" vertical="center"/>
    </xf>
    <xf numFmtId="0" fontId="5" fillId="0" borderId="43" xfId="2" applyFont="1" applyBorder="1" applyAlignment="1">
      <alignment vertical="center"/>
    </xf>
    <xf numFmtId="0" fontId="18" fillId="0" borderId="82" xfId="2" quotePrefix="1" applyFont="1" applyBorder="1" applyAlignment="1">
      <alignment horizontal="center" vertical="center"/>
    </xf>
    <xf numFmtId="176" fontId="18" fillId="0" borderId="0" xfId="2" applyNumberFormat="1" applyFont="1" applyAlignment="1">
      <alignment horizontal="right" vertical="center"/>
    </xf>
    <xf numFmtId="190" fontId="18" fillId="0" borderId="12" xfId="2" applyNumberFormat="1" applyFont="1" applyBorder="1" applyAlignment="1">
      <alignment horizontal="right" vertical="center"/>
    </xf>
    <xf numFmtId="176" fontId="18" fillId="0" borderId="86" xfId="2" applyNumberFormat="1" applyFont="1" applyBorder="1" applyAlignment="1">
      <alignment horizontal="right" vertical="center"/>
    </xf>
    <xf numFmtId="176" fontId="18" fillId="0" borderId="12" xfId="2" applyNumberFormat="1" applyFont="1" applyBorder="1" applyAlignment="1">
      <alignment horizontal="right" vertical="center"/>
    </xf>
    <xf numFmtId="190" fontId="18" fillId="0" borderId="13" xfId="2" applyNumberFormat="1" applyFont="1" applyBorder="1" applyAlignment="1">
      <alignment horizontal="right" vertical="center"/>
    </xf>
    <xf numFmtId="176" fontId="18" fillId="0" borderId="31" xfId="2" applyNumberFormat="1" applyFont="1" applyBorder="1" applyAlignment="1">
      <alignment horizontal="right" vertical="center"/>
    </xf>
    <xf numFmtId="176" fontId="18" fillId="0" borderId="77" xfId="2" applyNumberFormat="1" applyFont="1" applyBorder="1" applyAlignment="1">
      <alignment horizontal="right" vertical="center"/>
    </xf>
    <xf numFmtId="177" fontId="18" fillId="0" borderId="12" xfId="2" applyNumberFormat="1" applyFont="1" applyBorder="1" applyAlignment="1">
      <alignment horizontal="right" vertical="center"/>
    </xf>
    <xf numFmtId="177" fontId="18" fillId="0" borderId="80" xfId="2" applyNumberFormat="1" applyFont="1" applyBorder="1" applyAlignment="1">
      <alignment horizontal="right" vertical="center"/>
    </xf>
    <xf numFmtId="176" fontId="18" fillId="0" borderId="106" xfId="2" applyNumberFormat="1" applyFont="1" applyBorder="1" applyAlignment="1">
      <alignment horizontal="right" vertical="center"/>
    </xf>
    <xf numFmtId="177" fontId="18" fillId="0" borderId="13" xfId="2" applyNumberFormat="1" applyFont="1" applyBorder="1" applyAlignment="1">
      <alignment horizontal="right" vertical="center"/>
    </xf>
    <xf numFmtId="0" fontId="18" fillId="0" borderId="106" xfId="2" quotePrefix="1" applyFont="1" applyBorder="1" applyAlignment="1">
      <alignment horizontal="center" vertical="center"/>
    </xf>
    <xf numFmtId="176" fontId="26" fillId="0" borderId="0" xfId="2" applyNumberFormat="1" applyFont="1" applyAlignment="1">
      <alignment vertical="center"/>
    </xf>
    <xf numFmtId="0" fontId="18" fillId="0" borderId="100" xfId="2" quotePrefix="1" applyFont="1" applyBorder="1" applyAlignment="1">
      <alignment horizontal="center" vertical="center"/>
    </xf>
    <xf numFmtId="176" fontId="18" fillId="0" borderId="122" xfId="2" applyNumberFormat="1" applyFont="1" applyBorder="1" applyAlignment="1">
      <alignment horizontal="right" vertical="center"/>
    </xf>
    <xf numFmtId="177" fontId="18" fillId="0" borderId="15" xfId="2" applyNumberFormat="1" applyFont="1" applyBorder="1" applyAlignment="1">
      <alignment horizontal="right" vertical="center"/>
    </xf>
    <xf numFmtId="176" fontId="18" fillId="0" borderId="15" xfId="2" applyNumberFormat="1" applyFont="1" applyBorder="1" applyAlignment="1">
      <alignment horizontal="right" vertical="center"/>
    </xf>
    <xf numFmtId="177" fontId="18" fillId="0" borderId="103" xfId="2" applyNumberFormat="1" applyFont="1" applyBorder="1" applyAlignment="1">
      <alignment horizontal="right" vertical="center"/>
    </xf>
    <xf numFmtId="176" fontId="18" fillId="0" borderId="32" xfId="2" applyNumberFormat="1" applyFont="1" applyBorder="1" applyAlignment="1">
      <alignment horizontal="right" vertical="center"/>
    </xf>
    <xf numFmtId="176" fontId="18" fillId="0" borderId="66" xfId="2" applyNumberFormat="1" applyFont="1" applyBorder="1" applyAlignment="1">
      <alignment horizontal="right" vertical="center"/>
    </xf>
    <xf numFmtId="177" fontId="18" fillId="0" borderId="64" xfId="2" applyNumberFormat="1" applyFont="1" applyBorder="1" applyAlignment="1">
      <alignment horizontal="right" vertical="center"/>
    </xf>
    <xf numFmtId="176" fontId="18" fillId="0" borderId="64" xfId="2" applyNumberFormat="1" applyFont="1" applyBorder="1" applyAlignment="1">
      <alignment horizontal="right" vertical="center"/>
    </xf>
    <xf numFmtId="177" fontId="18" fillId="0" borderId="65" xfId="2" applyNumberFormat="1" applyFont="1" applyBorder="1" applyAlignment="1">
      <alignment horizontal="right" vertical="center"/>
    </xf>
    <xf numFmtId="176" fontId="18" fillId="0" borderId="85" xfId="2" applyNumberFormat="1" applyFont="1" applyBorder="1" applyAlignment="1">
      <alignment horizontal="right" vertical="center"/>
    </xf>
    <xf numFmtId="177" fontId="18" fillId="0" borderId="18" xfId="2" applyNumberFormat="1" applyFont="1" applyBorder="1" applyAlignment="1">
      <alignment horizontal="right" vertical="center"/>
    </xf>
    <xf numFmtId="176" fontId="18" fillId="0" borderId="18" xfId="2" applyNumberFormat="1" applyFont="1" applyBorder="1" applyAlignment="1">
      <alignment horizontal="right" vertical="center"/>
    </xf>
    <xf numFmtId="177" fontId="18" fillId="0" borderId="19" xfId="2" applyNumberFormat="1" applyFont="1" applyBorder="1" applyAlignment="1">
      <alignment horizontal="right" vertical="center"/>
    </xf>
    <xf numFmtId="176" fontId="18" fillId="0" borderId="42" xfId="2" applyNumberFormat="1" applyFont="1" applyBorder="1" applyAlignment="1">
      <alignment horizontal="right" vertical="center"/>
    </xf>
    <xf numFmtId="177" fontId="18" fillId="0" borderId="10" xfId="2" applyNumberFormat="1" applyFont="1" applyBorder="1" applyAlignment="1">
      <alignment horizontal="right" vertical="center"/>
    </xf>
    <xf numFmtId="176" fontId="18" fillId="0" borderId="10" xfId="2" applyNumberFormat="1" applyFont="1" applyBorder="1" applyAlignment="1">
      <alignment horizontal="right" vertical="center"/>
    </xf>
    <xf numFmtId="177" fontId="18" fillId="0" borderId="11" xfId="2" applyNumberFormat="1" applyFont="1" applyBorder="1" applyAlignment="1">
      <alignment horizontal="right" vertical="center"/>
    </xf>
    <xf numFmtId="176" fontId="17" fillId="0" borderId="0" xfId="2" applyNumberFormat="1" applyFont="1" applyAlignment="1">
      <alignment vertical="center"/>
    </xf>
    <xf numFmtId="203" fontId="17" fillId="0" borderId="0" xfId="2" applyNumberFormat="1" applyFont="1" applyAlignment="1">
      <alignment vertical="center"/>
    </xf>
    <xf numFmtId="203" fontId="21" fillId="0" borderId="0" xfId="2" applyNumberFormat="1" applyFont="1" applyAlignment="1">
      <alignment horizontal="center" vertical="center"/>
    </xf>
    <xf numFmtId="0" fontId="17" fillId="0" borderId="82" xfId="2" quotePrefix="1" applyFont="1" applyBorder="1" applyAlignment="1">
      <alignment horizontal="center" vertical="center"/>
    </xf>
    <xf numFmtId="190" fontId="5" fillId="0" borderId="12" xfId="2" applyNumberFormat="1" applyFont="1" applyBorder="1" applyAlignment="1">
      <alignment horizontal="right" vertical="center"/>
    </xf>
    <xf numFmtId="181" fontId="5" fillId="0" borderId="0" xfId="8" applyFont="1" applyBorder="1" applyAlignment="1">
      <alignment horizontal="right" vertical="center"/>
    </xf>
    <xf numFmtId="181" fontId="5" fillId="0" borderId="31" xfId="8" applyFont="1" applyBorder="1" applyAlignment="1">
      <alignment horizontal="right" vertical="center"/>
    </xf>
    <xf numFmtId="190" fontId="5" fillId="0" borderId="13" xfId="2" applyNumberFormat="1" applyFont="1" applyBorder="1" applyAlignment="1">
      <alignment horizontal="right" vertical="center"/>
    </xf>
    <xf numFmtId="0" fontId="17" fillId="0" borderId="106" xfId="2" quotePrefix="1" applyFont="1" applyBorder="1" applyAlignment="1">
      <alignment horizontal="center" vertical="center"/>
    </xf>
    <xf numFmtId="49" fontId="17" fillId="0" borderId="100" xfId="2" quotePrefix="1" applyNumberFormat="1" applyFont="1" applyBorder="1" applyAlignment="1">
      <alignment horizontal="center" vertical="center"/>
    </xf>
    <xf numFmtId="190" fontId="5" fillId="0" borderId="15" xfId="2" applyNumberFormat="1" applyFont="1" applyBorder="1" applyAlignment="1">
      <alignment horizontal="right" vertical="center"/>
    </xf>
    <xf numFmtId="176" fontId="5" fillId="0" borderId="15" xfId="2" applyNumberFormat="1" applyFont="1" applyBorder="1" applyAlignment="1">
      <alignment horizontal="right" vertical="center"/>
    </xf>
    <xf numFmtId="181" fontId="5" fillId="0" borderId="116" xfId="8" applyFont="1" applyBorder="1" applyAlignment="1">
      <alignment horizontal="right" vertical="center"/>
    </xf>
    <xf numFmtId="181" fontId="5" fillId="0" borderId="32" xfId="8" applyFont="1" applyBorder="1" applyAlignment="1">
      <alignment horizontal="right" vertical="center"/>
    </xf>
    <xf numFmtId="190" fontId="5" fillId="0" borderId="16" xfId="2" applyNumberFormat="1" applyFont="1" applyBorder="1" applyAlignment="1">
      <alignment horizontal="right" vertical="center"/>
    </xf>
    <xf numFmtId="2" fontId="17" fillId="0" borderId="87" xfId="2" quotePrefix="1" applyNumberFormat="1" applyFont="1" applyBorder="1" applyAlignment="1">
      <alignment horizontal="center" vertical="center"/>
    </xf>
    <xf numFmtId="190" fontId="5" fillId="0" borderId="18" xfId="2" applyNumberFormat="1" applyFont="1" applyBorder="1" applyAlignment="1">
      <alignment horizontal="right" vertical="center"/>
    </xf>
    <xf numFmtId="181" fontId="5" fillId="0" borderId="84" xfId="8" applyFont="1" applyBorder="1" applyAlignment="1">
      <alignment horizontal="right" vertical="center"/>
    </xf>
    <xf numFmtId="181" fontId="5" fillId="0" borderId="33" xfId="8" applyFont="1" applyBorder="1" applyAlignment="1">
      <alignment horizontal="right" vertical="center"/>
    </xf>
    <xf numFmtId="190" fontId="5" fillId="0" borderId="19" xfId="2" applyNumberFormat="1" applyFont="1" applyBorder="1" applyAlignment="1">
      <alignment horizontal="right" vertical="center"/>
    </xf>
    <xf numFmtId="181" fontId="5" fillId="0" borderId="12" xfId="8" applyFont="1" applyBorder="1" applyAlignment="1">
      <alignment horizontal="right" vertical="center"/>
    </xf>
    <xf numFmtId="2" fontId="17" fillId="0" borderId="41" xfId="2" quotePrefix="1" applyNumberFormat="1" applyFont="1" applyBorder="1" applyAlignment="1">
      <alignment horizontal="center" vertical="center"/>
    </xf>
    <xf numFmtId="190" fontId="5" fillId="0" borderId="10" xfId="2" applyNumberFormat="1" applyFont="1" applyBorder="1" applyAlignment="1">
      <alignment horizontal="right" vertical="center"/>
    </xf>
    <xf numFmtId="181" fontId="5" fillId="0" borderId="99" xfId="8" applyFont="1" applyBorder="1" applyAlignment="1">
      <alignment horizontal="right" vertical="center"/>
    </xf>
    <xf numFmtId="181" fontId="5" fillId="0" borderId="30" xfId="8" applyFont="1" applyBorder="1" applyAlignment="1">
      <alignment horizontal="right" vertical="center"/>
    </xf>
    <xf numFmtId="190" fontId="5" fillId="0" borderId="11" xfId="2" applyNumberFormat="1" applyFont="1" applyBorder="1" applyAlignment="1">
      <alignment horizontal="right" vertical="center"/>
    </xf>
    <xf numFmtId="176" fontId="18" fillId="0" borderId="120" xfId="2" applyNumberFormat="1" applyFont="1" applyBorder="1" applyAlignment="1">
      <alignment horizontal="right" vertical="center"/>
    </xf>
    <xf numFmtId="176" fontId="18" fillId="0" borderId="63" xfId="2" applyNumberFormat="1" applyFont="1" applyBorder="1" applyAlignment="1">
      <alignment horizontal="right" vertical="center"/>
    </xf>
    <xf numFmtId="177" fontId="18" fillId="0" borderId="75" xfId="2" applyNumberFormat="1" applyFont="1" applyBorder="1" applyAlignment="1">
      <alignment horizontal="right" vertical="center"/>
    </xf>
    <xf numFmtId="176" fontId="18" fillId="0" borderId="104" xfId="2" applyNumberFormat="1" applyFont="1" applyBorder="1" applyAlignment="1">
      <alignment horizontal="right" vertical="center"/>
    </xf>
    <xf numFmtId="176" fontId="18" fillId="0" borderId="33" xfId="2" applyNumberFormat="1" applyFont="1" applyBorder="1" applyAlignment="1">
      <alignment horizontal="right" vertical="center"/>
    </xf>
    <xf numFmtId="177" fontId="18" fillId="0" borderId="105" xfId="2" applyNumberFormat="1" applyFont="1" applyBorder="1" applyAlignment="1">
      <alignment horizontal="right" vertical="center"/>
    </xf>
    <xf numFmtId="176" fontId="18" fillId="0" borderId="107" xfId="2" applyNumberFormat="1" applyFont="1" applyBorder="1" applyAlignment="1">
      <alignment horizontal="right" vertical="center"/>
    </xf>
    <xf numFmtId="176" fontId="18" fillId="0" borderId="30" xfId="2" applyNumberFormat="1" applyFont="1" applyBorder="1" applyAlignment="1">
      <alignment horizontal="right" vertical="center"/>
    </xf>
    <xf numFmtId="177" fontId="18" fillId="0" borderId="43" xfId="2" applyNumberFormat="1" applyFont="1" applyBorder="1" applyAlignment="1">
      <alignment horizontal="right" vertical="center"/>
    </xf>
    <xf numFmtId="177" fontId="18" fillId="0" borderId="0" xfId="2" applyNumberFormat="1" applyFont="1" applyAlignment="1">
      <alignment horizontal="right" vertical="center"/>
    </xf>
    <xf numFmtId="0" fontId="5" fillId="0" borderId="90" xfId="2" applyFont="1" applyBorder="1" applyAlignment="1">
      <alignment horizontal="center" vertical="center"/>
    </xf>
    <xf numFmtId="0" fontId="5" fillId="0" borderId="38" xfId="2" quotePrefix="1" applyFont="1" applyBorder="1" applyAlignment="1">
      <alignment horizontal="center" vertical="center"/>
    </xf>
    <xf numFmtId="176" fontId="5" fillId="0" borderId="80" xfId="2" applyNumberFormat="1" applyFont="1" applyBorder="1" applyAlignment="1">
      <alignment horizontal="right" vertical="center"/>
    </xf>
    <xf numFmtId="176" fontId="5" fillId="0" borderId="13" xfId="2" applyNumberFormat="1" applyFont="1" applyBorder="1" applyAlignment="1">
      <alignment horizontal="right" vertical="center"/>
    </xf>
    <xf numFmtId="42" fontId="5" fillId="0" borderId="12" xfId="8" applyNumberFormat="1" applyFont="1" applyBorder="1" applyAlignment="1">
      <alignment horizontal="right" vertical="center"/>
    </xf>
    <xf numFmtId="176" fontId="5" fillId="0" borderId="62" xfId="2" applyNumberFormat="1" applyFont="1" applyBorder="1" applyAlignment="1">
      <alignment horizontal="right" vertical="center"/>
    </xf>
    <xf numFmtId="41" fontId="5" fillId="0" borderId="15" xfId="8" applyNumberFormat="1" applyFont="1" applyBorder="1" applyAlignment="1">
      <alignment horizontal="right" vertical="center"/>
    </xf>
    <xf numFmtId="176" fontId="5" fillId="0" borderId="16" xfId="2" applyNumberFormat="1" applyFont="1" applyBorder="1" applyAlignment="1">
      <alignment horizontal="right" vertical="center"/>
    </xf>
    <xf numFmtId="181" fontId="26" fillId="0" borderId="0" xfId="2" applyNumberFormat="1" applyFont="1" applyAlignment="1">
      <alignment vertical="center"/>
    </xf>
    <xf numFmtId="210" fontId="29" fillId="0" borderId="66" xfId="8" applyNumberFormat="1" applyFont="1" applyBorder="1" applyAlignment="1">
      <alignment horizontal="right" vertical="center"/>
    </xf>
    <xf numFmtId="210" fontId="29" fillId="0" borderId="64" xfId="8" applyNumberFormat="1" applyFont="1" applyBorder="1" applyAlignment="1">
      <alignment horizontal="right" vertical="center"/>
    </xf>
    <xf numFmtId="181" fontId="29" fillId="0" borderId="64" xfId="8" applyFont="1" applyBorder="1" applyAlignment="1">
      <alignment horizontal="right" vertical="center"/>
    </xf>
    <xf numFmtId="210" fontId="29" fillId="0" borderId="65" xfId="8" applyNumberFormat="1" applyFont="1" applyBorder="1" applyAlignment="1">
      <alignment horizontal="right" vertical="center"/>
    </xf>
    <xf numFmtId="181" fontId="5" fillId="0" borderId="77" xfId="2" quotePrefix="1" applyNumberFormat="1" applyFont="1" applyBorder="1" applyAlignment="1">
      <alignment vertical="center"/>
    </xf>
    <xf numFmtId="181" fontId="5" fillId="0" borderId="12" xfId="2" quotePrefix="1" applyNumberFormat="1" applyFont="1" applyBorder="1" applyAlignment="1">
      <alignment vertical="center"/>
    </xf>
    <xf numFmtId="41" fontId="5" fillId="0" borderId="12" xfId="8" quotePrefix="1" applyNumberFormat="1" applyFont="1" applyBorder="1" applyAlignment="1">
      <alignment horizontal="right" vertical="center"/>
    </xf>
    <xf numFmtId="181" fontId="5" fillId="0" borderId="13" xfId="2" quotePrefix="1" applyNumberFormat="1" applyFont="1" applyBorder="1" applyAlignment="1">
      <alignment vertical="center"/>
    </xf>
    <xf numFmtId="181" fontId="5" fillId="0" borderId="12" xfId="2" quotePrefix="1" applyNumberFormat="1" applyFont="1" applyBorder="1" applyAlignment="1">
      <alignment horizontal="right" vertical="center"/>
    </xf>
    <xf numFmtId="181" fontId="5" fillId="0" borderId="85" xfId="2" quotePrefix="1" applyNumberFormat="1" applyFont="1" applyBorder="1" applyAlignment="1">
      <alignment vertical="center"/>
    </xf>
    <xf numFmtId="181" fontId="5" fillId="0" borderId="18" xfId="2" quotePrefix="1" applyNumberFormat="1" applyFont="1" applyBorder="1" applyAlignment="1">
      <alignment vertical="center"/>
    </xf>
    <xf numFmtId="41" fontId="5" fillId="0" borderId="18" xfId="8" quotePrefix="1" applyNumberFormat="1" applyFont="1" applyBorder="1" applyAlignment="1">
      <alignment horizontal="right" vertical="center"/>
    </xf>
    <xf numFmtId="181" fontId="5" fillId="0" borderId="19" xfId="2" quotePrefix="1" applyNumberFormat="1" applyFont="1" applyBorder="1" applyAlignment="1">
      <alignment vertical="center"/>
    </xf>
    <xf numFmtId="41" fontId="95" fillId="0" borderId="42" xfId="23" applyFont="1" applyBorder="1">
      <alignment vertical="center"/>
    </xf>
    <xf numFmtId="41" fontId="95" fillId="0" borderId="10" xfId="23" applyFont="1" applyBorder="1">
      <alignment vertical="center"/>
    </xf>
    <xf numFmtId="41" fontId="95" fillId="0" borderId="10" xfId="23" applyFont="1" applyBorder="1" applyAlignment="1">
      <alignment horizontal="right" vertical="center"/>
    </xf>
    <xf numFmtId="41" fontId="95" fillId="0" borderId="11" xfId="23" applyFont="1" applyBorder="1">
      <alignment vertical="center"/>
    </xf>
    <xf numFmtId="0" fontId="74" fillId="0" borderId="0" xfId="2" quotePrefix="1" applyFont="1" applyAlignment="1">
      <alignment vertical="center"/>
    </xf>
    <xf numFmtId="181" fontId="22" fillId="0" borderId="0" xfId="2" quotePrefix="1" applyNumberFormat="1" applyFont="1" applyAlignment="1">
      <alignment vertical="center"/>
    </xf>
    <xf numFmtId="41" fontId="5" fillId="0" borderId="129" xfId="2" applyNumberFormat="1" applyFont="1" applyBorder="1" applyAlignment="1">
      <alignment horizontal="center" vertical="center"/>
    </xf>
    <xf numFmtId="181" fontId="5" fillId="0" borderId="31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horizontal="right" vertical="center"/>
    </xf>
    <xf numFmtId="41" fontId="5" fillId="0" borderId="12" xfId="15" quotePrefix="1" applyNumberFormat="1" applyFont="1" applyBorder="1" applyAlignment="1">
      <alignment horizontal="right" vertical="center"/>
    </xf>
    <xf numFmtId="181" fontId="5" fillId="0" borderId="32" xfId="2" quotePrefix="1" applyNumberFormat="1" applyFont="1" applyBorder="1" applyAlignment="1">
      <alignment vertical="center"/>
    </xf>
    <xf numFmtId="181" fontId="5" fillId="0" borderId="15" xfId="2" quotePrefix="1" applyNumberFormat="1" applyFont="1" applyBorder="1" applyAlignment="1">
      <alignment vertical="center"/>
    </xf>
    <xf numFmtId="41" fontId="5" fillId="0" borderId="15" xfId="15" quotePrefix="1" applyNumberFormat="1" applyFont="1" applyBorder="1" applyAlignment="1">
      <alignment horizontal="right" vertical="center"/>
    </xf>
    <xf numFmtId="176" fontId="5" fillId="0" borderId="103" xfId="2" applyNumberFormat="1" applyFont="1" applyBorder="1" applyAlignment="1">
      <alignment horizontal="right" vertical="center"/>
    </xf>
    <xf numFmtId="181" fontId="8" fillId="0" borderId="0" xfId="2" applyNumberFormat="1" applyFont="1" applyAlignment="1">
      <alignment vertical="center"/>
    </xf>
    <xf numFmtId="181" fontId="5" fillId="0" borderId="33" xfId="2" quotePrefix="1" applyNumberFormat="1" applyFont="1" applyBorder="1" applyAlignment="1">
      <alignment vertical="center"/>
    </xf>
    <xf numFmtId="41" fontId="5" fillId="0" borderId="18" xfId="15" quotePrefix="1" applyNumberFormat="1" applyFont="1" applyBorder="1" applyAlignment="1">
      <alignment horizontal="right" vertical="center"/>
    </xf>
    <xf numFmtId="176" fontId="5" fillId="0" borderId="105" xfId="2" applyNumberFormat="1" applyFont="1" applyBorder="1" applyAlignment="1">
      <alignment horizontal="right" vertical="center"/>
    </xf>
    <xf numFmtId="181" fontId="5" fillId="0" borderId="30" xfId="2" quotePrefix="1" applyNumberFormat="1" applyFont="1" applyBorder="1" applyAlignment="1">
      <alignment vertical="center"/>
    </xf>
    <xf numFmtId="181" fontId="5" fillId="0" borderId="10" xfId="2" quotePrefix="1" applyNumberFormat="1" applyFont="1" applyBorder="1" applyAlignment="1">
      <alignment vertical="center"/>
    </xf>
    <xf numFmtId="41" fontId="5" fillId="0" borderId="10" xfId="15" quotePrefix="1" applyNumberFormat="1" applyFont="1" applyBorder="1" applyAlignment="1">
      <alignment horizontal="right" vertical="center"/>
    </xf>
    <xf numFmtId="176" fontId="5" fillId="0" borderId="43" xfId="2" applyNumberFormat="1" applyFont="1" applyBorder="1" applyAlignment="1">
      <alignment horizontal="right" vertical="center"/>
    </xf>
    <xf numFmtId="181" fontId="5" fillId="0" borderId="0" xfId="2" quotePrefix="1" applyNumberFormat="1" applyFont="1" applyAlignment="1">
      <alignment vertical="center"/>
    </xf>
    <xf numFmtId="176" fontId="96" fillId="15" borderId="0" xfId="24" applyNumberFormat="1" applyFont="1" applyFill="1" applyAlignment="1">
      <alignment horizontal="right" vertical="center" wrapText="1"/>
    </xf>
    <xf numFmtId="176" fontId="96" fillId="16" borderId="0" xfId="24" applyNumberFormat="1" applyFont="1" applyFill="1" applyAlignment="1">
      <alignment horizontal="right" vertical="center" wrapText="1"/>
    </xf>
    <xf numFmtId="42" fontId="5" fillId="0" borderId="77" xfId="2" applyNumberFormat="1" applyFont="1" applyBorder="1" applyAlignment="1">
      <alignment horizontal="right" vertical="center"/>
    </xf>
    <xf numFmtId="41" fontId="5" fillId="0" borderId="62" xfId="2" applyNumberFormat="1" applyFont="1" applyBorder="1" applyAlignment="1">
      <alignment horizontal="right" vertical="center"/>
    </xf>
    <xf numFmtId="181" fontId="5" fillId="0" borderId="63" xfId="2" applyNumberFormat="1" applyFont="1" applyBorder="1" applyAlignment="1">
      <alignment horizontal="right" vertical="center"/>
    </xf>
    <xf numFmtId="181" fontId="5" fillId="0" borderId="64" xfId="2" applyNumberFormat="1" applyFont="1" applyBorder="1" applyAlignment="1">
      <alignment horizontal="right" vertical="center"/>
    </xf>
    <xf numFmtId="181" fontId="5" fillId="0" borderId="74" xfId="2" applyNumberFormat="1" applyFont="1" applyBorder="1" applyAlignment="1">
      <alignment horizontal="right" vertical="center"/>
    </xf>
    <xf numFmtId="41" fontId="5" fillId="0" borderId="15" xfId="2" applyNumberFormat="1" applyFont="1" applyBorder="1" applyAlignment="1">
      <alignment horizontal="right" vertical="center"/>
    </xf>
    <xf numFmtId="181" fontId="5" fillId="0" borderId="31" xfId="2" applyNumberFormat="1" applyFont="1" applyBorder="1" applyAlignment="1">
      <alignment horizontal="right" vertical="center"/>
    </xf>
    <xf numFmtId="181" fontId="5" fillId="0" borderId="12" xfId="2" applyNumberFormat="1" applyFont="1" applyBorder="1" applyAlignment="1">
      <alignment horizontal="right" vertical="center"/>
    </xf>
    <xf numFmtId="181" fontId="5" fillId="0" borderId="86" xfId="2" applyNumberFormat="1" applyFont="1" applyBorder="1" applyAlignment="1">
      <alignment horizontal="right" vertical="center"/>
    </xf>
    <xf numFmtId="176" fontId="5" fillId="0" borderId="19" xfId="2" applyNumberFormat="1" applyFont="1" applyBorder="1" applyAlignment="1">
      <alignment horizontal="right" vertical="center"/>
    </xf>
    <xf numFmtId="181" fontId="5" fillId="0" borderId="33" xfId="2" applyNumberFormat="1" applyFont="1" applyBorder="1" applyAlignment="1">
      <alignment horizontal="right" vertical="center"/>
    </xf>
    <xf numFmtId="181" fontId="5" fillId="0" borderId="18" xfId="2" applyNumberFormat="1" applyFont="1" applyBorder="1" applyAlignment="1">
      <alignment horizontal="right" vertical="center"/>
    </xf>
    <xf numFmtId="181" fontId="5" fillId="0" borderId="78" xfId="2" applyNumberFormat="1" applyFont="1" applyBorder="1" applyAlignment="1">
      <alignment horizontal="right" vertical="center"/>
    </xf>
    <xf numFmtId="181" fontId="5" fillId="0" borderId="30" xfId="2" applyNumberFormat="1" applyFont="1" applyBorder="1" applyAlignment="1">
      <alignment horizontal="right" vertical="center"/>
    </xf>
    <xf numFmtId="181" fontId="5" fillId="0" borderId="10" xfId="2" applyNumberFormat="1" applyFont="1" applyBorder="1" applyAlignment="1">
      <alignment horizontal="right" vertical="center"/>
    </xf>
    <xf numFmtId="181" fontId="5" fillId="0" borderId="88" xfId="2" applyNumberFormat="1" applyFont="1" applyBorder="1" applyAlignment="1">
      <alignment horizontal="right" vertical="center"/>
    </xf>
    <xf numFmtId="41" fontId="5" fillId="0" borderId="10" xfId="2" applyNumberFormat="1" applyFont="1" applyBorder="1" applyAlignment="1">
      <alignment horizontal="right" vertical="center"/>
    </xf>
    <xf numFmtId="176" fontId="5" fillId="0" borderId="11" xfId="2" applyNumberFormat="1" applyFont="1" applyBorder="1" applyAlignment="1">
      <alignment horizontal="right" vertical="center"/>
    </xf>
    <xf numFmtId="0" fontId="35" fillId="0" borderId="0" xfId="2" quotePrefix="1" applyFont="1" applyAlignment="1">
      <alignment vertical="center"/>
    </xf>
    <xf numFmtId="181" fontId="74" fillId="0" borderId="0" xfId="2" applyNumberFormat="1" applyFont="1" applyAlignment="1">
      <alignment horizontal="right" vertical="center"/>
    </xf>
    <xf numFmtId="0" fontId="8" fillId="0" borderId="0" xfId="2" applyFont="1" applyAlignment="1" applyProtection="1">
      <alignment vertical="center"/>
      <protection locked="0"/>
    </xf>
    <xf numFmtId="0" fontId="16" fillId="0" borderId="0" xfId="2" applyFont="1" applyAlignment="1" applyProtection="1">
      <alignment vertical="center"/>
      <protection locked="0"/>
    </xf>
    <xf numFmtId="0" fontId="17" fillId="0" borderId="0" xfId="2" applyFont="1" applyAlignment="1">
      <alignment horizontal="right" vertical="top"/>
    </xf>
    <xf numFmtId="0" fontId="5" fillId="0" borderId="55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 wrapText="1"/>
    </xf>
    <xf numFmtId="0" fontId="5" fillId="0" borderId="64" xfId="2" applyFont="1" applyBorder="1" applyAlignment="1">
      <alignment horizontal="center" vertical="center"/>
    </xf>
    <xf numFmtId="176" fontId="5" fillId="0" borderId="64" xfId="25" applyNumberFormat="1" applyFont="1" applyBorder="1">
      <alignment vertical="center"/>
    </xf>
    <xf numFmtId="176" fontId="5" fillId="0" borderId="15" xfId="25" applyNumberFormat="1" applyFont="1" applyBorder="1">
      <alignment vertical="center"/>
    </xf>
    <xf numFmtId="181" fontId="5" fillId="0" borderId="64" xfId="8" applyFont="1" applyBorder="1" applyAlignment="1">
      <alignment horizontal="right" vertical="center"/>
    </xf>
    <xf numFmtId="176" fontId="5" fillId="0" borderId="65" xfId="25" applyNumberFormat="1" applyFont="1" applyBorder="1">
      <alignment vertical="center"/>
    </xf>
    <xf numFmtId="0" fontId="5" fillId="0" borderId="31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 wrapText="1"/>
    </xf>
    <xf numFmtId="0" fontId="5" fillId="6" borderId="63" xfId="2" applyFont="1" applyFill="1" applyBorder="1" applyAlignment="1">
      <alignment horizontal="center" vertical="center" wrapText="1"/>
    </xf>
    <xf numFmtId="0" fontId="5" fillId="6" borderId="64" xfId="2" applyFont="1" applyFill="1" applyBorder="1" applyAlignment="1">
      <alignment horizontal="center" vertical="center"/>
    </xf>
    <xf numFmtId="176" fontId="5" fillId="6" borderId="64" xfId="25" applyNumberFormat="1" applyFont="1" applyFill="1" applyBorder="1">
      <alignment vertical="center"/>
    </xf>
    <xf numFmtId="181" fontId="5" fillId="6" borderId="64" xfId="8" applyFont="1" applyFill="1" applyBorder="1" applyAlignment="1">
      <alignment horizontal="right" vertical="center"/>
    </xf>
    <xf numFmtId="176" fontId="5" fillId="6" borderId="65" xfId="25" applyNumberFormat="1" applyFont="1" applyFill="1" applyBorder="1">
      <alignment vertical="center"/>
    </xf>
    <xf numFmtId="176" fontId="98" fillId="0" borderId="0" xfId="2" applyNumberFormat="1" applyFont="1" applyAlignment="1">
      <alignment vertical="center"/>
    </xf>
    <xf numFmtId="0" fontId="98" fillId="0" borderId="0" xfId="2" applyFont="1" applyAlignment="1">
      <alignment vertical="center"/>
    </xf>
    <xf numFmtId="0" fontId="5" fillId="6" borderId="63" xfId="2" applyFont="1" applyFill="1" applyBorder="1" applyAlignment="1">
      <alignment horizontal="center" vertical="center"/>
    </xf>
    <xf numFmtId="203" fontId="98" fillId="0" borderId="0" xfId="2" applyNumberFormat="1" applyFont="1" applyAlignment="1">
      <alignment vertical="center"/>
    </xf>
    <xf numFmtId="0" fontId="5" fillId="0" borderId="63" xfId="2" applyFont="1" applyBorder="1" applyAlignment="1">
      <alignment horizontal="center" vertical="center" wrapText="1"/>
    </xf>
    <xf numFmtId="176" fontId="5" fillId="0" borderId="16" xfId="25" applyNumberFormat="1" applyFont="1" applyBorder="1">
      <alignment vertical="center"/>
    </xf>
    <xf numFmtId="181" fontId="95" fillId="6" borderId="64" xfId="8" applyFont="1" applyFill="1" applyBorder="1" applyAlignment="1">
      <alignment vertical="center"/>
    </xf>
    <xf numFmtId="181" fontId="95" fillId="6" borderId="65" xfId="8" applyFont="1" applyFill="1" applyBorder="1" applyAlignment="1">
      <alignment vertical="center"/>
    </xf>
    <xf numFmtId="0" fontId="5" fillId="6" borderId="58" xfId="2" applyFont="1" applyFill="1" applyBorder="1" applyAlignment="1">
      <alignment horizontal="center" vertical="center"/>
    </xf>
    <xf numFmtId="0" fontId="5" fillId="6" borderId="59" xfId="2" applyFont="1" applyFill="1" applyBorder="1" applyAlignment="1">
      <alignment horizontal="center" vertical="center"/>
    </xf>
    <xf numFmtId="181" fontId="95" fillId="6" borderId="59" xfId="8" applyFont="1" applyFill="1" applyBorder="1" applyAlignment="1">
      <alignment vertical="center"/>
    </xf>
    <xf numFmtId="181" fontId="5" fillId="6" borderId="59" xfId="8" applyFont="1" applyFill="1" applyBorder="1" applyAlignment="1">
      <alignment horizontal="right" vertical="center"/>
    </xf>
    <xf numFmtId="181" fontId="95" fillId="6" borderId="60" xfId="8" applyFont="1" applyFill="1" applyBorder="1" applyAlignment="1">
      <alignment vertical="center"/>
    </xf>
    <xf numFmtId="0" fontId="5" fillId="0" borderId="99" xfId="2" applyFont="1" applyBorder="1" applyAlignment="1">
      <alignment horizontal="right" vertical="top"/>
    </xf>
    <xf numFmtId="0" fontId="5" fillId="0" borderId="90" xfId="2" applyFont="1" applyBorder="1" applyAlignment="1">
      <alignment horizontal="center" vertical="center"/>
    </xf>
    <xf numFmtId="2" fontId="5" fillId="0" borderId="130" xfId="2" quotePrefix="1" applyNumberFormat="1" applyFont="1" applyBorder="1" applyAlignment="1">
      <alignment horizontal="center" vertical="center"/>
    </xf>
    <xf numFmtId="2" fontId="5" fillId="0" borderId="129" xfId="2" quotePrefix="1" applyNumberFormat="1" applyFont="1" applyBorder="1" applyAlignment="1">
      <alignment horizontal="center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71" xfId="2" applyNumberFormat="1" applyFont="1" applyBorder="1" applyAlignment="1">
      <alignment horizontal="center" vertical="center"/>
    </xf>
    <xf numFmtId="2" fontId="5" fillId="0" borderId="129" xfId="2" applyNumberFormat="1" applyFont="1" applyBorder="1" applyAlignment="1">
      <alignment horizontal="center" vertical="center"/>
    </xf>
    <xf numFmtId="2" fontId="5" fillId="0" borderId="90" xfId="2" quotePrefix="1" applyNumberFormat="1" applyFont="1" applyBorder="1" applyAlignment="1">
      <alignment horizontal="center" vertical="center"/>
    </xf>
    <xf numFmtId="189" fontId="5" fillId="0" borderId="73" xfId="2" applyNumberFormat="1" applyFont="1" applyBorder="1" applyAlignment="1">
      <alignment horizontal="right" vertical="center"/>
    </xf>
    <xf numFmtId="189" fontId="5" fillId="0" borderId="55" xfId="2" applyNumberFormat="1" applyFont="1" applyBorder="1" applyAlignment="1">
      <alignment horizontal="right" vertical="center"/>
    </xf>
    <xf numFmtId="189" fontId="5" fillId="0" borderId="68" xfId="2" applyNumberFormat="1" applyFont="1" applyBorder="1" applyAlignment="1">
      <alignment horizontal="right" vertical="center"/>
    </xf>
    <xf numFmtId="0" fontId="5" fillId="0" borderId="120" xfId="2" applyFont="1" applyBorder="1" applyAlignment="1">
      <alignment horizontal="center" vertical="center"/>
    </xf>
    <xf numFmtId="0" fontId="5" fillId="0" borderId="75" xfId="2" applyFont="1" applyBorder="1" applyAlignment="1">
      <alignment horizontal="center" vertical="center"/>
    </xf>
    <xf numFmtId="189" fontId="5" fillId="0" borderId="74" xfId="2" applyNumberFormat="1" applyFont="1" applyBorder="1" applyAlignment="1">
      <alignment horizontal="right" vertical="center"/>
    </xf>
    <xf numFmtId="189" fontId="5" fillId="0" borderId="75" xfId="2" applyNumberFormat="1" applyFont="1" applyBorder="1" applyAlignment="1">
      <alignment horizontal="right" vertical="center"/>
    </xf>
    <xf numFmtId="0" fontId="5" fillId="0" borderId="118" xfId="2" applyFont="1" applyBorder="1" applyAlignment="1">
      <alignment horizontal="center" vertical="center"/>
    </xf>
    <xf numFmtId="189" fontId="5" fillId="0" borderId="76" xfId="2" applyNumberFormat="1" applyFont="1" applyBorder="1" applyAlignment="1">
      <alignment horizontal="right" vertical="center"/>
    </xf>
    <xf numFmtId="189" fontId="5" fillId="0" borderId="59" xfId="2" applyNumberFormat="1" applyFont="1" applyBorder="1" applyAlignment="1">
      <alignment horizontal="right" vertical="center"/>
    </xf>
    <xf numFmtId="189" fontId="5" fillId="0" borderId="70" xfId="2" applyNumberFormat="1" applyFont="1" applyBorder="1" applyAlignment="1">
      <alignment horizontal="right" vertical="center"/>
    </xf>
    <xf numFmtId="0" fontId="5" fillId="0" borderId="31" xfId="2" applyFont="1" applyBorder="1" applyAlignment="1">
      <alignment horizontal="center" vertical="center"/>
    </xf>
    <xf numFmtId="0" fontId="5" fillId="0" borderId="103" xfId="2" applyFont="1" applyBorder="1" applyAlignment="1">
      <alignment horizontal="center" vertical="center"/>
    </xf>
    <xf numFmtId="189" fontId="5" fillId="0" borderId="102" xfId="2" applyNumberFormat="1" applyFont="1" applyBorder="1" applyAlignment="1">
      <alignment horizontal="right" vertical="center"/>
    </xf>
    <xf numFmtId="189" fontId="5" fillId="0" borderId="103" xfId="2" applyNumberFormat="1" applyFont="1" applyBorder="1" applyAlignment="1">
      <alignment horizontal="right" vertical="center"/>
    </xf>
    <xf numFmtId="0" fontId="5" fillId="0" borderId="75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189" fontId="5" fillId="0" borderId="130" xfId="2" applyNumberFormat="1" applyFont="1" applyBorder="1" applyAlignment="1">
      <alignment horizontal="right" vertical="center"/>
    </xf>
    <xf numFmtId="189" fontId="5" fillId="0" borderId="129" xfId="2" applyNumberFormat="1" applyFont="1" applyBorder="1" applyAlignment="1">
      <alignment horizontal="right" vertical="center"/>
    </xf>
    <xf numFmtId="189" fontId="5" fillId="0" borderId="90" xfId="2" applyNumberFormat="1" applyFont="1" applyBorder="1" applyAlignment="1">
      <alignment horizontal="right" vertical="center"/>
    </xf>
    <xf numFmtId="0" fontId="16" fillId="0" borderId="0" xfId="2" quotePrefix="1" applyFont="1" applyAlignment="1">
      <alignment vertical="center"/>
    </xf>
    <xf numFmtId="0" fontId="5" fillId="0" borderId="128" xfId="2" applyFont="1" applyBorder="1" applyAlignment="1">
      <alignment horizontal="center" vertical="center"/>
    </xf>
    <xf numFmtId="0" fontId="5" fillId="0" borderId="160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109" xfId="2" applyFont="1" applyBorder="1" applyAlignment="1">
      <alignment horizontal="center" vertical="center"/>
    </xf>
    <xf numFmtId="181" fontId="95" fillId="0" borderId="54" xfId="8" applyFont="1" applyBorder="1" applyAlignment="1">
      <alignment vertical="center"/>
    </xf>
    <xf numFmtId="181" fontId="95" fillId="0" borderId="55" xfId="8" applyFont="1" applyBorder="1" applyAlignment="1">
      <alignment vertical="center"/>
    </xf>
    <xf numFmtId="176" fontId="5" fillId="0" borderId="27" xfId="2" applyNumberFormat="1" applyFont="1" applyBorder="1" applyAlignment="1">
      <alignment horizontal="right" vertical="center"/>
    </xf>
    <xf numFmtId="181" fontId="95" fillId="0" borderId="56" xfId="8" applyFont="1" applyBorder="1" applyAlignment="1">
      <alignment vertical="center"/>
    </xf>
    <xf numFmtId="181" fontId="95" fillId="0" borderId="63" xfId="8" applyFont="1" applyBorder="1" applyAlignment="1">
      <alignment vertical="center"/>
    </xf>
    <xf numFmtId="181" fontId="95" fillId="0" borderId="64" xfId="8" applyFont="1" applyBorder="1" applyAlignment="1">
      <alignment vertical="center"/>
    </xf>
    <xf numFmtId="181" fontId="95" fillId="0" borderId="65" xfId="8" applyFont="1" applyBorder="1" applyAlignment="1">
      <alignment vertical="center"/>
    </xf>
    <xf numFmtId="181" fontId="95" fillId="0" borderId="58" xfId="8" applyFont="1" applyBorder="1" applyAlignment="1">
      <alignment vertical="center"/>
    </xf>
    <xf numFmtId="181" fontId="95" fillId="0" borderId="59" xfId="8" applyFont="1" applyBorder="1" applyAlignment="1">
      <alignment vertical="center"/>
    </xf>
    <xf numFmtId="176" fontId="5" fillId="0" borderId="59" xfId="2" applyNumberFormat="1" applyFont="1" applyBorder="1" applyAlignment="1">
      <alignment horizontal="right" vertical="center"/>
    </xf>
    <xf numFmtId="181" fontId="95" fillId="0" borderId="60" xfId="8" applyFont="1" applyBorder="1" applyAlignment="1">
      <alignment vertical="center"/>
    </xf>
    <xf numFmtId="176" fontId="5" fillId="0" borderId="32" xfId="2" applyNumberFormat="1" applyFont="1" applyBorder="1" applyAlignment="1">
      <alignment horizontal="right" vertical="center"/>
    </xf>
    <xf numFmtId="176" fontId="5" fillId="0" borderId="63" xfId="2" applyNumberFormat="1" applyFont="1" applyBorder="1" applyAlignment="1">
      <alignment horizontal="right" vertical="center"/>
    </xf>
    <xf numFmtId="176" fontId="5" fillId="0" borderId="65" xfId="2" applyNumberFormat="1" applyFont="1" applyBorder="1" applyAlignment="1">
      <alignment horizontal="right" vertical="center"/>
    </xf>
    <xf numFmtId="176" fontId="5" fillId="0" borderId="58" xfId="2" applyNumberFormat="1" applyFont="1" applyBorder="1" applyAlignment="1">
      <alignment horizontal="right" vertical="center"/>
    </xf>
    <xf numFmtId="176" fontId="5" fillId="0" borderId="60" xfId="2" applyNumberFormat="1" applyFont="1" applyBorder="1" applyAlignment="1">
      <alignment horizontal="right" vertical="center"/>
    </xf>
    <xf numFmtId="176" fontId="5" fillId="0" borderId="128" xfId="2" applyNumberFormat="1" applyFont="1" applyBorder="1" applyAlignment="1">
      <alignment horizontal="right" vertical="center"/>
    </xf>
    <xf numFmtId="176" fontId="5" fillId="0" borderId="129" xfId="2" applyNumberFormat="1" applyFont="1" applyBorder="1" applyAlignment="1">
      <alignment horizontal="right" vertical="center"/>
    </xf>
    <xf numFmtId="176" fontId="5" fillId="0" borderId="34" xfId="2" applyNumberFormat="1" applyFont="1" applyBorder="1" applyAlignment="1">
      <alignment horizontal="right" vertical="center"/>
    </xf>
    <xf numFmtId="177" fontId="5" fillId="0" borderId="0" xfId="2" applyNumberFormat="1" applyFont="1" applyAlignment="1">
      <alignment vertical="center"/>
    </xf>
    <xf numFmtId="0" fontId="34" fillId="0" borderId="0" xfId="24">
      <alignment vertical="center"/>
    </xf>
    <xf numFmtId="189" fontId="18" fillId="0" borderId="99" xfId="2" applyNumberFormat="1" applyFont="1" applyBorder="1" applyAlignment="1">
      <alignment horizontal="right" vertical="center"/>
    </xf>
    <xf numFmtId="0" fontId="5" fillId="0" borderId="92" xfId="2" applyFont="1" applyBorder="1" applyAlignment="1">
      <alignment horizontal="center" vertical="center"/>
    </xf>
    <xf numFmtId="189" fontId="5" fillId="0" borderId="54" xfId="2" applyNumberFormat="1" applyFont="1" applyBorder="1" applyAlignment="1">
      <alignment horizontal="right" vertical="center"/>
    </xf>
    <xf numFmtId="189" fontId="5" fillId="0" borderId="39" xfId="2" applyNumberFormat="1" applyFont="1" applyBorder="1" applyAlignment="1">
      <alignment horizontal="right" vertical="center"/>
    </xf>
    <xf numFmtId="41" fontId="5" fillId="0" borderId="36" xfId="2" applyNumberFormat="1" applyFont="1" applyBorder="1" applyAlignment="1">
      <alignment horizontal="right" vertical="center"/>
    </xf>
    <xf numFmtId="189" fontId="5" fillId="0" borderId="56" xfId="2" applyNumberFormat="1" applyFont="1" applyBorder="1" applyAlignment="1">
      <alignment horizontal="right" vertical="center"/>
    </xf>
    <xf numFmtId="189" fontId="98" fillId="0" borderId="0" xfId="2" applyNumberFormat="1" applyFont="1" applyAlignment="1">
      <alignment vertical="center"/>
    </xf>
    <xf numFmtId="189" fontId="5" fillId="0" borderId="33" xfId="2" applyNumberFormat="1" applyFont="1" applyBorder="1" applyAlignment="1">
      <alignment horizontal="right" vertical="center"/>
    </xf>
    <xf numFmtId="41" fontId="5" fillId="0" borderId="78" xfId="2" applyNumberFormat="1" applyFont="1" applyBorder="1" applyAlignment="1">
      <alignment horizontal="right" vertical="center"/>
    </xf>
    <xf numFmtId="189" fontId="5" fillId="0" borderId="58" xfId="2" applyNumberFormat="1" applyFont="1" applyBorder="1" applyAlignment="1">
      <alignment horizontal="right" vertical="center"/>
    </xf>
    <xf numFmtId="41" fontId="5" fillId="0" borderId="76" xfId="2" applyNumberFormat="1" applyFont="1" applyBorder="1" applyAlignment="1">
      <alignment horizontal="right" vertical="center"/>
    </xf>
    <xf numFmtId="189" fontId="5" fillId="0" borderId="60" xfId="2" applyNumberFormat="1" applyFont="1" applyBorder="1" applyAlignment="1">
      <alignment horizontal="right" vertical="center"/>
    </xf>
    <xf numFmtId="41" fontId="5" fillId="0" borderId="102" xfId="2" applyNumberFormat="1" applyFont="1" applyBorder="1" applyAlignment="1">
      <alignment horizontal="right" vertical="center"/>
    </xf>
    <xf numFmtId="189" fontId="5" fillId="0" borderId="63" xfId="2" applyNumberFormat="1" applyFont="1" applyBorder="1" applyAlignment="1">
      <alignment horizontal="right" vertical="center"/>
    </xf>
    <xf numFmtId="41" fontId="5" fillId="0" borderId="74" xfId="2" applyNumberFormat="1" applyFont="1" applyBorder="1" applyAlignment="1">
      <alignment horizontal="right" vertical="center"/>
    </xf>
    <xf numFmtId="41" fontId="5" fillId="0" borderId="66" xfId="2" applyNumberFormat="1" applyFont="1" applyBorder="1" applyAlignment="1">
      <alignment horizontal="right" vertical="center"/>
    </xf>
    <xf numFmtId="189" fontId="5" fillId="0" borderId="128" xfId="2" applyNumberFormat="1" applyFont="1" applyBorder="1" applyAlignment="1">
      <alignment horizontal="right" vertical="center"/>
    </xf>
    <xf numFmtId="41" fontId="5" fillId="0" borderId="130" xfId="2" applyNumberFormat="1" applyFont="1" applyBorder="1" applyAlignment="1">
      <alignment horizontal="right" vertical="center"/>
    </xf>
    <xf numFmtId="189" fontId="5" fillId="0" borderId="34" xfId="2" applyNumberFormat="1" applyFont="1" applyBorder="1" applyAlignment="1">
      <alignment horizontal="right" vertical="center"/>
    </xf>
    <xf numFmtId="0" fontId="18" fillId="0" borderId="0" xfId="2" applyFont="1" applyAlignment="1">
      <alignment vertical="center"/>
    </xf>
    <xf numFmtId="205" fontId="8" fillId="0" borderId="0" xfId="2" applyNumberFormat="1" applyFont="1" applyAlignment="1">
      <alignment vertical="center"/>
    </xf>
    <xf numFmtId="189" fontId="5" fillId="0" borderId="0" xfId="2" applyNumberFormat="1" applyFont="1" applyAlignment="1">
      <alignment vertical="center"/>
    </xf>
    <xf numFmtId="0" fontId="34" fillId="0" borderId="0" xfId="26">
      <alignment vertical="center"/>
    </xf>
    <xf numFmtId="189" fontId="21" fillId="0" borderId="0" xfId="2" applyNumberFormat="1" applyFont="1" applyAlignment="1">
      <alignment horizontal="right" vertical="center"/>
    </xf>
    <xf numFmtId="189" fontId="16" fillId="0" borderId="0" xfId="2" applyNumberFormat="1" applyFont="1" applyAlignment="1">
      <alignment horizontal="right" vertical="center"/>
    </xf>
    <xf numFmtId="212" fontId="21" fillId="0" borderId="0" xfId="2" applyNumberFormat="1" applyFont="1" applyAlignment="1">
      <alignment vertical="center"/>
    </xf>
    <xf numFmtId="41" fontId="5" fillId="0" borderId="27" xfId="6" applyFont="1" applyFill="1" applyBorder="1" applyAlignment="1">
      <alignment horizontal="center" wrapText="1"/>
    </xf>
    <xf numFmtId="41" fontId="5" fillId="0" borderId="29" xfId="6" applyFont="1" applyFill="1" applyBorder="1" applyAlignment="1">
      <alignment horizontal="center" vertical="center" wrapText="1"/>
    </xf>
    <xf numFmtId="41" fontId="5" fillId="0" borderId="10" xfId="6" applyFont="1" applyFill="1" applyBorder="1" applyAlignment="1">
      <alignment horizontal="center" vertical="top" wrapText="1"/>
    </xf>
    <xf numFmtId="0" fontId="8" fillId="0" borderId="11" xfId="2" applyFont="1" applyBorder="1"/>
    <xf numFmtId="0" fontId="5" fillId="0" borderId="82" xfId="6" quotePrefix="1" applyNumberFormat="1" applyFont="1" applyBorder="1" applyAlignment="1">
      <alignment horizontal="center" vertical="center"/>
    </xf>
    <xf numFmtId="41" fontId="5" fillId="0" borderId="77" xfId="6" applyFont="1" applyBorder="1" applyAlignment="1">
      <alignment vertical="center"/>
    </xf>
    <xf numFmtId="41" fontId="5" fillId="0" borderId="12" xfId="6" applyFont="1" applyBorder="1" applyAlignment="1">
      <alignment vertical="center"/>
    </xf>
    <xf numFmtId="20" fontId="5" fillId="0" borderId="12" xfId="6" applyNumberFormat="1" applyFont="1" applyBorder="1" applyAlignment="1">
      <alignment vertical="center"/>
    </xf>
    <xf numFmtId="41" fontId="5" fillId="0" borderId="12" xfId="6" applyFont="1" applyFill="1" applyBorder="1" applyAlignment="1">
      <alignment vertical="center"/>
    </xf>
    <xf numFmtId="177" fontId="5" fillId="0" borderId="12" xfId="6" applyNumberFormat="1" applyFont="1" applyFill="1" applyBorder="1" applyAlignment="1">
      <alignment vertical="center"/>
    </xf>
    <xf numFmtId="179" fontId="5" fillId="0" borderId="12" xfId="6" applyNumberFormat="1" applyFont="1" applyFill="1" applyBorder="1" applyAlignment="1">
      <alignment vertical="center"/>
    </xf>
    <xf numFmtId="179" fontId="5" fillId="0" borderId="13" xfId="6" applyNumberFormat="1" applyFont="1" applyFill="1" applyBorder="1" applyAlignment="1">
      <alignment vertical="center"/>
    </xf>
    <xf numFmtId="190" fontId="18" fillId="0" borderId="0" xfId="2" quotePrefix="1" applyNumberFormat="1" applyFont="1" applyAlignment="1">
      <alignment horizontal="right" vertical="center"/>
    </xf>
    <xf numFmtId="20" fontId="5" fillId="0" borderId="12" xfId="6" quotePrefix="1" applyNumberFormat="1" applyFont="1" applyBorder="1" applyAlignment="1">
      <alignment horizontal="right" vertical="center"/>
    </xf>
    <xf numFmtId="41" fontId="5" fillId="0" borderId="12" xfId="6" quotePrefix="1" applyFont="1" applyFill="1" applyBorder="1" applyAlignment="1">
      <alignment horizontal="right" vertical="center"/>
    </xf>
    <xf numFmtId="177" fontId="5" fillId="0" borderId="12" xfId="6" quotePrefix="1" applyNumberFormat="1" applyFont="1" applyFill="1" applyBorder="1" applyAlignment="1">
      <alignment horizontal="right" vertical="center"/>
    </xf>
    <xf numFmtId="179" fontId="5" fillId="0" borderId="12" xfId="6" quotePrefix="1" applyNumberFormat="1" applyFont="1" applyFill="1" applyBorder="1" applyAlignment="1">
      <alignment horizontal="right" vertical="center"/>
    </xf>
    <xf numFmtId="179" fontId="5" fillId="0" borderId="13" xfId="6" quotePrefix="1" applyNumberFormat="1" applyFont="1" applyFill="1" applyBorder="1" applyAlignment="1">
      <alignment horizontal="right" vertical="center"/>
    </xf>
    <xf numFmtId="187" fontId="18" fillId="0" borderId="0" xfId="2" quotePrefix="1" applyNumberFormat="1" applyFont="1" applyAlignment="1">
      <alignment horizontal="right" vertical="center"/>
    </xf>
    <xf numFmtId="190" fontId="26" fillId="0" borderId="0" xfId="2" applyNumberFormat="1" applyFont="1"/>
    <xf numFmtId="41" fontId="5" fillId="0" borderId="77" xfId="6" applyFont="1" applyFill="1" applyBorder="1" applyAlignment="1">
      <alignment vertical="center"/>
    </xf>
    <xf numFmtId="20" fontId="5" fillId="0" borderId="12" xfId="6" applyNumberFormat="1" applyFont="1" applyFill="1" applyBorder="1" applyAlignment="1">
      <alignment vertical="center"/>
    </xf>
    <xf numFmtId="195" fontId="5" fillId="0" borderId="82" xfId="2" applyNumberFormat="1" applyFont="1" applyBorder="1" applyAlignment="1">
      <alignment horizontal="center" vertical="center"/>
    </xf>
    <xf numFmtId="41" fontId="5" fillId="0" borderId="0" xfId="6" applyFont="1" applyBorder="1" applyAlignment="1">
      <alignment vertical="center"/>
    </xf>
    <xf numFmtId="187" fontId="5" fillId="0" borderId="12" xfId="6" applyNumberFormat="1" applyFont="1" applyBorder="1" applyAlignment="1">
      <alignment vertical="center"/>
    </xf>
    <xf numFmtId="187" fontId="5" fillId="0" borderId="13" xfId="6" applyNumberFormat="1" applyFont="1" applyBorder="1" applyAlignment="1">
      <alignment vertical="center"/>
    </xf>
    <xf numFmtId="41" fontId="5" fillId="0" borderId="31" xfId="6" applyFont="1" applyBorder="1" applyAlignment="1">
      <alignment vertical="center"/>
    </xf>
    <xf numFmtId="185" fontId="5" fillId="0" borderId="12" xfId="6" applyNumberFormat="1" applyFont="1" applyBorder="1" applyAlignment="1">
      <alignment vertical="center"/>
    </xf>
    <xf numFmtId="179" fontId="5" fillId="0" borderId="12" xfId="6" applyNumberFormat="1" applyFont="1" applyBorder="1" applyAlignment="1">
      <alignment vertical="center"/>
    </xf>
    <xf numFmtId="179" fontId="5" fillId="0" borderId="13" xfId="6" applyNumberFormat="1" applyFont="1" applyBorder="1" applyAlignment="1">
      <alignment vertical="center"/>
    </xf>
    <xf numFmtId="195" fontId="5" fillId="0" borderId="122" xfId="9" applyNumberFormat="1" applyFont="1" applyBorder="1" applyAlignment="1">
      <alignment horizontal="center" vertical="center"/>
    </xf>
    <xf numFmtId="41" fontId="5" fillId="0" borderId="15" xfId="9" applyNumberFormat="1" applyFont="1" applyBorder="1" applyAlignment="1">
      <alignment vertical="center"/>
    </xf>
    <xf numFmtId="195" fontId="5" fillId="0" borderId="15" xfId="9" applyNumberFormat="1" applyFont="1" applyBorder="1" applyAlignment="1">
      <alignment horizontal="center" vertical="center"/>
    </xf>
    <xf numFmtId="185" fontId="5" fillId="0" borderId="15" xfId="9" applyNumberFormat="1" applyFont="1" applyBorder="1" applyAlignment="1">
      <alignment vertical="center"/>
    </xf>
    <xf numFmtId="41" fontId="5" fillId="0" borderId="15" xfId="8" applyNumberFormat="1" applyFont="1" applyBorder="1" applyAlignment="1">
      <alignment vertical="center"/>
    </xf>
    <xf numFmtId="186" fontId="5" fillId="0" borderId="15" xfId="9" applyNumberFormat="1" applyFont="1" applyBorder="1" applyAlignment="1">
      <alignment vertical="center"/>
    </xf>
    <xf numFmtId="181" fontId="5" fillId="0" borderId="15" xfId="8" applyFont="1" applyBorder="1" applyAlignment="1">
      <alignment vertical="center"/>
    </xf>
    <xf numFmtId="186" fontId="5" fillId="0" borderId="16" xfId="9" applyNumberFormat="1" applyFont="1" applyBorder="1" applyAlignment="1">
      <alignment vertical="center"/>
    </xf>
    <xf numFmtId="195" fontId="5" fillId="0" borderId="120" xfId="9" applyNumberFormat="1" applyFont="1" applyBorder="1" applyAlignment="1">
      <alignment vertical="center"/>
    </xf>
    <xf numFmtId="41" fontId="5" fillId="0" borderId="64" xfId="9" applyNumberFormat="1" applyFont="1" applyBorder="1" applyAlignment="1">
      <alignment vertical="center"/>
    </xf>
    <xf numFmtId="195" fontId="5" fillId="0" borderId="64" xfId="9" applyNumberFormat="1" applyFont="1" applyBorder="1" applyAlignment="1">
      <alignment horizontal="center" vertical="center"/>
    </xf>
    <xf numFmtId="185" fontId="5" fillId="0" borderId="64" xfId="9" applyNumberFormat="1" applyFont="1" applyBorder="1" applyAlignment="1">
      <alignment vertical="center"/>
    </xf>
    <xf numFmtId="41" fontId="5" fillId="0" borderId="64" xfId="8" applyNumberFormat="1" applyFont="1" applyBorder="1" applyAlignment="1">
      <alignment vertical="center"/>
    </xf>
    <xf numFmtId="186" fontId="5" fillId="0" borderId="64" xfId="9" applyNumberFormat="1" applyFont="1" applyBorder="1" applyAlignment="1">
      <alignment vertical="center"/>
    </xf>
    <xf numFmtId="181" fontId="5" fillId="0" borderId="64" xfId="8" applyFont="1" applyBorder="1" applyAlignment="1">
      <alignment vertical="center"/>
    </xf>
    <xf numFmtId="186" fontId="5" fillId="0" borderId="65" xfId="9" applyNumberFormat="1" applyFont="1" applyBorder="1" applyAlignment="1">
      <alignment vertical="center"/>
    </xf>
    <xf numFmtId="195" fontId="5" fillId="0" borderId="106" xfId="9" applyNumberFormat="1" applyFont="1" applyBorder="1" applyAlignment="1">
      <alignment vertical="center"/>
    </xf>
    <xf numFmtId="41" fontId="5" fillId="0" borderId="12" xfId="9" applyNumberFormat="1" applyFont="1" applyBorder="1" applyAlignment="1">
      <alignment vertical="center"/>
    </xf>
    <xf numFmtId="195" fontId="5" fillId="0" borderId="12" xfId="9" applyNumberFormat="1" applyFont="1" applyBorder="1" applyAlignment="1">
      <alignment horizontal="center" vertical="center"/>
    </xf>
    <xf numFmtId="185" fontId="5" fillId="0" borderId="12" xfId="9" applyNumberFormat="1" applyFont="1" applyBorder="1" applyAlignment="1">
      <alignment vertical="center"/>
    </xf>
    <xf numFmtId="41" fontId="5" fillId="0" borderId="12" xfId="8" applyNumberFormat="1" applyFont="1" applyBorder="1" applyAlignment="1">
      <alignment vertical="center"/>
    </xf>
    <xf numFmtId="186" fontId="5" fillId="0" borderId="12" xfId="9" applyNumberFormat="1" applyFont="1" applyBorder="1" applyAlignment="1">
      <alignment vertical="center"/>
    </xf>
    <xf numFmtId="181" fontId="5" fillId="0" borderId="12" xfId="8" applyFont="1" applyBorder="1" applyAlignment="1">
      <alignment vertical="center"/>
    </xf>
    <xf numFmtId="186" fontId="5" fillId="0" borderId="13" xfId="9" applyNumberFormat="1" applyFont="1" applyBorder="1" applyAlignment="1">
      <alignment vertical="center"/>
    </xf>
    <xf numFmtId="195" fontId="22" fillId="0" borderId="120" xfId="9" applyNumberFormat="1" applyFont="1" applyBorder="1" applyAlignment="1">
      <alignment vertical="center"/>
    </xf>
    <xf numFmtId="41" fontId="5" fillId="0" borderId="66" xfId="9" applyNumberFormat="1" applyFont="1" applyBorder="1" applyAlignment="1">
      <alignment vertical="center"/>
    </xf>
    <xf numFmtId="41" fontId="5" fillId="0" borderId="64" xfId="9" applyNumberFormat="1" applyFont="1" applyBorder="1" applyAlignment="1">
      <alignment horizontal="center" vertical="center"/>
    </xf>
    <xf numFmtId="41" fontId="22" fillId="0" borderId="64" xfId="9" applyNumberFormat="1" applyFont="1" applyBorder="1" applyAlignment="1">
      <alignment vertical="center"/>
    </xf>
    <xf numFmtId="179" fontId="5" fillId="0" borderId="64" xfId="9" applyNumberFormat="1" applyFont="1" applyBorder="1" applyAlignment="1">
      <alignment vertical="center"/>
    </xf>
    <xf numFmtId="179" fontId="22" fillId="0" borderId="64" xfId="9" applyNumberFormat="1" applyFont="1" applyBorder="1" applyAlignment="1">
      <alignment vertical="center"/>
    </xf>
    <xf numFmtId="179" fontId="22" fillId="0" borderId="65" xfId="9" applyNumberFormat="1" applyFont="1" applyBorder="1" applyAlignment="1">
      <alignment vertical="center"/>
    </xf>
    <xf numFmtId="195" fontId="5" fillId="0" borderId="104" xfId="9" applyNumberFormat="1" applyFont="1" applyBorder="1" applyAlignment="1">
      <alignment vertical="center"/>
    </xf>
    <xf numFmtId="41" fontId="5" fillId="0" borderId="85" xfId="9" applyNumberFormat="1" applyFont="1" applyBorder="1" applyAlignment="1">
      <alignment vertical="center"/>
    </xf>
    <xf numFmtId="41" fontId="5" fillId="0" borderId="85" xfId="9" applyNumberFormat="1" applyFont="1" applyBorder="1" applyAlignment="1">
      <alignment horizontal="center" vertical="center"/>
    </xf>
    <xf numFmtId="185" fontId="5" fillId="0" borderId="85" xfId="9" applyNumberFormat="1" applyFont="1" applyBorder="1" applyAlignment="1">
      <alignment vertical="center"/>
    </xf>
    <xf numFmtId="179" fontId="5" fillId="0" borderId="85" xfId="9" applyNumberFormat="1" applyFont="1" applyBorder="1" applyAlignment="1">
      <alignment vertical="center"/>
    </xf>
    <xf numFmtId="41" fontId="5" fillId="0" borderId="77" xfId="9" applyNumberFormat="1" applyFont="1" applyBorder="1" applyAlignment="1">
      <alignment vertical="center"/>
    </xf>
    <xf numFmtId="41" fontId="5" fillId="0" borderId="77" xfId="9" applyNumberFormat="1" applyFont="1" applyBorder="1" applyAlignment="1">
      <alignment horizontal="center" vertical="center"/>
    </xf>
    <xf numFmtId="185" fontId="5" fillId="0" borderId="77" xfId="9" applyNumberFormat="1" applyFont="1" applyBorder="1" applyAlignment="1">
      <alignment vertical="center"/>
    </xf>
    <xf numFmtId="179" fontId="5" fillId="0" borderId="77" xfId="9" applyNumberFormat="1" applyFont="1" applyBorder="1" applyAlignment="1">
      <alignment vertical="center"/>
    </xf>
    <xf numFmtId="195" fontId="22" fillId="0" borderId="107" xfId="9" applyNumberFormat="1" applyFont="1" applyBorder="1" applyAlignment="1">
      <alignment vertical="center"/>
    </xf>
    <xf numFmtId="41" fontId="5" fillId="0" borderId="42" xfId="9" applyNumberFormat="1" applyFont="1" applyBorder="1" applyAlignment="1">
      <alignment vertical="center"/>
    </xf>
    <xf numFmtId="41" fontId="5" fillId="0" borderId="42" xfId="9" applyNumberFormat="1" applyFont="1" applyBorder="1" applyAlignment="1">
      <alignment horizontal="center" vertical="center"/>
    </xf>
    <xf numFmtId="185" fontId="5" fillId="0" borderId="42" xfId="9" applyNumberFormat="1" applyFont="1" applyBorder="1" applyAlignment="1">
      <alignment vertical="center"/>
    </xf>
    <xf numFmtId="41" fontId="22" fillId="0" borderId="42" xfId="9" applyNumberFormat="1" applyFont="1" applyBorder="1" applyAlignment="1">
      <alignment vertical="center"/>
    </xf>
    <xf numFmtId="179" fontId="5" fillId="0" borderId="42" xfId="9" applyNumberFormat="1" applyFont="1" applyBorder="1" applyAlignment="1">
      <alignment vertical="center"/>
    </xf>
    <xf numFmtId="179" fontId="22" fillId="0" borderId="42" xfId="9" applyNumberFormat="1" applyFont="1" applyBorder="1" applyAlignment="1">
      <alignment vertical="center"/>
    </xf>
    <xf numFmtId="41" fontId="5" fillId="0" borderId="0" xfId="6" applyFont="1" applyFill="1" applyBorder="1" applyAlignment="1">
      <alignment vertical="center"/>
    </xf>
    <xf numFmtId="190" fontId="21" fillId="0" borderId="0" xfId="2" quotePrefix="1" applyNumberFormat="1" applyFont="1" applyAlignment="1">
      <alignment horizontal="right" vertical="center"/>
    </xf>
    <xf numFmtId="41" fontId="20" fillId="0" borderId="0" xfId="6" applyFont="1" applyBorder="1" applyAlignment="1">
      <alignment vertical="center"/>
    </xf>
    <xf numFmtId="213" fontId="17" fillId="0" borderId="0" xfId="2" applyNumberFormat="1" applyFont="1" applyAlignment="1">
      <alignment vertical="center"/>
    </xf>
    <xf numFmtId="181" fontId="8" fillId="0" borderId="0" xfId="8" applyFont="1" applyAlignment="1">
      <alignment vertical="center"/>
    </xf>
    <xf numFmtId="188" fontId="8" fillId="0" borderId="0" xfId="2" applyNumberFormat="1" applyFont="1" applyAlignment="1">
      <alignment vertical="center"/>
    </xf>
    <xf numFmtId="0" fontId="99" fillId="0" borderId="0" xfId="2" applyFont="1" applyAlignment="1">
      <alignment vertical="center"/>
    </xf>
    <xf numFmtId="181" fontId="99" fillId="0" borderId="0" xfId="8" applyFont="1" applyAlignment="1">
      <alignment vertical="center"/>
    </xf>
    <xf numFmtId="188" fontId="99" fillId="0" borderId="0" xfId="2" applyNumberFormat="1" applyFont="1" applyAlignment="1">
      <alignment vertical="center"/>
    </xf>
    <xf numFmtId="0" fontId="99" fillId="17" borderId="0" xfId="2" applyFont="1" applyFill="1" applyAlignment="1">
      <alignment vertical="center"/>
    </xf>
    <xf numFmtId="181" fontId="99" fillId="17" borderId="0" xfId="8" applyFont="1" applyFill="1" applyAlignment="1">
      <alignment vertical="center"/>
    </xf>
    <xf numFmtId="188" fontId="99" fillId="17" borderId="0" xfId="2" applyNumberFormat="1" applyFont="1" applyFill="1" applyAlignment="1">
      <alignment vertical="center"/>
    </xf>
    <xf numFmtId="0" fontId="5" fillId="0" borderId="72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 wrapText="1"/>
    </xf>
    <xf numFmtId="0" fontId="5" fillId="0" borderId="92" xfId="2" applyFont="1" applyBorder="1"/>
    <xf numFmtId="0" fontId="5" fillId="0" borderId="106" xfId="2" applyFont="1" applyBorder="1" applyAlignment="1">
      <alignment horizontal="center"/>
    </xf>
    <xf numFmtId="0" fontId="5" fillId="0" borderId="80" xfId="2" applyFont="1" applyBorder="1" applyAlignment="1">
      <alignment horizontal="center"/>
    </xf>
    <xf numFmtId="0" fontId="5" fillId="0" borderId="12" xfId="2" applyFont="1" applyBorder="1" applyAlignment="1">
      <alignment horizontal="center" vertical="center" wrapText="1"/>
    </xf>
    <xf numFmtId="0" fontId="5" fillId="0" borderId="80" xfId="2" applyFont="1" applyBorder="1" applyAlignment="1">
      <alignment horizontal="center" vertical="center"/>
    </xf>
    <xf numFmtId="0" fontId="5" fillId="0" borderId="107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5" fillId="0" borderId="9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217" fontId="5" fillId="0" borderId="106" xfId="2" quotePrefix="1" applyNumberFormat="1" applyFont="1" applyBorder="1" applyAlignment="1">
      <alignment horizontal="right" vertical="center"/>
    </xf>
    <xf numFmtId="217" fontId="5" fillId="0" borderId="0" xfId="2" applyNumberFormat="1" applyFont="1" applyAlignment="1">
      <alignment horizontal="center" vertical="center"/>
    </xf>
    <xf numFmtId="189" fontId="5" fillId="0" borderId="26" xfId="6" applyNumberFormat="1" applyFont="1" applyFill="1" applyBorder="1" applyAlignment="1">
      <alignment horizontal="right" vertical="center"/>
    </xf>
    <xf numFmtId="189" fontId="5" fillId="0" borderId="27" xfId="6" applyNumberFormat="1" applyFont="1" applyFill="1" applyBorder="1" applyAlignment="1">
      <alignment horizontal="right" vertical="center"/>
    </xf>
    <xf numFmtId="186" fontId="5" fillId="0" borderId="27" xfId="6" applyNumberFormat="1" applyFont="1" applyFill="1" applyBorder="1" applyAlignment="1">
      <alignment horizontal="right" vertical="center"/>
    </xf>
    <xf numFmtId="186" fontId="5" fillId="0" borderId="29" xfId="6" applyNumberFormat="1" applyFont="1" applyFill="1" applyBorder="1" applyAlignment="1">
      <alignment horizontal="right" vertical="center"/>
    </xf>
    <xf numFmtId="179" fontId="5" fillId="7" borderId="92" xfId="6" applyNumberFormat="1" applyFont="1" applyFill="1" applyBorder="1" applyAlignment="1">
      <alignment horizontal="right" vertical="center"/>
    </xf>
    <xf numFmtId="211" fontId="8" fillId="0" borderId="0" xfId="2" applyNumberFormat="1" applyFont="1"/>
    <xf numFmtId="189" fontId="5" fillId="0" borderId="31" xfId="6" applyNumberFormat="1" applyFont="1" applyFill="1" applyBorder="1" applyAlignment="1">
      <alignment horizontal="right" vertical="center"/>
    </xf>
    <xf numFmtId="189" fontId="5" fillId="0" borderId="12" xfId="6" applyNumberFormat="1" applyFont="1" applyFill="1" applyBorder="1" applyAlignment="1">
      <alignment horizontal="right" vertical="center"/>
    </xf>
    <xf numFmtId="186" fontId="5" fillId="0" borderId="12" xfId="6" applyNumberFormat="1" applyFont="1" applyFill="1" applyBorder="1" applyAlignment="1">
      <alignment horizontal="right" vertical="center"/>
    </xf>
    <xf numFmtId="186" fontId="5" fillId="0" borderId="13" xfId="6" applyNumberFormat="1" applyFont="1" applyFill="1" applyBorder="1" applyAlignment="1">
      <alignment horizontal="right" vertical="center"/>
    </xf>
    <xf numFmtId="179" fontId="5" fillId="0" borderId="80" xfId="6" applyNumberFormat="1" applyFont="1" applyFill="1" applyBorder="1" applyAlignment="1">
      <alignment horizontal="right" vertical="center"/>
    </xf>
    <xf numFmtId="179" fontId="21" fillId="0" borderId="0" xfId="6" applyNumberFormat="1" applyFont="1" applyFill="1" applyBorder="1" applyAlignment="1">
      <alignment vertical="center"/>
    </xf>
    <xf numFmtId="217" fontId="5" fillId="18" borderId="106" xfId="2" quotePrefix="1" applyNumberFormat="1" applyFont="1" applyFill="1" applyBorder="1" applyAlignment="1">
      <alignment horizontal="right" vertical="center"/>
    </xf>
    <xf numFmtId="217" fontId="5" fillId="18" borderId="0" xfId="2" applyNumberFormat="1" applyFont="1" applyFill="1" applyAlignment="1">
      <alignment horizontal="center" vertical="center"/>
    </xf>
    <xf numFmtId="189" fontId="5" fillId="18" borderId="31" xfId="6" applyNumberFormat="1" applyFont="1" applyFill="1" applyBorder="1" applyAlignment="1">
      <alignment horizontal="right" vertical="center"/>
    </xf>
    <xf numFmtId="189" fontId="5" fillId="18" borderId="12" xfId="6" applyNumberFormat="1" applyFont="1" applyFill="1" applyBorder="1" applyAlignment="1">
      <alignment horizontal="right" vertical="center"/>
    </xf>
    <xf numFmtId="186" fontId="5" fillId="18" borderId="12" xfId="6" applyNumberFormat="1" applyFont="1" applyFill="1" applyBorder="1" applyAlignment="1">
      <alignment horizontal="right" vertical="center"/>
    </xf>
    <xf numFmtId="186" fontId="5" fillId="18" borderId="13" xfId="6" applyNumberFormat="1" applyFont="1" applyFill="1" applyBorder="1" applyAlignment="1">
      <alignment horizontal="right" vertical="center"/>
    </xf>
    <xf numFmtId="179" fontId="5" fillId="13" borderId="80" xfId="6" applyNumberFormat="1" applyFont="1" applyFill="1" applyBorder="1" applyAlignment="1">
      <alignment horizontal="right" vertical="center"/>
    </xf>
    <xf numFmtId="179" fontId="5" fillId="12" borderId="80" xfId="6" applyNumberFormat="1" applyFont="1" applyFill="1" applyBorder="1" applyAlignment="1">
      <alignment horizontal="right" vertical="center"/>
    </xf>
    <xf numFmtId="217" fontId="5" fillId="0" borderId="107" xfId="2" quotePrefix="1" applyNumberFormat="1" applyFont="1" applyBorder="1" applyAlignment="1">
      <alignment horizontal="right" vertical="center"/>
    </xf>
    <xf numFmtId="217" fontId="5" fillId="0" borderId="99" xfId="2" applyNumberFormat="1" applyFont="1" applyBorder="1" applyAlignment="1">
      <alignment horizontal="center" vertical="center"/>
    </xf>
    <xf numFmtId="189" fontId="5" fillId="0" borderId="30" xfId="6" applyNumberFormat="1" applyFont="1" applyFill="1" applyBorder="1" applyAlignment="1">
      <alignment horizontal="right" vertical="center"/>
    </xf>
    <xf numFmtId="189" fontId="5" fillId="0" borderId="10" xfId="6" applyNumberFormat="1" applyFont="1" applyFill="1" applyBorder="1" applyAlignment="1">
      <alignment horizontal="right" vertical="center"/>
    </xf>
    <xf numFmtId="186" fontId="5" fillId="0" borderId="10" xfId="6" applyNumberFormat="1" applyFont="1" applyFill="1" applyBorder="1" applyAlignment="1">
      <alignment horizontal="right" vertical="center"/>
    </xf>
    <xf numFmtId="186" fontId="5" fillId="0" borderId="11" xfId="6" applyNumberFormat="1" applyFont="1" applyFill="1" applyBorder="1" applyAlignment="1">
      <alignment horizontal="right" vertical="center"/>
    </xf>
    <xf numFmtId="217" fontId="5" fillId="0" borderId="0" xfId="2" quotePrefix="1" applyNumberFormat="1" applyFont="1" applyAlignment="1">
      <alignment horizontal="right" vertical="center"/>
    </xf>
    <xf numFmtId="189" fontId="5" fillId="0" borderId="0" xfId="6" applyNumberFormat="1" applyFont="1" applyFill="1" applyBorder="1" applyAlignment="1">
      <alignment horizontal="right" vertical="center"/>
    </xf>
    <xf numFmtId="186" fontId="5" fillId="0" borderId="0" xfId="6" applyNumberFormat="1" applyFont="1" applyFill="1" applyBorder="1" applyAlignment="1">
      <alignment horizontal="right" vertical="center"/>
    </xf>
    <xf numFmtId="179" fontId="5" fillId="0" borderId="0" xfId="6" applyNumberFormat="1" applyFont="1" applyFill="1" applyBorder="1" applyAlignment="1">
      <alignment horizontal="right" vertical="center"/>
    </xf>
    <xf numFmtId="41" fontId="5" fillId="0" borderId="0" xfId="6" applyFont="1" applyBorder="1" applyAlignment="1">
      <alignment horizontal="left" vertical="center"/>
    </xf>
    <xf numFmtId="189" fontId="8" fillId="0" borderId="0" xfId="2" applyNumberFormat="1" applyFont="1"/>
    <xf numFmtId="176" fontId="21" fillId="0" borderId="0" xfId="2" applyNumberFormat="1" applyFont="1" applyAlignment="1">
      <alignment horizontal="center" vertical="center"/>
    </xf>
    <xf numFmtId="20" fontId="21" fillId="0" borderId="0" xfId="2" applyNumberFormat="1" applyFont="1" applyAlignment="1">
      <alignment horizontal="center" vertical="center"/>
    </xf>
    <xf numFmtId="41" fontId="5" fillId="0" borderId="0" xfId="2" applyNumberFormat="1" applyFont="1"/>
    <xf numFmtId="0" fontId="99" fillId="0" borderId="0" xfId="2" applyFont="1" applyAlignment="1">
      <alignment horizontal="right" vertical="center"/>
    </xf>
    <xf numFmtId="0" fontId="16" fillId="0" borderId="0" xfId="2" applyFont="1" applyAlignment="1">
      <alignment horizontal="right" vertical="center"/>
    </xf>
    <xf numFmtId="0" fontId="8" fillId="0" borderId="0" xfId="2" applyFont="1" applyAlignment="1">
      <alignment horizontal="right" vertical="center"/>
    </xf>
    <xf numFmtId="0" fontId="5" fillId="0" borderId="67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/>
    </xf>
    <xf numFmtId="0" fontId="5" fillId="0" borderId="36" xfId="2" applyFont="1" applyBorder="1" applyAlignment="1">
      <alignment horizontal="center"/>
    </xf>
    <xf numFmtId="0" fontId="5" fillId="0" borderId="68" xfId="2" applyFont="1" applyBorder="1" applyAlignment="1">
      <alignment horizontal="center" vertical="center"/>
    </xf>
    <xf numFmtId="176" fontId="5" fillId="0" borderId="42" xfId="2" applyNumberFormat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 shrinkToFit="1"/>
    </xf>
    <xf numFmtId="176" fontId="5" fillId="0" borderId="76" xfId="2" applyNumberFormat="1" applyFont="1" applyBorder="1" applyAlignment="1">
      <alignment vertical="center"/>
    </xf>
    <xf numFmtId="176" fontId="5" fillId="0" borderId="61" xfId="2" applyNumberFormat="1" applyFont="1" applyBorder="1" applyAlignment="1">
      <alignment vertical="center"/>
    </xf>
    <xf numFmtId="176" fontId="5" fillId="0" borderId="76" xfId="2" applyNumberFormat="1" applyFont="1" applyBorder="1" applyAlignment="1">
      <alignment horizontal="center" vertical="center" wrapText="1" shrinkToFit="1"/>
    </xf>
    <xf numFmtId="181" fontId="5" fillId="0" borderId="76" xfId="2" applyNumberFormat="1" applyFont="1" applyBorder="1" applyAlignment="1">
      <alignment horizontal="center" vertical="center" wrapText="1" shrinkToFit="1"/>
    </xf>
    <xf numFmtId="176" fontId="5" fillId="0" borderId="59" xfId="2" applyNumberFormat="1" applyFont="1" applyBorder="1" applyAlignment="1">
      <alignment horizontal="center" vertical="center" wrapText="1" shrinkToFit="1"/>
    </xf>
    <xf numFmtId="0" fontId="5" fillId="0" borderId="101" xfId="2" applyFont="1" applyBorder="1" applyAlignment="1">
      <alignment horizontal="center" vertical="center" wrapText="1" shrinkToFit="1"/>
    </xf>
    <xf numFmtId="0" fontId="5" fillId="0" borderId="11" xfId="2" applyFont="1" applyBorder="1" applyAlignment="1">
      <alignment horizontal="center" vertical="center"/>
    </xf>
    <xf numFmtId="0" fontId="5" fillId="0" borderId="42" xfId="2" applyFont="1" applyBorder="1" applyAlignment="1">
      <alignment horizontal="center" vertical="center"/>
    </xf>
    <xf numFmtId="0" fontId="5" fillId="0" borderId="101" xfId="2" applyFont="1" applyBorder="1" applyAlignment="1">
      <alignment horizontal="center" vertical="center" wrapText="1"/>
    </xf>
    <xf numFmtId="0" fontId="5" fillId="0" borderId="76" xfId="2" applyFont="1" applyBorder="1" applyAlignment="1">
      <alignment horizontal="center" vertical="center" wrapText="1"/>
    </xf>
    <xf numFmtId="195" fontId="5" fillId="0" borderId="96" xfId="2" quotePrefix="1" applyNumberFormat="1" applyFont="1" applyBorder="1" applyAlignment="1">
      <alignment horizontal="center" vertical="center"/>
    </xf>
    <xf numFmtId="176" fontId="5" fillId="0" borderId="57" xfId="2" applyNumberFormat="1" applyFont="1" applyBorder="1" applyAlignment="1">
      <alignment horizontal="center" vertical="center"/>
    </xf>
    <xf numFmtId="176" fontId="5" fillId="0" borderId="55" xfId="2" applyNumberFormat="1" applyFont="1" applyBorder="1" applyAlignment="1">
      <alignment horizontal="center" vertical="center"/>
    </xf>
    <xf numFmtId="176" fontId="5" fillId="0" borderId="73" xfId="2" applyNumberFormat="1" applyFont="1" applyBorder="1" applyAlignment="1">
      <alignment horizontal="center" vertical="center"/>
    </xf>
    <xf numFmtId="189" fontId="5" fillId="0" borderId="54" xfId="8" applyNumberFormat="1" applyFont="1" applyBorder="1" applyAlignment="1">
      <alignment horizontal="center" vertical="center"/>
    </xf>
    <xf numFmtId="189" fontId="5" fillId="0" borderId="55" xfId="8" applyNumberFormat="1" applyFont="1" applyBorder="1" applyAlignment="1">
      <alignment horizontal="center" vertical="center"/>
    </xf>
    <xf numFmtId="189" fontId="5" fillId="0" borderId="56" xfId="8" applyNumberFormat="1" applyFont="1" applyBorder="1" applyAlignment="1">
      <alignment horizontal="center" vertical="center"/>
    </xf>
    <xf numFmtId="189" fontId="5" fillId="0" borderId="57" xfId="2" applyNumberFormat="1" applyFont="1" applyBorder="1" applyAlignment="1">
      <alignment horizontal="right" vertical="center"/>
    </xf>
    <xf numFmtId="177" fontId="5" fillId="0" borderId="55" xfId="2" applyNumberFormat="1" applyFont="1" applyBorder="1" applyAlignment="1">
      <alignment horizontal="center" vertical="center"/>
    </xf>
    <xf numFmtId="177" fontId="5" fillId="0" borderId="56" xfId="2" applyNumberFormat="1" applyFont="1" applyBorder="1" applyAlignment="1">
      <alignment horizontal="center" vertical="center"/>
    </xf>
    <xf numFmtId="0" fontId="5" fillId="0" borderId="79" xfId="2" quotePrefix="1" applyFont="1" applyBorder="1" applyAlignment="1">
      <alignment horizontal="center" vertical="center"/>
    </xf>
    <xf numFmtId="176" fontId="5" fillId="0" borderId="160" xfId="2" applyNumberFormat="1" applyFont="1" applyBorder="1" applyAlignment="1">
      <alignment horizontal="center" vertical="center"/>
    </xf>
    <xf numFmtId="176" fontId="5" fillId="0" borderId="129" xfId="2" applyNumberFormat="1" applyFont="1" applyBorder="1" applyAlignment="1">
      <alignment horizontal="center" vertical="center"/>
    </xf>
    <xf numFmtId="176" fontId="5" fillId="0" borderId="130" xfId="2" applyNumberFormat="1" applyFont="1" applyBorder="1" applyAlignment="1">
      <alignment vertical="center"/>
    </xf>
    <xf numFmtId="176" fontId="5" fillId="0" borderId="130" xfId="2" applyNumberFormat="1" applyFont="1" applyBorder="1" applyAlignment="1">
      <alignment horizontal="center" vertical="center" wrapText="1" shrinkToFit="1"/>
    </xf>
    <xf numFmtId="176" fontId="5" fillId="0" borderId="129" xfId="2" applyNumberFormat="1" applyFont="1" applyBorder="1" applyAlignment="1">
      <alignment horizontal="center" vertical="center" wrapText="1" shrinkToFit="1"/>
    </xf>
    <xf numFmtId="0" fontId="5" fillId="0" borderId="71" xfId="2" applyFont="1" applyBorder="1" applyAlignment="1">
      <alignment horizontal="center" vertical="center" wrapText="1" shrinkToFit="1"/>
    </xf>
    <xf numFmtId="176" fontId="5" fillId="0" borderId="34" xfId="2" applyNumberFormat="1" applyFont="1" applyBorder="1" applyAlignment="1">
      <alignment horizontal="center" vertical="center"/>
    </xf>
    <xf numFmtId="181" fontId="5" fillId="0" borderId="160" xfId="8" applyFont="1" applyBorder="1" applyAlignment="1">
      <alignment horizontal="center" vertical="center"/>
    </xf>
    <xf numFmtId="181" fontId="5" fillId="0" borderId="129" xfId="8" applyFont="1" applyBorder="1" applyAlignment="1">
      <alignment horizontal="center" vertical="center"/>
    </xf>
    <xf numFmtId="181" fontId="5" fillId="0" borderId="130" xfId="8" applyFont="1" applyBorder="1" applyAlignment="1">
      <alignment horizontal="center" vertical="center" wrapText="1"/>
    </xf>
    <xf numFmtId="181" fontId="5" fillId="0" borderId="129" xfId="8" applyFont="1" applyBorder="1" applyAlignment="1">
      <alignment horizontal="center" vertical="center" wrapText="1"/>
    </xf>
    <xf numFmtId="181" fontId="5" fillId="0" borderId="34" xfId="8" applyFont="1" applyBorder="1" applyAlignment="1">
      <alignment horizontal="center" vertical="center"/>
    </xf>
    <xf numFmtId="176" fontId="5" fillId="0" borderId="128" xfId="2" applyNumberFormat="1" applyFont="1" applyBorder="1" applyAlignment="1">
      <alignment horizontal="center" vertical="center"/>
    </xf>
    <xf numFmtId="177" fontId="5" fillId="0" borderId="129" xfId="2" applyNumberFormat="1" applyFont="1" applyBorder="1" applyAlignment="1">
      <alignment horizontal="center" vertical="center"/>
    </xf>
    <xf numFmtId="177" fontId="5" fillId="0" borderId="34" xfId="2" applyNumberFormat="1" applyFont="1" applyBorder="1" applyAlignment="1">
      <alignment horizontal="center" vertical="center"/>
    </xf>
    <xf numFmtId="195" fontId="5" fillId="0" borderId="38" xfId="2" quotePrefix="1" applyNumberFormat="1" applyFont="1" applyBorder="1" applyAlignment="1">
      <alignment horizontal="center" vertical="center"/>
    </xf>
    <xf numFmtId="176" fontId="5" fillId="0" borderId="39" xfId="2" applyNumberFormat="1" applyFont="1" applyBorder="1" applyAlignment="1">
      <alignment horizontal="center" vertical="center"/>
    </xf>
    <xf numFmtId="176" fontId="5" fillId="0" borderId="27" xfId="2" applyNumberFormat="1" applyFont="1" applyBorder="1" applyAlignment="1">
      <alignment horizontal="center" vertical="center"/>
    </xf>
    <xf numFmtId="176" fontId="5" fillId="0" borderId="29" xfId="2" applyNumberFormat="1" applyFont="1" applyBorder="1" applyAlignment="1">
      <alignment horizontal="center" vertical="center"/>
    </xf>
    <xf numFmtId="189" fontId="5" fillId="0" borderId="26" xfId="8" applyNumberFormat="1" applyFont="1" applyBorder="1" applyAlignment="1">
      <alignment horizontal="center" vertical="center"/>
    </xf>
    <xf numFmtId="189" fontId="5" fillId="0" borderId="27" xfId="8" applyNumberFormat="1" applyFont="1" applyBorder="1" applyAlignment="1">
      <alignment horizontal="center" vertical="center"/>
    </xf>
    <xf numFmtId="189" fontId="5" fillId="0" borderId="29" xfId="8" applyNumberFormat="1" applyFont="1" applyBorder="1" applyAlignment="1">
      <alignment horizontal="center" vertical="center"/>
    </xf>
    <xf numFmtId="177" fontId="5" fillId="0" borderId="27" xfId="2" applyNumberFormat="1" applyFont="1" applyBorder="1" applyAlignment="1">
      <alignment horizontal="center" vertical="center"/>
    </xf>
    <xf numFmtId="177" fontId="5" fillId="0" borderId="29" xfId="2" applyNumberFormat="1" applyFont="1" applyBorder="1" applyAlignment="1">
      <alignment horizontal="center" vertical="center"/>
    </xf>
    <xf numFmtId="195" fontId="5" fillId="0" borderId="82" xfId="2" quotePrefix="1" applyNumberFormat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center" vertical="center"/>
    </xf>
    <xf numFmtId="176" fontId="5" fillId="0" borderId="12" xfId="2" applyNumberFormat="1" applyFont="1" applyBorder="1" applyAlignment="1">
      <alignment horizontal="center" vertical="center"/>
    </xf>
    <xf numFmtId="176" fontId="5" fillId="0" borderId="13" xfId="2" applyNumberFormat="1" applyFont="1" applyBorder="1" applyAlignment="1">
      <alignment horizontal="center" vertical="center"/>
    </xf>
    <xf numFmtId="189" fontId="5" fillId="0" borderId="31" xfId="8" applyNumberFormat="1" applyFont="1" applyBorder="1" applyAlignment="1">
      <alignment horizontal="center" vertical="center"/>
    </xf>
    <xf numFmtId="189" fontId="5" fillId="0" borderId="12" xfId="8" applyNumberFormat="1" applyFont="1" applyBorder="1" applyAlignment="1">
      <alignment horizontal="center" vertical="center"/>
    </xf>
    <xf numFmtId="189" fontId="5" fillId="0" borderId="13" xfId="8" applyNumberFormat="1" applyFont="1" applyBorder="1" applyAlignment="1">
      <alignment horizontal="center" vertical="center"/>
    </xf>
    <xf numFmtId="177" fontId="5" fillId="0" borderId="12" xfId="2" applyNumberFormat="1" applyFont="1" applyBorder="1" applyAlignment="1">
      <alignment horizontal="center" vertical="center"/>
    </xf>
    <xf numFmtId="177" fontId="5" fillId="0" borderId="13" xfId="2" applyNumberFormat="1" applyFont="1" applyBorder="1" applyAlignment="1">
      <alignment horizontal="center" vertical="center"/>
    </xf>
    <xf numFmtId="195" fontId="5" fillId="0" borderId="41" xfId="2" quotePrefix="1" applyNumberFormat="1" applyFont="1" applyBorder="1" applyAlignment="1">
      <alignment horizontal="center" vertical="center"/>
    </xf>
    <xf numFmtId="176" fontId="5" fillId="0" borderId="11" xfId="2" applyNumberFormat="1" applyFont="1" applyBorder="1" applyAlignment="1">
      <alignment horizontal="center" vertical="center"/>
    </xf>
    <xf numFmtId="0" fontId="5" fillId="0" borderId="130" xfId="2" applyFont="1" applyBorder="1" applyAlignment="1">
      <alignment horizontal="center" vertical="center" wrapText="1"/>
    </xf>
    <xf numFmtId="0" fontId="5" fillId="0" borderId="129" xfId="2" applyFont="1" applyBorder="1" applyAlignment="1">
      <alignment horizontal="center" vertical="center" wrapText="1"/>
    </xf>
    <xf numFmtId="176" fontId="5" fillId="0" borderId="62" xfId="2" applyNumberFormat="1" applyFont="1" applyBorder="1" applyAlignment="1">
      <alignment horizontal="center" vertical="center"/>
    </xf>
    <xf numFmtId="176" fontId="5" fillId="0" borderId="15" xfId="2" applyNumberFormat="1" applyFont="1" applyBorder="1" applyAlignment="1">
      <alignment horizontal="center" vertical="center"/>
    </xf>
    <xf numFmtId="176" fontId="5" fillId="0" borderId="16" xfId="2" applyNumberFormat="1" applyFont="1" applyBorder="1" applyAlignment="1">
      <alignment horizontal="center" vertical="center"/>
    </xf>
    <xf numFmtId="176" fontId="5" fillId="0" borderId="32" xfId="2" applyNumberFormat="1" applyFont="1" applyBorder="1" applyAlignment="1">
      <alignment horizontal="center" vertical="center"/>
    </xf>
    <xf numFmtId="177" fontId="5" fillId="0" borderId="15" xfId="2" applyNumberFormat="1" applyFont="1" applyBorder="1" applyAlignment="1">
      <alignment horizontal="center" vertical="center"/>
    </xf>
    <xf numFmtId="177" fontId="5" fillId="0" borderId="16" xfId="2" applyNumberFormat="1" applyFont="1" applyBorder="1" applyAlignment="1">
      <alignment horizontal="center" vertical="center"/>
    </xf>
    <xf numFmtId="176" fontId="5" fillId="0" borderId="130" xfId="2" applyNumberFormat="1" applyFont="1" applyBorder="1" applyAlignment="1">
      <alignment vertical="center" wrapText="1"/>
    </xf>
    <xf numFmtId="176" fontId="5" fillId="0" borderId="129" xfId="2" applyNumberFormat="1" applyFont="1" applyBorder="1" applyAlignment="1">
      <alignment horizontal="center" vertical="center" wrapText="1"/>
    </xf>
    <xf numFmtId="176" fontId="5" fillId="0" borderId="130" xfId="2" applyNumberFormat="1" applyFont="1" applyBorder="1" applyAlignment="1">
      <alignment horizontal="center" vertical="center" wrapText="1"/>
    </xf>
    <xf numFmtId="176" fontId="43" fillId="0" borderId="130" xfId="2" applyNumberFormat="1" applyFont="1" applyBorder="1" applyAlignment="1">
      <alignment horizontal="center" vertical="center" wrapText="1" shrinkToFit="1"/>
    </xf>
    <xf numFmtId="0" fontId="5" fillId="0" borderId="41" xfId="2" quotePrefix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/>
    </xf>
    <xf numFmtId="177" fontId="5" fillId="0" borderId="10" xfId="2" applyNumberFormat="1" applyFont="1" applyBorder="1" applyAlignment="1">
      <alignment horizontal="center" vertical="center"/>
    </xf>
    <xf numFmtId="177" fontId="5" fillId="0" borderId="11" xfId="2" applyNumberFormat="1" applyFont="1" applyBorder="1" applyAlignment="1">
      <alignment horizontal="center" vertical="center"/>
    </xf>
    <xf numFmtId="0" fontId="5" fillId="0" borderId="129" xfId="2" applyFont="1" applyBorder="1" applyAlignment="1">
      <alignment horizontal="center" vertical="center" wrapText="1" shrinkToFit="1"/>
    </xf>
    <xf numFmtId="3" fontId="5" fillId="0" borderId="42" xfId="2" quotePrefix="1" applyNumberFormat="1" applyFont="1" applyBorder="1" applyAlignment="1">
      <alignment horizontal="center" vertical="center"/>
    </xf>
    <xf numFmtId="3" fontId="5" fillId="0" borderId="10" xfId="2" quotePrefix="1" applyNumberFormat="1" applyFont="1" applyBorder="1" applyAlignment="1">
      <alignment horizontal="center" vertical="center"/>
    </xf>
    <xf numFmtId="3" fontId="5" fillId="0" borderId="11" xfId="2" quotePrefix="1" applyNumberFormat="1" applyFont="1" applyBorder="1" applyAlignment="1">
      <alignment horizontal="center" vertical="center"/>
    </xf>
    <xf numFmtId="211" fontId="5" fillId="0" borderId="10" xfId="2" quotePrefix="1" applyNumberFormat="1" applyFont="1" applyBorder="1" applyAlignment="1">
      <alignment horizontal="center" vertical="center"/>
    </xf>
    <xf numFmtId="211" fontId="5" fillId="0" borderId="11" xfId="2" quotePrefix="1" applyNumberFormat="1" applyFont="1" applyBorder="1" applyAlignment="1">
      <alignment horizontal="center" vertical="center"/>
    </xf>
    <xf numFmtId="3" fontId="5" fillId="0" borderId="129" xfId="2" quotePrefix="1" applyNumberFormat="1" applyFont="1" applyBorder="1" applyAlignment="1">
      <alignment vertical="center" shrinkToFit="1"/>
    </xf>
    <xf numFmtId="3" fontId="5" fillId="0" borderId="160" xfId="2" quotePrefix="1" applyNumberFormat="1" applyFont="1" applyBorder="1" applyAlignment="1">
      <alignment horizontal="center" vertical="center" wrapText="1"/>
    </xf>
    <xf numFmtId="3" fontId="43" fillId="0" borderId="129" xfId="2" quotePrefix="1" applyNumberFormat="1" applyFont="1" applyBorder="1" applyAlignment="1">
      <alignment horizontal="center" vertical="center" wrapText="1"/>
    </xf>
    <xf numFmtId="0" fontId="5" fillId="0" borderId="160" xfId="2" applyFont="1" applyBorder="1" applyAlignment="1">
      <alignment horizontal="center" vertical="center" wrapText="1"/>
    </xf>
    <xf numFmtId="3" fontId="5" fillId="0" borderId="57" xfId="2" quotePrefix="1" applyNumberFormat="1" applyFont="1" applyBorder="1" applyAlignment="1">
      <alignment horizontal="center" vertical="center"/>
    </xf>
    <xf numFmtId="3" fontId="5" fillId="0" borderId="55" xfId="2" quotePrefix="1" applyNumberFormat="1" applyFont="1" applyBorder="1" applyAlignment="1">
      <alignment horizontal="center" vertical="center"/>
    </xf>
    <xf numFmtId="3" fontId="5" fillId="0" borderId="55" xfId="2" quotePrefix="1" applyNumberFormat="1" applyFont="1" applyBorder="1" applyAlignment="1">
      <alignment vertical="center"/>
    </xf>
    <xf numFmtId="3" fontId="5" fillId="0" borderId="56" xfId="2" quotePrefix="1" applyNumberFormat="1" applyFont="1" applyBorder="1" applyAlignment="1">
      <alignment horizontal="center" vertical="center"/>
    </xf>
    <xf numFmtId="211" fontId="5" fillId="0" borderId="55" xfId="2" quotePrefix="1" applyNumberFormat="1" applyFont="1" applyBorder="1" applyAlignment="1">
      <alignment horizontal="center" vertical="center"/>
    </xf>
    <xf numFmtId="211" fontId="5" fillId="0" borderId="56" xfId="2" quotePrefix="1" applyNumberFormat="1" applyFont="1" applyBorder="1" applyAlignment="1">
      <alignment horizontal="center" vertical="center"/>
    </xf>
    <xf numFmtId="195" fontId="5" fillId="0" borderId="128" xfId="2" quotePrefix="1" applyNumberFormat="1" applyFont="1" applyBorder="1" applyAlignment="1">
      <alignment horizontal="center" vertical="center"/>
    </xf>
    <xf numFmtId="3" fontId="5" fillId="0" borderId="129" xfId="2" quotePrefix="1" applyNumberFormat="1" applyFont="1" applyBorder="1" applyAlignment="1">
      <alignment horizontal="center" vertical="center"/>
    </xf>
    <xf numFmtId="3" fontId="5" fillId="0" borderId="129" xfId="2" quotePrefix="1" applyNumberFormat="1" applyFont="1" applyBorder="1" applyAlignment="1">
      <alignment horizontal="center" vertical="center" wrapText="1"/>
    </xf>
    <xf numFmtId="3" fontId="5" fillId="0" borderId="129" xfId="2" quotePrefix="1" applyNumberFormat="1" applyFont="1" applyBorder="1" applyAlignment="1">
      <alignment vertical="center"/>
    </xf>
    <xf numFmtId="3" fontId="5" fillId="0" borderId="34" xfId="2" quotePrefix="1" applyNumberFormat="1" applyFont="1" applyBorder="1" applyAlignment="1">
      <alignment horizontal="center" vertical="center"/>
    </xf>
    <xf numFmtId="3" fontId="5" fillId="0" borderId="160" xfId="2" quotePrefix="1" applyNumberFormat="1" applyFont="1" applyBorder="1" applyAlignment="1">
      <alignment horizontal="center" vertical="center"/>
    </xf>
    <xf numFmtId="211" fontId="5" fillId="0" borderId="129" xfId="2" quotePrefix="1" applyNumberFormat="1" applyFont="1" applyBorder="1" applyAlignment="1">
      <alignment horizontal="center" vertical="center"/>
    </xf>
    <xf numFmtId="211" fontId="5" fillId="0" borderId="34" xfId="2" quotePrefix="1" applyNumberFormat="1" applyFont="1" applyBorder="1" applyAlignment="1">
      <alignment horizontal="center" vertical="center"/>
    </xf>
    <xf numFmtId="195" fontId="5" fillId="0" borderId="31" xfId="2" quotePrefix="1" applyNumberFormat="1" applyFont="1" applyBorder="1" applyAlignment="1">
      <alignment horizontal="center" vertical="center"/>
    </xf>
    <xf numFmtId="3" fontId="5" fillId="0" borderId="12" xfId="2" quotePrefix="1" applyNumberFormat="1" applyFont="1" applyBorder="1" applyAlignment="1">
      <alignment horizontal="center" vertical="center"/>
    </xf>
    <xf numFmtId="3" fontId="5" fillId="0" borderId="86" xfId="2" quotePrefix="1" applyNumberFormat="1" applyFont="1" applyBorder="1" applyAlignment="1">
      <alignment horizontal="center" vertical="center"/>
    </xf>
    <xf numFmtId="3" fontId="5" fillId="0" borderId="13" xfId="2" quotePrefix="1" applyNumberFormat="1" applyFont="1" applyBorder="1" applyAlignment="1">
      <alignment horizontal="center" vertical="center"/>
    </xf>
    <xf numFmtId="3" fontId="5" fillId="0" borderId="77" xfId="2" quotePrefix="1" applyNumberFormat="1" applyFont="1" applyBorder="1" applyAlignment="1">
      <alignment horizontal="center" vertical="center"/>
    </xf>
    <xf numFmtId="211" fontId="5" fillId="0" borderId="12" xfId="2" quotePrefix="1" applyNumberFormat="1" applyFont="1" applyBorder="1" applyAlignment="1">
      <alignment horizontal="center" vertical="center"/>
    </xf>
    <xf numFmtId="211" fontId="5" fillId="0" borderId="13" xfId="2" quotePrefix="1" applyNumberFormat="1" applyFont="1" applyBorder="1" applyAlignment="1">
      <alignment horizontal="center" vertical="center"/>
    </xf>
    <xf numFmtId="195" fontId="5" fillId="0" borderId="31" xfId="2" quotePrefix="1" applyNumberFormat="1" applyFont="1" applyBorder="1" applyAlignment="1">
      <alignment horizontal="right" vertical="center"/>
    </xf>
    <xf numFmtId="195" fontId="5" fillId="0" borderId="32" xfId="2" quotePrefix="1" applyNumberFormat="1" applyFont="1" applyBorder="1" applyAlignment="1">
      <alignment horizontal="right" vertical="center"/>
    </xf>
    <xf numFmtId="3" fontId="5" fillId="0" borderId="15" xfId="2" quotePrefix="1" applyNumberFormat="1" applyFont="1" applyBorder="1" applyAlignment="1">
      <alignment horizontal="center" vertical="center"/>
    </xf>
    <xf numFmtId="3" fontId="5" fillId="0" borderId="16" xfId="2" quotePrefix="1" applyNumberFormat="1" applyFont="1" applyBorder="1" applyAlignment="1">
      <alignment horizontal="center" vertical="center"/>
    </xf>
    <xf numFmtId="3" fontId="5" fillId="0" borderId="62" xfId="2" quotePrefix="1" applyNumberFormat="1" applyFont="1" applyBorder="1" applyAlignment="1">
      <alignment horizontal="center" vertical="center"/>
    </xf>
    <xf numFmtId="211" fontId="5" fillId="0" borderId="15" xfId="2" quotePrefix="1" applyNumberFormat="1" applyFont="1" applyBorder="1" applyAlignment="1">
      <alignment horizontal="center" vertical="center"/>
    </xf>
    <xf numFmtId="211" fontId="5" fillId="0" borderId="16" xfId="2" quotePrefix="1" applyNumberFormat="1" applyFont="1" applyBorder="1" applyAlignment="1">
      <alignment horizontal="center" vertical="center"/>
    </xf>
    <xf numFmtId="195" fontId="5" fillId="0" borderId="33" xfId="2" quotePrefix="1" applyNumberFormat="1" applyFont="1" applyBorder="1" applyAlignment="1">
      <alignment horizontal="center" vertical="center"/>
    </xf>
    <xf numFmtId="3" fontId="5" fillId="0" borderId="18" xfId="2" quotePrefix="1" applyNumberFormat="1" applyFont="1" applyBorder="1" applyAlignment="1">
      <alignment horizontal="center" vertical="center"/>
    </xf>
    <xf numFmtId="3" fontId="5" fillId="0" borderId="19" xfId="2" quotePrefix="1" applyNumberFormat="1" applyFont="1" applyBorder="1" applyAlignment="1">
      <alignment horizontal="center" vertical="center"/>
    </xf>
    <xf numFmtId="3" fontId="5" fillId="0" borderId="85" xfId="2" quotePrefix="1" applyNumberFormat="1" applyFont="1" applyBorder="1" applyAlignment="1">
      <alignment horizontal="center" vertical="center"/>
    </xf>
    <xf numFmtId="211" fontId="5" fillId="0" borderId="18" xfId="2" quotePrefix="1" applyNumberFormat="1" applyFont="1" applyBorder="1" applyAlignment="1">
      <alignment horizontal="center" vertical="center"/>
    </xf>
    <xf numFmtId="211" fontId="5" fillId="0" borderId="19" xfId="2" quotePrefix="1" applyNumberFormat="1" applyFont="1" applyBorder="1" applyAlignment="1">
      <alignment horizontal="center" vertical="center"/>
    </xf>
    <xf numFmtId="195" fontId="5" fillId="0" borderId="30" xfId="2" quotePrefix="1" applyNumberFormat="1" applyFont="1" applyBorder="1" applyAlignment="1">
      <alignment horizontal="right" vertical="center"/>
    </xf>
    <xf numFmtId="195" fontId="5" fillId="0" borderId="0" xfId="2" quotePrefix="1" applyNumberFormat="1" applyFont="1" applyAlignment="1">
      <alignment horizontal="right" vertical="center"/>
    </xf>
    <xf numFmtId="3" fontId="5" fillId="0" borderId="0" xfId="2" quotePrefix="1" applyNumberFormat="1" applyFont="1" applyAlignment="1">
      <alignment horizontal="center" vertical="center"/>
    </xf>
    <xf numFmtId="211" fontId="5" fillId="0" borderId="0" xfId="2" quotePrefix="1" applyNumberFormat="1" applyFont="1" applyAlignment="1">
      <alignment horizontal="center" vertical="center"/>
    </xf>
    <xf numFmtId="0" fontId="5" fillId="0" borderId="0" xfId="2" applyFont="1" applyAlignment="1">
      <alignment vertical="center"/>
    </xf>
    <xf numFmtId="177" fontId="5" fillId="0" borderId="0" xfId="2" applyNumberFormat="1" applyFont="1" applyAlignment="1">
      <alignment horizontal="center" vertical="center"/>
    </xf>
    <xf numFmtId="0" fontId="11" fillId="0" borderId="0" xfId="9" applyFont="1" applyAlignment="1">
      <alignment horizontal="left"/>
    </xf>
    <xf numFmtId="189" fontId="74" fillId="0" borderId="87" xfId="6" applyNumberFormat="1" applyFont="1" applyFill="1" applyBorder="1" applyAlignment="1">
      <alignment horizontal="center" vertical="center"/>
    </xf>
    <xf numFmtId="189" fontId="17" fillId="0" borderId="87" xfId="6" applyNumberFormat="1" applyFont="1" applyFill="1" applyBorder="1" applyAlignment="1">
      <alignment horizontal="center" vertical="center"/>
    </xf>
    <xf numFmtId="189" fontId="74" fillId="0" borderId="41" xfId="6" applyNumberFormat="1" applyFont="1" applyFill="1" applyBorder="1" applyAlignment="1">
      <alignment horizontal="center" vertical="center"/>
    </xf>
    <xf numFmtId="41" fontId="8" fillId="0" borderId="0" xfId="2" applyNumberFormat="1" applyFont="1" applyAlignment="1">
      <alignment horizontal="right" vertical="center"/>
    </xf>
    <xf numFmtId="41" fontId="16" fillId="0" borderId="0" xfId="2" applyNumberFormat="1" applyFont="1" applyAlignment="1">
      <alignment horizontal="right" vertical="center"/>
    </xf>
    <xf numFmtId="41" fontId="5" fillId="0" borderId="0" xfId="2" applyNumberFormat="1" applyFont="1" applyAlignment="1">
      <alignment horizontal="right" vertical="center"/>
    </xf>
    <xf numFmtId="41" fontId="5" fillId="0" borderId="0" xfId="2" quotePrefix="1" applyNumberFormat="1" applyFont="1" applyAlignment="1">
      <alignment horizontal="right" vertical="center"/>
    </xf>
    <xf numFmtId="0" fontId="66" fillId="0" borderId="80" xfId="2" applyFont="1" applyBorder="1"/>
    <xf numFmtId="41" fontId="29" fillId="8" borderId="59" xfId="10" applyFont="1" applyFill="1" applyBorder="1" applyAlignment="1">
      <alignment horizontal="center" vertical="center"/>
    </xf>
    <xf numFmtId="208" fontId="89" fillId="0" borderId="79" xfId="10" quotePrefix="1" applyNumberFormat="1" applyFont="1" applyBorder="1" applyAlignment="1">
      <alignment horizontal="right" vertical="center"/>
    </xf>
  </cellXfs>
  <cellStyles count="27">
    <cellStyle name="백분율 2" xfId="7" xr:uid="{00000000-0005-0000-0000-000000000000}"/>
    <cellStyle name="백분율 3" xfId="12" xr:uid="{00000000-0005-0000-0000-000001000000}"/>
    <cellStyle name="백분율 3 2 3 2" xfId="18" xr:uid="{83BF43C0-71D2-46A3-B0EC-808CEC656AE7}"/>
    <cellStyle name="쉼표 [0] 10" xfId="5" xr:uid="{00000000-0005-0000-0000-000003000000}"/>
    <cellStyle name="쉼표 [0] 10 2 4" xfId="23" xr:uid="{C48854BE-6884-4C0E-9540-E4735F4CC30E}"/>
    <cellStyle name="쉼표 [0] 15" xfId="10" xr:uid="{00000000-0005-0000-0000-000004000000}"/>
    <cellStyle name="쉼표 [0] 2" xfId="4" xr:uid="{00000000-0005-0000-0000-000005000000}"/>
    <cellStyle name="쉼표 [0] 2 2" xfId="6" xr:uid="{00000000-0005-0000-0000-000006000000}"/>
    <cellStyle name="쉼표 [0] 3" xfId="8" xr:uid="{00000000-0005-0000-0000-000007000000}"/>
    <cellStyle name="쉼표 [0] 3 9" xfId="14" xr:uid="{00000000-0005-0000-0000-000008000000}"/>
    <cellStyle name="콤마 [0]_설비용량(최신-백웅기)" xfId="11" xr:uid="{00000000-0005-0000-0000-000009000000}"/>
    <cellStyle name="통화 [0] 2" xfId="15" xr:uid="{00000000-0005-0000-0000-00000A000000}"/>
    <cellStyle name="표준" xfId="0" builtinId="0"/>
    <cellStyle name="표준 10" xfId="3" xr:uid="{00000000-0005-0000-0000-00000C000000}"/>
    <cellStyle name="표준 10 3" xfId="2" xr:uid="{00000000-0005-0000-0000-00000D000000}"/>
    <cellStyle name="표준 10 3 2" xfId="9" xr:uid="{00000000-0005-0000-0000-00000E000000}"/>
    <cellStyle name="표준 2" xfId="1" xr:uid="{00000000-0005-0000-0000-00000F000000}"/>
    <cellStyle name="표준 26 3 2 2 2" xfId="26" xr:uid="{D70A39CF-CE3E-4AF6-BCC7-DFF00C98D9A3}"/>
    <cellStyle name="표준 540" xfId="13" xr:uid="{00000000-0005-0000-0000-000010000000}"/>
    <cellStyle name="표준 69 2" xfId="16" xr:uid="{00000000-0005-0000-0000-000011000000}"/>
    <cellStyle name="표준 69 2 4" xfId="25" xr:uid="{F4421E23-C010-4717-9CF9-2AEDA769E5EB}"/>
    <cellStyle name="표준 84 3" xfId="24" xr:uid="{2B5061F6-5F0A-4CFB-8418-B5CF04B02E36}"/>
    <cellStyle name="표준_4. 발전원(소)별 설비" xfId="19" xr:uid="{57EE6427-72C8-40DF-AEE9-BD36A27F0AB2}"/>
    <cellStyle name="표준_4-1. 설비[회사(소)별] " xfId="20" xr:uid="{8E752E06-9145-4AD5-BEDF-D74BA43DE86A}"/>
    <cellStyle name="표준_설비용량(최신-백웅기)" xfId="17" xr:uid="{87D9153A-C7E2-4CF9-B3A7-882B715BC142}"/>
    <cellStyle name="하이퍼링크" xfId="21" builtinId="8"/>
    <cellStyle name="하이퍼링크 2" xfId="22" xr:uid="{BE16F0F7-FDA0-4890-A6F7-EF44CF343BF9}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203480815504313E-2"/>
          <c:y val="5.9159325653504166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6"/>
          <c:order val="5"/>
          <c:tx>
            <c:strRef>
              <c:f>'1-1 발전설비추이(발전원별)_3P'!$A$33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2842871136834393E-3"/>
                  <c:y val="8.5249154972161711E-4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29-4EB6-B0FF-E16E8A156F11}"/>
                </c:ext>
              </c:extLst>
            </c:dLbl>
            <c:dLbl>
              <c:idx val="1"/>
              <c:layout>
                <c:manualLayout>
                  <c:x val="0.34412559541168464"/>
                  <c:y val="-1.6898385504223918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29-4EB6-B0FF-E16E8A156F11}"/>
                </c:ext>
              </c:extLst>
            </c:dLbl>
            <c:dLbl>
              <c:idx val="12"/>
              <c:layout>
                <c:manualLayout>
                  <c:x val="-7.0927458853968037E-3"/>
                  <c:y val="2.2315140152216258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발전설비추이(발전원별)_3P'!$B$33:$N$33</c:f>
              <c:numCache>
                <c:formatCode>#,##0_ </c:formatCode>
                <c:ptCount val="13"/>
                <c:pt idx="0">
                  <c:v>34189.864999999998</c:v>
                </c:pt>
                <c:pt idx="1">
                  <c:v>34559.519999999997</c:v>
                </c:pt>
                <c:pt idx="2">
                  <c:v>34840.589999999997</c:v>
                </c:pt>
                <c:pt idx="3">
                  <c:v>35194.362999999998</c:v>
                </c:pt>
                <c:pt idx="4">
                  <c:v>35553.279000000002</c:v>
                </c:pt>
                <c:pt idx="5">
                  <c:v>35801.277000000002</c:v>
                </c:pt>
                <c:pt idx="6">
                  <c:v>36154.205000000002</c:v>
                </c:pt>
                <c:pt idx="7">
                  <c:v>36373.192000000003</c:v>
                </c:pt>
                <c:pt idx="8">
                  <c:v>36931.695</c:v>
                </c:pt>
                <c:pt idx="9">
                  <c:v>37613.981</c:v>
                </c:pt>
                <c:pt idx="10">
                  <c:v>37974.949000000001</c:v>
                </c:pt>
                <c:pt idx="11">
                  <c:v>38088.966</c:v>
                </c:pt>
                <c:pt idx="12">
                  <c:v>38514.764000000003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684928"/>
        <c:axId val="162686464"/>
      </c:barChart>
      <c:lineChart>
        <c:grouping val="standard"/>
        <c:varyColors val="0"/>
        <c:ser>
          <c:idx val="1"/>
          <c:order val="0"/>
          <c:tx>
            <c:strRef>
              <c:f>'1-1 발전설비추이(발전원별)_3P'!$A$25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0934861774756789E-2"/>
                  <c:y val="-3.5854041287623213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C29-4EB6-B0FF-E16E8A156F11}"/>
                </c:ext>
              </c:extLst>
            </c:dLbl>
            <c:dLbl>
              <c:idx val="10"/>
              <c:layout>
                <c:manualLayout>
                  <c:x val="-0.3152257890840568"/>
                  <c:y val="-3.70086095946960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C29-4EB6-B0FF-E16E8A156F11}"/>
                </c:ext>
              </c:extLst>
            </c:dLbl>
            <c:dLbl>
              <c:idx val="12"/>
              <c:layout>
                <c:manualLayout>
                  <c:x val="-7.6484883833965196E-3"/>
                  <c:y val="-2.934079957790676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C29-4EB6-B0FF-E16E8A156F1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발전설비추이(발전원별)_3P'!$B$25:$N$25</c:f>
              <c:numCache>
                <c:formatCode>#,##0_ </c:formatCode>
                <c:ptCount val="13"/>
                <c:pt idx="0">
                  <c:v>41529.381999999998</c:v>
                </c:pt>
                <c:pt idx="1">
                  <c:v>41529.381999999998</c:v>
                </c:pt>
                <c:pt idx="2">
                  <c:v>41529.381999999998</c:v>
                </c:pt>
                <c:pt idx="3">
                  <c:v>41529.381999999998</c:v>
                </c:pt>
                <c:pt idx="4">
                  <c:v>41528.177000000003</c:v>
                </c:pt>
                <c:pt idx="5">
                  <c:v>41528.177000000003</c:v>
                </c:pt>
                <c:pt idx="6">
                  <c:v>41528.177000000003</c:v>
                </c:pt>
                <c:pt idx="7">
                  <c:v>41528.177000000003</c:v>
                </c:pt>
                <c:pt idx="8">
                  <c:v>41028.177000000003</c:v>
                </c:pt>
                <c:pt idx="9">
                  <c:v>41028.177000000003</c:v>
                </c:pt>
                <c:pt idx="10">
                  <c:v>41028.177000000003</c:v>
                </c:pt>
                <c:pt idx="11">
                  <c:v>41028.177000000003</c:v>
                </c:pt>
                <c:pt idx="12">
                  <c:v>41028.177000000003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C29-4EB6-B0FF-E16E8A156F11}"/>
            </c:ext>
          </c:extLst>
        </c:ser>
        <c:ser>
          <c:idx val="2"/>
          <c:order val="1"/>
          <c:tx>
            <c:strRef>
              <c:f>'1-1 발전설비추이(발전원별)_3P'!$A$27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69509852042371E-2"/>
                  <c:y val="3.916587576448571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C29-4EB6-B0FF-E16E8A156F11}"/>
                </c:ext>
              </c:extLst>
            </c:dLbl>
            <c:dLbl>
              <c:idx val="6"/>
              <c:layout>
                <c:manualLayout>
                  <c:x val="-4.3684658058278633E-2"/>
                  <c:y val="4.51373008003147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C29-4EB6-B0FF-E16E8A156F11}"/>
                </c:ext>
              </c:extLst>
            </c:dLbl>
            <c:dLbl>
              <c:idx val="12"/>
              <c:layout>
                <c:manualLayout>
                  <c:x val="-6.1304301557083742E-3"/>
                  <c:y val="3.560286371097300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발전설비추이(발전원별)_3P'!$B$27:$N$27</c:f>
              <c:numCache>
                <c:formatCode>#,##0_ </c:formatCode>
                <c:ptCount val="13"/>
                <c:pt idx="0">
                  <c:v>26050</c:v>
                </c:pt>
                <c:pt idx="1">
                  <c:v>26050</c:v>
                </c:pt>
                <c:pt idx="2">
                  <c:v>26050</c:v>
                </c:pt>
                <c:pt idx="3">
                  <c:v>26050</c:v>
                </c:pt>
                <c:pt idx="4">
                  <c:v>26050</c:v>
                </c:pt>
                <c:pt idx="5">
                  <c:v>26050</c:v>
                </c:pt>
                <c:pt idx="6">
                  <c:v>26050</c:v>
                </c:pt>
                <c:pt idx="7">
                  <c:v>26050</c:v>
                </c:pt>
                <c:pt idx="8">
                  <c:v>26050</c:v>
                </c:pt>
                <c:pt idx="9">
                  <c:v>26050</c:v>
                </c:pt>
                <c:pt idx="10">
                  <c:v>26050</c:v>
                </c:pt>
                <c:pt idx="11">
                  <c:v>26050</c:v>
                </c:pt>
                <c:pt idx="12">
                  <c:v>26050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C29-4EB6-B0FF-E16E8A156F11}"/>
            </c:ext>
          </c:extLst>
        </c:ser>
        <c:ser>
          <c:idx val="3"/>
          <c:order val="2"/>
          <c:tx>
            <c:strRef>
              <c:f>'1-1 발전설비추이(발전원별)_3P'!$A$29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3.8576411528426488E-2"/>
                  <c:y val="-3.806769831928969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C29-4EB6-B0FF-E16E8A156F11}"/>
                </c:ext>
              </c:extLst>
            </c:dLbl>
            <c:dLbl>
              <c:idx val="8"/>
              <c:layout>
                <c:manualLayout>
                  <c:x val="-0.17260669588901709"/>
                  <c:y val="-3.47328258839524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C29-4EB6-B0FF-E16E8A156F11}"/>
                </c:ext>
              </c:extLst>
            </c:dLbl>
            <c:dLbl>
              <c:idx val="12"/>
              <c:layout>
                <c:manualLayout>
                  <c:x val="-7.8191778390235087E-3"/>
                  <c:y val="-4.215976532964677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C29-4EB6-B0FF-E16E8A156F11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발전설비추이(발전원별)_3P'!$B$29:$N$29</c:f>
              <c:numCache>
                <c:formatCode>#,##0_ </c:formatCode>
                <c:ptCount val="13"/>
                <c:pt idx="0">
                  <c:v>45473.356</c:v>
                </c:pt>
                <c:pt idx="1">
                  <c:v>45473.356</c:v>
                </c:pt>
                <c:pt idx="2">
                  <c:v>45473.356</c:v>
                </c:pt>
                <c:pt idx="3">
                  <c:v>45473.356</c:v>
                </c:pt>
                <c:pt idx="4">
                  <c:v>45473.356</c:v>
                </c:pt>
                <c:pt idx="5">
                  <c:v>45473.356</c:v>
                </c:pt>
                <c:pt idx="6">
                  <c:v>45473.356</c:v>
                </c:pt>
                <c:pt idx="7">
                  <c:v>45473.356</c:v>
                </c:pt>
                <c:pt idx="8">
                  <c:v>45473.356</c:v>
                </c:pt>
                <c:pt idx="9">
                  <c:v>45473.356</c:v>
                </c:pt>
                <c:pt idx="10">
                  <c:v>45974.756000000001</c:v>
                </c:pt>
                <c:pt idx="11">
                  <c:v>45974.756000000001</c:v>
                </c:pt>
                <c:pt idx="12">
                  <c:v>45974.756000000001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C29-4EB6-B0FF-E16E8A156F11}"/>
            </c:ext>
          </c:extLst>
        </c:ser>
        <c:ser>
          <c:idx val="4"/>
          <c:order val="3"/>
          <c:tx>
            <c:strRef>
              <c:f>'1-1 발전설비추이(발전원별)_3P'!$A$31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3.7086549580358522E-2"/>
                  <c:y val="-4.22354954662563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C29-4EB6-B0FF-E16E8A156F11}"/>
                </c:ext>
              </c:extLst>
            </c:dLbl>
            <c:dLbl>
              <c:idx val="2"/>
              <c:layout>
                <c:manualLayout>
                  <c:x val="0.20436652147513254"/>
                  <c:y val="-3.692999847906921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C29-4EB6-B0FF-E16E8A156F11}"/>
                </c:ext>
              </c:extLst>
            </c:dLbl>
            <c:dLbl>
              <c:idx val="12"/>
              <c:layout>
                <c:manualLayout>
                  <c:x val="-2.2573530950553591E-3"/>
                  <c:y val="-3.53912902367519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발전설비추이(발전원별)_3P'!$B$31:$N$31</c:f>
              <c:numCache>
                <c:formatCode>#,##0_ </c:formatCode>
                <c:ptCount val="13"/>
                <c:pt idx="0">
                  <c:v>6514.3310000000001</c:v>
                </c:pt>
                <c:pt idx="1">
                  <c:v>6514.4059999999999</c:v>
                </c:pt>
                <c:pt idx="2">
                  <c:v>6515.1559999999999</c:v>
                </c:pt>
                <c:pt idx="3">
                  <c:v>6515.14</c:v>
                </c:pt>
                <c:pt idx="4">
                  <c:v>6515.4660000000003</c:v>
                </c:pt>
                <c:pt idx="5">
                  <c:v>6515.4660000000003</c:v>
                </c:pt>
                <c:pt idx="6">
                  <c:v>6515.4660000000003</c:v>
                </c:pt>
                <c:pt idx="7">
                  <c:v>6515.4660000000003</c:v>
                </c:pt>
                <c:pt idx="8">
                  <c:v>6515.4440000000004</c:v>
                </c:pt>
                <c:pt idx="9">
                  <c:v>6515.5439999999999</c:v>
                </c:pt>
                <c:pt idx="10">
                  <c:v>6515.5439999999999</c:v>
                </c:pt>
                <c:pt idx="11">
                  <c:v>6515.6790000000001</c:v>
                </c:pt>
                <c:pt idx="12">
                  <c:v>6515.6660000000002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C29-4EB6-B0FF-E16E8A156F11}"/>
            </c:ext>
          </c:extLst>
        </c:ser>
        <c:ser>
          <c:idx val="5"/>
          <c:order val="4"/>
          <c:tx>
            <c:strRef>
              <c:f>'1-1 발전설비추이(발전원별)_3P'!$A$35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4852963340737057E-2"/>
                  <c:y val="-3.10954505324508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C29-4EB6-B0FF-E16E8A156F11}"/>
                </c:ext>
              </c:extLst>
            </c:dLbl>
            <c:dLbl>
              <c:idx val="1"/>
              <c:layout>
                <c:manualLayout>
                  <c:x val="0.34031649844742962"/>
                  <c:y val="-4.329228637327784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C29-4EB6-B0FF-E16E8A156F11}"/>
                </c:ext>
              </c:extLst>
            </c:dLbl>
            <c:dLbl>
              <c:idx val="12"/>
              <c:layout>
                <c:manualLayout>
                  <c:x val="-5.5070252970516832E-3"/>
                  <c:y val="-4.414915678336701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발전설비추이(발전원별)_3P'!$B$35:$N$35</c:f>
              <c:numCache>
                <c:formatCode>#,##0_ </c:formatCode>
                <c:ptCount val="13"/>
                <c:pt idx="0">
                  <c:v>545.57500000000005</c:v>
                </c:pt>
                <c:pt idx="1">
                  <c:v>546.07500000000005</c:v>
                </c:pt>
                <c:pt idx="2">
                  <c:v>546.07500000000005</c:v>
                </c:pt>
                <c:pt idx="3">
                  <c:v>546.07500000000005</c:v>
                </c:pt>
                <c:pt idx="4">
                  <c:v>546.07500000000005</c:v>
                </c:pt>
                <c:pt idx="5">
                  <c:v>546.07500000000005</c:v>
                </c:pt>
                <c:pt idx="6">
                  <c:v>552.07500000000005</c:v>
                </c:pt>
                <c:pt idx="7">
                  <c:v>552.07500000000005</c:v>
                </c:pt>
                <c:pt idx="8">
                  <c:v>564.07500000000005</c:v>
                </c:pt>
                <c:pt idx="9">
                  <c:v>603.95500000000004</c:v>
                </c:pt>
                <c:pt idx="10">
                  <c:v>603.95500000000004</c:v>
                </c:pt>
                <c:pt idx="11">
                  <c:v>627.95500000000004</c:v>
                </c:pt>
                <c:pt idx="12">
                  <c:v>627.95500000000004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84928"/>
        <c:axId val="162686464"/>
      </c:lineChart>
      <c:catAx>
        <c:axId val="162684928"/>
        <c:scaling>
          <c:orientation val="minMax"/>
        </c:scaling>
        <c:delete val="1"/>
        <c:axPos val="b"/>
        <c:majorTickMark val="out"/>
        <c:minorTickMark val="none"/>
        <c:tickLblPos val="none"/>
        <c:crossAx val="162686464"/>
        <c:crosses val="autoZero"/>
        <c:auto val="1"/>
        <c:lblAlgn val="ctr"/>
        <c:lblOffset val="100"/>
        <c:noMultiLvlLbl val="0"/>
      </c:catAx>
      <c:valAx>
        <c:axId val="162686464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68492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394007200713145"/>
          <c:h val="0.8958333333333337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'1-2 발전설비추이(에너지원별)'!$A$29</c:f>
              <c:strCache>
                <c:ptCount val="1"/>
                <c:pt idx="0">
                  <c:v>신재생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3.7645934372001508E-3"/>
                  <c:y val="-2.9619468632167505E-5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3B-4896-9A03-9AF7F70735E9}"/>
                </c:ext>
              </c:extLst>
            </c:dLbl>
            <c:dLbl>
              <c:idx val="2"/>
              <c:layout>
                <c:manualLayout>
                  <c:x val="0.2768886250527362"/>
                  <c:y val="1.3586912216587434E-4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3B-4896-9A03-9AF7F70735E9}"/>
                </c:ext>
              </c:extLst>
            </c:dLbl>
            <c:dLbl>
              <c:idx val="12"/>
              <c:layout>
                <c:manualLayout>
                  <c:x val="-5.661226912780995E-3"/>
                  <c:y val="6.213403651944613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발전설비추이(에너지원별)'!$B$29:$N$29</c:f>
              <c:numCache>
                <c:formatCode>#,##0_ </c:formatCode>
                <c:ptCount val="13"/>
                <c:pt idx="0">
                  <c:v>36004.197</c:v>
                </c:pt>
                <c:pt idx="1">
                  <c:v>36373.925999999999</c:v>
                </c:pt>
                <c:pt idx="2">
                  <c:v>36655.745999999999</c:v>
                </c:pt>
                <c:pt idx="3">
                  <c:v>37009.502999999997</c:v>
                </c:pt>
                <c:pt idx="4">
                  <c:v>37368.745000000003</c:v>
                </c:pt>
                <c:pt idx="5">
                  <c:v>37616.743999999999</c:v>
                </c:pt>
                <c:pt idx="6">
                  <c:v>37969.671000000002</c:v>
                </c:pt>
                <c:pt idx="7">
                  <c:v>38188.658000000003</c:v>
                </c:pt>
                <c:pt idx="8">
                  <c:v>38747.139000000003</c:v>
                </c:pt>
                <c:pt idx="9">
                  <c:v>39429.525999999998</c:v>
                </c:pt>
                <c:pt idx="10">
                  <c:v>39790.493000000002</c:v>
                </c:pt>
                <c:pt idx="11">
                  <c:v>39904.646000000001</c:v>
                </c:pt>
                <c:pt idx="12">
                  <c:v>40330.43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3B-4896-9A03-9AF7F70735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2931072"/>
        <c:axId val="162932608"/>
      </c:barChart>
      <c:lineChart>
        <c:grouping val="standard"/>
        <c:varyColors val="0"/>
        <c:ser>
          <c:idx val="1"/>
          <c:order val="0"/>
          <c:tx>
            <c:strRef>
              <c:f>'1-2 발전설비추이(에너지원별)'!$A$23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4049395129317027E-2"/>
                  <c:y val="4.809045270014333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C3B-4896-9A03-9AF7F70735E9}"/>
                </c:ext>
              </c:extLst>
            </c:dLbl>
            <c:dLbl>
              <c:idx val="10"/>
              <c:layout>
                <c:manualLayout>
                  <c:x val="-0.32264102508617831"/>
                  <c:y val="5.911868055335711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C3B-4896-9A03-9AF7F70735E9}"/>
                </c:ext>
              </c:extLst>
            </c:dLbl>
            <c:dLbl>
              <c:idx val="12"/>
              <c:layout>
                <c:manualLayout>
                  <c:x val="-3.7665283052091313E-3"/>
                  <c:y val="4.275740900640882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발전설비추이(에너지원별)'!$B$23:$N$23</c:f>
              <c:numCache>
                <c:formatCode>#,##0_ </c:formatCode>
                <c:ptCount val="13"/>
                <c:pt idx="0">
                  <c:v>26050</c:v>
                </c:pt>
                <c:pt idx="1">
                  <c:v>26050</c:v>
                </c:pt>
                <c:pt idx="2">
                  <c:v>26050</c:v>
                </c:pt>
                <c:pt idx="3">
                  <c:v>26050</c:v>
                </c:pt>
                <c:pt idx="4">
                  <c:v>26050</c:v>
                </c:pt>
                <c:pt idx="5">
                  <c:v>26050</c:v>
                </c:pt>
                <c:pt idx="6">
                  <c:v>26050</c:v>
                </c:pt>
                <c:pt idx="7">
                  <c:v>26050</c:v>
                </c:pt>
                <c:pt idx="8">
                  <c:v>26050</c:v>
                </c:pt>
                <c:pt idx="9">
                  <c:v>26050</c:v>
                </c:pt>
                <c:pt idx="10">
                  <c:v>26050</c:v>
                </c:pt>
                <c:pt idx="11">
                  <c:v>26050</c:v>
                </c:pt>
                <c:pt idx="12">
                  <c:v>26050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3B-4896-9A03-9AF7F70735E9}"/>
            </c:ext>
          </c:extLst>
        </c:ser>
        <c:ser>
          <c:idx val="2"/>
          <c:order val="1"/>
          <c:tx>
            <c:strRef>
              <c:f>'1-2 발전설비추이(에너지원별)'!$A$25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4.3133029423953605E-2"/>
                  <c:y val="-2.971430527943933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C3B-4896-9A03-9AF7F70735E9}"/>
                </c:ext>
              </c:extLst>
            </c:dLbl>
            <c:dLbl>
              <c:idx val="6"/>
              <c:layout>
                <c:manualLayout>
                  <c:x val="-3.4092808100267762E-2"/>
                  <c:y val="-3.766101849667884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C3B-4896-9A03-9AF7F70735E9}"/>
                </c:ext>
              </c:extLst>
            </c:dLbl>
            <c:dLbl>
              <c:idx val="12"/>
              <c:layout>
                <c:manualLayout>
                  <c:x val="-5.671382115642512E-3"/>
                  <c:y val="-3.856264599137176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발전설비추이(에너지원별)'!$B$25:$N$25</c:f>
              <c:numCache>
                <c:formatCode>#,##0_ </c:formatCode>
                <c:ptCount val="13"/>
                <c:pt idx="0">
                  <c:v>41267.881999999998</c:v>
                </c:pt>
                <c:pt idx="1">
                  <c:v>41267.881999999998</c:v>
                </c:pt>
                <c:pt idx="2">
                  <c:v>41267.881999999998</c:v>
                </c:pt>
                <c:pt idx="3">
                  <c:v>41267.881999999998</c:v>
                </c:pt>
                <c:pt idx="4">
                  <c:v>41266.677000000003</c:v>
                </c:pt>
                <c:pt idx="5">
                  <c:v>41266.677000000003</c:v>
                </c:pt>
                <c:pt idx="6">
                  <c:v>41266.677000000003</c:v>
                </c:pt>
                <c:pt idx="7">
                  <c:v>41266.677000000003</c:v>
                </c:pt>
                <c:pt idx="8">
                  <c:v>40766.677000000003</c:v>
                </c:pt>
                <c:pt idx="9">
                  <c:v>40766.677000000003</c:v>
                </c:pt>
                <c:pt idx="10">
                  <c:v>40766.677000000003</c:v>
                </c:pt>
                <c:pt idx="11">
                  <c:v>40766.677000000003</c:v>
                </c:pt>
                <c:pt idx="12">
                  <c:v>40766.677000000003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C3B-4896-9A03-9AF7F70735E9}"/>
            </c:ext>
          </c:extLst>
        </c:ser>
        <c:ser>
          <c:idx val="3"/>
          <c:order val="2"/>
          <c:tx>
            <c:strRef>
              <c:f>'1-2 발전설비추이(에너지원별)'!$A$27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4.0276641892426676E-2"/>
                  <c:y val="-4.80497903569662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C3B-4896-9A03-9AF7F70735E9}"/>
                </c:ext>
              </c:extLst>
            </c:dLbl>
            <c:dLbl>
              <c:idx val="8"/>
              <c:layout>
                <c:manualLayout>
                  <c:x val="-0.1695148199319941"/>
                  <c:y val="-4.236606806603347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C3B-4896-9A03-9AF7F70735E9}"/>
                </c:ext>
              </c:extLst>
            </c:dLbl>
            <c:dLbl>
              <c:idx val="12"/>
              <c:layout>
                <c:manualLayout>
                  <c:x val="-7.7621933813562111E-3"/>
                  <c:y val="-4.142755935337595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발전설비추이(에너지원별)'!$B$27:$N$27</c:f>
              <c:numCache>
                <c:formatCode>#,##0_ </c:formatCode>
                <c:ptCount val="13"/>
                <c:pt idx="0">
                  <c:v>45203.856</c:v>
                </c:pt>
                <c:pt idx="1">
                  <c:v>45203.856</c:v>
                </c:pt>
                <c:pt idx="2">
                  <c:v>45203.856</c:v>
                </c:pt>
                <c:pt idx="3">
                  <c:v>45203.856</c:v>
                </c:pt>
                <c:pt idx="4">
                  <c:v>45203.856</c:v>
                </c:pt>
                <c:pt idx="5">
                  <c:v>45203.856</c:v>
                </c:pt>
                <c:pt idx="6">
                  <c:v>45203.856</c:v>
                </c:pt>
                <c:pt idx="7">
                  <c:v>45203.856</c:v>
                </c:pt>
                <c:pt idx="8">
                  <c:v>45203.856</c:v>
                </c:pt>
                <c:pt idx="9">
                  <c:v>45203.856</c:v>
                </c:pt>
                <c:pt idx="10">
                  <c:v>45705.256000000001</c:v>
                </c:pt>
                <c:pt idx="11">
                  <c:v>45705.256000000001</c:v>
                </c:pt>
                <c:pt idx="12">
                  <c:v>45705.256000000001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C3B-4896-9A03-9AF7F70735E9}"/>
            </c:ext>
          </c:extLst>
        </c:ser>
        <c:ser>
          <c:idx val="5"/>
          <c:order val="4"/>
          <c:tx>
            <c:strRef>
              <c:f>'1-2 발전설비추이(에너지원별)'!$A$31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4.5217607308188384E-2"/>
                  <c:y val="-2.178273536947060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C3B-4896-9A03-9AF7F70735E9}"/>
                </c:ext>
              </c:extLst>
            </c:dLbl>
            <c:dLbl>
              <c:idx val="1"/>
              <c:layout>
                <c:manualLayout>
                  <c:x val="0.33996456531746699"/>
                  <c:y val="-2.3035080958998169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C3B-4896-9A03-9AF7F70735E9}"/>
                </c:ext>
              </c:extLst>
            </c:dLbl>
            <c:dLbl>
              <c:idx val="12"/>
              <c:layout>
                <c:manualLayout>
                  <c:x val="-1.4312896487389622E-3"/>
                  <c:y val="-2.512195973936802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발전설비추이(에너지원별)'!$B$31:$N$31</c:f>
              <c:numCache>
                <c:formatCode>#,##0_ </c:formatCode>
                <c:ptCount val="13"/>
                <c:pt idx="0">
                  <c:v>627.70000000000005</c:v>
                </c:pt>
                <c:pt idx="1">
                  <c:v>627.70000000000005</c:v>
                </c:pt>
                <c:pt idx="2">
                  <c:v>627.70000000000005</c:v>
                </c:pt>
                <c:pt idx="3">
                  <c:v>627.70000000000005</c:v>
                </c:pt>
                <c:pt idx="4">
                  <c:v>627.70000000000005</c:v>
                </c:pt>
                <c:pt idx="5">
                  <c:v>627.70000000000005</c:v>
                </c:pt>
                <c:pt idx="6">
                  <c:v>627.70000000000005</c:v>
                </c:pt>
                <c:pt idx="7">
                  <c:v>627.70000000000005</c:v>
                </c:pt>
                <c:pt idx="8">
                  <c:v>627.70000000000005</c:v>
                </c:pt>
                <c:pt idx="9">
                  <c:v>627.70000000000005</c:v>
                </c:pt>
                <c:pt idx="10">
                  <c:v>627.70000000000005</c:v>
                </c:pt>
                <c:pt idx="11">
                  <c:v>627.70000000000005</c:v>
                </c:pt>
                <c:pt idx="12">
                  <c:v>627.70000000000005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FC3B-4896-9A03-9AF7F70735E9}"/>
            </c:ext>
          </c:extLst>
        </c:ser>
        <c:ser>
          <c:idx val="6"/>
          <c:order val="5"/>
          <c:tx>
            <c:strRef>
              <c:f>'1-2 발전설비추이(에너지원별)'!$A$33</c:f>
              <c:strCache>
                <c:ptCount val="1"/>
                <c:pt idx="0">
                  <c:v>양  수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plus"/>
            <c:size val="9"/>
          </c:marker>
          <c:dLbls>
            <c:dLbl>
              <c:idx val="0"/>
              <c:layout>
                <c:manualLayout>
                  <c:x val="-4.53084940048133E-2"/>
                  <c:y val="-4.120591241884238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C3B-4896-9A03-9AF7F70735E9}"/>
                </c:ext>
              </c:extLst>
            </c:dLbl>
            <c:dLbl>
              <c:idx val="1"/>
              <c:layout>
                <c:manualLayout>
                  <c:x val="0.2720828710333475"/>
                  <c:y val="-4.207952135236949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FC3B-4896-9A03-9AF7F70735E9}"/>
                </c:ext>
              </c:extLst>
            </c:dLbl>
            <c:dLbl>
              <c:idx val="12"/>
              <c:layout>
                <c:manualLayout>
                  <c:x val="-1.5763488723523591E-4"/>
                  <c:y val="-4.21309020582954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발전설비추이(에너지원별)'!$B$33:$N$33</c:f>
              <c:numCache>
                <c:formatCode>#,##0_ </c:formatCode>
                <c:ptCount val="13"/>
                <c:pt idx="0">
                  <c:v>4700</c:v>
                </c:pt>
                <c:pt idx="1">
                  <c:v>4700</c:v>
                </c:pt>
                <c:pt idx="2">
                  <c:v>4700</c:v>
                </c:pt>
                <c:pt idx="3">
                  <c:v>4700</c:v>
                </c:pt>
                <c:pt idx="4">
                  <c:v>4700</c:v>
                </c:pt>
                <c:pt idx="5">
                  <c:v>4700</c:v>
                </c:pt>
                <c:pt idx="6">
                  <c:v>4700</c:v>
                </c:pt>
                <c:pt idx="7">
                  <c:v>4700</c:v>
                </c:pt>
                <c:pt idx="8">
                  <c:v>4700</c:v>
                </c:pt>
                <c:pt idx="9">
                  <c:v>4700</c:v>
                </c:pt>
                <c:pt idx="10">
                  <c:v>4700</c:v>
                </c:pt>
                <c:pt idx="11">
                  <c:v>4700</c:v>
                </c:pt>
                <c:pt idx="12">
                  <c:v>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FC3B-4896-9A03-9AF7F70735E9}"/>
            </c:ext>
          </c:extLst>
        </c:ser>
        <c:ser>
          <c:idx val="0"/>
          <c:order val="6"/>
          <c:tx>
            <c:strRef>
              <c:f>'1-2 발전설비추이(에너지원별)'!$A$35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2.6452550754684039E-2"/>
                  <c:y val="3.4952149427834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FC3B-4896-9A03-9AF7F70735E9}"/>
                </c:ext>
              </c:extLst>
            </c:dLbl>
            <c:dLbl>
              <c:idx val="1"/>
              <c:layout>
                <c:manualLayout>
                  <c:x val="0.40164195287554866"/>
                  <c:y val="3.139935322668913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FC3B-4896-9A03-9AF7F70735E9}"/>
                </c:ext>
              </c:extLst>
            </c:dLbl>
            <c:dLbl>
              <c:idx val="12"/>
              <c:layout>
                <c:manualLayout>
                  <c:x val="-9.4832387785972628E-3"/>
                  <c:y val="1.5560305256849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발전설비추이(에너지원별)'!$B$35:$N$35</c:f>
              <c:numCache>
                <c:formatCode>#,##0_ </c:formatCode>
                <c:ptCount val="13"/>
                <c:pt idx="0">
                  <c:v>448.875</c:v>
                </c:pt>
                <c:pt idx="1">
                  <c:v>449.375</c:v>
                </c:pt>
                <c:pt idx="2">
                  <c:v>449.375</c:v>
                </c:pt>
                <c:pt idx="3">
                  <c:v>449.375</c:v>
                </c:pt>
                <c:pt idx="4">
                  <c:v>449.375</c:v>
                </c:pt>
                <c:pt idx="5">
                  <c:v>449.375</c:v>
                </c:pt>
                <c:pt idx="6">
                  <c:v>455.375</c:v>
                </c:pt>
                <c:pt idx="7">
                  <c:v>455.375</c:v>
                </c:pt>
                <c:pt idx="8">
                  <c:v>467.375</c:v>
                </c:pt>
                <c:pt idx="9">
                  <c:v>507.255</c:v>
                </c:pt>
                <c:pt idx="10">
                  <c:v>507.255</c:v>
                </c:pt>
                <c:pt idx="11">
                  <c:v>531.255</c:v>
                </c:pt>
                <c:pt idx="12">
                  <c:v>531.255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FC3B-4896-9A03-9AF7F70735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931072"/>
        <c:axId val="162932608"/>
      </c:lineChart>
      <c:catAx>
        <c:axId val="162931072"/>
        <c:scaling>
          <c:orientation val="minMax"/>
        </c:scaling>
        <c:delete val="1"/>
        <c:axPos val="b"/>
        <c:majorTickMark val="out"/>
        <c:minorTickMark val="none"/>
        <c:tickLblPos val="none"/>
        <c:crossAx val="162932608"/>
        <c:crosses val="autoZero"/>
        <c:auto val="1"/>
        <c:lblAlgn val="ctr"/>
        <c:lblOffset val="100"/>
        <c:noMultiLvlLbl val="0"/>
      </c:catAx>
      <c:valAx>
        <c:axId val="162932608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931072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59953920551E-2"/>
          <c:y val="6.2360035049833194E-2"/>
          <c:w val="0.89754787389578783"/>
          <c:h val="0.8958333333333337"/>
        </c:manualLayout>
      </c:layout>
      <c:barChart>
        <c:barDir val="col"/>
        <c:grouping val="clustered"/>
        <c:varyColors val="0"/>
        <c:ser>
          <c:idx val="6"/>
          <c:order val="4"/>
          <c:tx>
            <c:strRef>
              <c:f>'1-3 발전전력량 추이(발전원별)'!$A$31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6.94444444444444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44-46FC-9CA3-CC50C4C95F54}"/>
                </c:ext>
              </c:extLst>
            </c:dLbl>
            <c:dLbl>
              <c:idx val="1"/>
              <c:layout>
                <c:manualLayout>
                  <c:x val="0.34686698504227997"/>
                  <c:y val="-6.0069444444445716E-3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44-46FC-9CA3-CC50C4C95F54}"/>
                </c:ext>
              </c:extLst>
            </c:dLbl>
            <c:dLbl>
              <c:idx val="12"/>
              <c:layout>
                <c:manualLayout>
                  <c:x val="0"/>
                  <c:y val="1.0398622047244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추이(발전원별)'!$B$31:$N$31</c:f>
              <c:numCache>
                <c:formatCode>#,##0_ </c:formatCode>
                <c:ptCount val="13"/>
                <c:pt idx="0">
                  <c:v>5866.5889999999999</c:v>
                </c:pt>
                <c:pt idx="1">
                  <c:v>5660.9840000000004</c:v>
                </c:pt>
                <c:pt idx="2">
                  <c:v>5589.8239999999996</c:v>
                </c:pt>
                <c:pt idx="3">
                  <c:v>6022.7539999999999</c:v>
                </c:pt>
                <c:pt idx="4">
                  <c:v>5748.7640000000001</c:v>
                </c:pt>
                <c:pt idx="5">
                  <c:v>4551.4549999999999</c:v>
                </c:pt>
                <c:pt idx="6">
                  <c:v>4473.0609999999997</c:v>
                </c:pt>
                <c:pt idx="7">
                  <c:v>4833.9970000000003</c:v>
                </c:pt>
                <c:pt idx="8">
                  <c:v>4628.8940000000002</c:v>
                </c:pt>
                <c:pt idx="9">
                  <c:v>5260.9560000000001</c:v>
                </c:pt>
                <c:pt idx="10">
                  <c:v>5004.4160000000002</c:v>
                </c:pt>
                <c:pt idx="11">
                  <c:v>5874.116</c:v>
                </c:pt>
                <c:pt idx="12">
                  <c:v>6046.1350000000002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3085696"/>
        <c:axId val="163185792"/>
      </c:barChart>
      <c:lineChart>
        <c:grouping val="standard"/>
        <c:varyColors val="0"/>
        <c:ser>
          <c:idx val="2"/>
          <c:order val="0"/>
          <c:tx>
            <c:strRef>
              <c:f>'1-3 발전전력량 추이(발전원별)'!$A$23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5967233934392004E-2"/>
                  <c:y val="-2.584864391951006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E44-46FC-9CA3-CC50C4C95F54}"/>
                </c:ext>
              </c:extLst>
            </c:dLbl>
            <c:dLbl>
              <c:idx val="6"/>
              <c:layout>
                <c:manualLayout>
                  <c:x val="-5.06903000175924E-2"/>
                  <c:y val="-0.1637442585301837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E44-46FC-9CA3-CC50C4C95F54}"/>
                </c:ext>
              </c:extLst>
            </c:dLbl>
            <c:dLbl>
              <c:idx val="12"/>
              <c:layout>
                <c:manualLayout>
                  <c:x val="-8.080705201286743E-3"/>
                  <c:y val="6.573326771653542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추이(발전원별)'!$B$23:$N$23</c:f>
              <c:numCache>
                <c:formatCode>#,##0_ </c:formatCode>
                <c:ptCount val="13"/>
                <c:pt idx="0">
                  <c:v>8453.7720000000008</c:v>
                </c:pt>
                <c:pt idx="1">
                  <c:v>10796.407999999999</c:v>
                </c:pt>
                <c:pt idx="2">
                  <c:v>14141.562</c:v>
                </c:pt>
                <c:pt idx="3">
                  <c:v>20875.61</c:v>
                </c:pt>
                <c:pt idx="4">
                  <c:v>21486.94</c:v>
                </c:pt>
                <c:pt idx="5">
                  <c:v>19483.376</c:v>
                </c:pt>
                <c:pt idx="6">
                  <c:v>13842.933000000001</c:v>
                </c:pt>
                <c:pt idx="7">
                  <c:v>13785.254999999999</c:v>
                </c:pt>
                <c:pt idx="8">
                  <c:v>17891.793000000001</c:v>
                </c:pt>
                <c:pt idx="9">
                  <c:v>17467.814999999999</c:v>
                </c:pt>
                <c:pt idx="10">
                  <c:v>14233.508</c:v>
                </c:pt>
                <c:pt idx="11">
                  <c:v>13019.049000000001</c:v>
                </c:pt>
                <c:pt idx="12">
                  <c:v>11589.495999999999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E44-46FC-9CA3-CC50C4C95F54}"/>
            </c:ext>
          </c:extLst>
        </c:ser>
        <c:ser>
          <c:idx val="3"/>
          <c:order val="1"/>
          <c:tx>
            <c:strRef>
              <c:f>'1-3 발전전력량 추이(발전원별)'!$A$25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3197551281541992E-2"/>
                  <c:y val="-7.94857283464567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E44-46FC-9CA3-CC50C4C95F54}"/>
                </c:ext>
              </c:extLst>
            </c:dLbl>
            <c:dLbl>
              <c:idx val="8"/>
              <c:layout>
                <c:manualLayout>
                  <c:x val="-0.26411088049504838"/>
                  <c:y val="-8.2351815398075245E-3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40974092275139E-2"/>
                      <c:h val="4.125334199545237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24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E44-46FC-9CA3-CC50C4C95F54}"/>
                </c:ext>
              </c:extLst>
            </c:dLbl>
            <c:dLbl>
              <c:idx val="12"/>
              <c:layout>
                <c:manualLayout>
                  <c:x val="-1.3830342974106917E-2"/>
                  <c:y val="-7.1629210411198657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E44-46FC-9CA3-CC50C4C95F54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추이(발전원별)'!$B$25:$N$25</c:f>
              <c:numCache>
                <c:formatCode>#,##0_ </c:formatCode>
                <c:ptCount val="13"/>
                <c:pt idx="0">
                  <c:v>15930.975</c:v>
                </c:pt>
                <c:pt idx="1">
                  <c:v>15888.942999999999</c:v>
                </c:pt>
                <c:pt idx="2">
                  <c:v>15062.355</c:v>
                </c:pt>
                <c:pt idx="3">
                  <c:v>15253.08</c:v>
                </c:pt>
                <c:pt idx="4">
                  <c:v>14068.521000000001</c:v>
                </c:pt>
                <c:pt idx="5">
                  <c:v>14251.332</c:v>
                </c:pt>
                <c:pt idx="6">
                  <c:v>13750.289000000001</c:v>
                </c:pt>
                <c:pt idx="7">
                  <c:v>13057.03</c:v>
                </c:pt>
                <c:pt idx="8">
                  <c:v>15440.541999999999</c:v>
                </c:pt>
                <c:pt idx="9">
                  <c:v>14647.019</c:v>
                </c:pt>
                <c:pt idx="10">
                  <c:v>12072.444</c:v>
                </c:pt>
                <c:pt idx="11">
                  <c:v>13248.62</c:v>
                </c:pt>
                <c:pt idx="12">
                  <c:v>13608.608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E44-46FC-9CA3-CC50C4C95F54}"/>
            </c:ext>
          </c:extLst>
        </c:ser>
        <c:ser>
          <c:idx val="4"/>
          <c:order val="2"/>
          <c:tx>
            <c:strRef>
              <c:f>'1-3 발전전력량 추이(발전원별)'!$A$27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4.7386722428694787E-2"/>
                  <c:y val="-2.5959372265966753E-2"/>
                </c:manualLayout>
              </c:layout>
              <c:tx>
                <c:rich>
                  <a:bodyPr/>
                  <a:lstStyle/>
                  <a:p>
                    <a:fld id="{C3C1851F-B252-44E5-8913-4CF5A52BB0B5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8E44-46FC-9CA3-CC50C4C95F54}"/>
                </c:ext>
              </c:extLst>
            </c:dLbl>
            <c:dLbl>
              <c:idx val="1"/>
              <c:layout>
                <c:manualLayout>
                  <c:x val="0.71336771367819407"/>
                  <c:y val="-1.4392771216097987E-2"/>
                </c:manualLayout>
              </c:layout>
              <c:tx>
                <c:rich>
                  <a:bodyPr/>
                  <a:lstStyle/>
                  <a:p>
                    <a:fld id="{15E578CA-8F68-4EE6-8EC1-ECA0FD32393E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8E44-46FC-9CA3-CC50C4C95F54}"/>
                </c:ext>
              </c:extLst>
            </c:dLbl>
            <c:dLbl>
              <c:idx val="2"/>
              <c:layout>
                <c:manualLayout>
                  <c:x val="0.22868728750608186"/>
                  <c:y val="2.388123359580046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E44-46FC-9CA3-CC50C4C95F5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'1-3 발전전력량 추이(발전원별)'!$B$27:$N$27</c:f>
              <c:numCache>
                <c:formatCode>#,##0_ </c:formatCode>
                <c:ptCount val="13"/>
                <c:pt idx="0">
                  <c:v>13387.141</c:v>
                </c:pt>
                <c:pt idx="1">
                  <c:v>11970.612999999999</c:v>
                </c:pt>
                <c:pt idx="2">
                  <c:v>11710.380999999999</c:v>
                </c:pt>
                <c:pt idx="3">
                  <c:v>14121.856</c:v>
                </c:pt>
                <c:pt idx="4">
                  <c:v>15019.491</c:v>
                </c:pt>
                <c:pt idx="5">
                  <c:v>11544.512000000001</c:v>
                </c:pt>
                <c:pt idx="6">
                  <c:v>12042.993</c:v>
                </c:pt>
                <c:pt idx="7">
                  <c:v>13094.513999999999</c:v>
                </c:pt>
                <c:pt idx="8">
                  <c:v>13317.291999999999</c:v>
                </c:pt>
                <c:pt idx="9">
                  <c:v>16998.447</c:v>
                </c:pt>
                <c:pt idx="10">
                  <c:v>13951.112999999999</c:v>
                </c:pt>
                <c:pt idx="11">
                  <c:v>15100.703</c:v>
                </c:pt>
                <c:pt idx="12">
                  <c:v>12453.991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('1-3 발전전력량 추이(발전원별)'!$B$27,'1-3 발전전력량 추이(발전원별)'!$N$27)</c15:f>
                <c15:dlblRangeCache>
                  <c:ptCount val="2"/>
                  <c:pt idx="0">
                    <c:v>13,387 </c:v>
                  </c:pt>
                  <c:pt idx="1">
                    <c:v>12,454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8E44-46FC-9CA3-CC50C4C95F54}"/>
            </c:ext>
          </c:extLst>
        </c:ser>
        <c:ser>
          <c:idx val="5"/>
          <c:order val="3"/>
          <c:tx>
            <c:strRef>
              <c:f>'1-3 발전전력량 추이(발전원별)'!$A$29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2.2904939453819936E-2"/>
                  <c:y val="-2.423865494659512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altLang="ko-KR" baseline="0"/>
                      <a:t> </a:t>
                    </a:r>
                    <a:fld id="{8C2C381F-A5E7-438E-B064-F820ACA7E68D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en-US" altLang="ko-KR" baseline="0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8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E44-46FC-9CA3-CC50C4C95F54}"/>
                </c:ext>
              </c:extLst>
            </c:dLbl>
            <c:dLbl>
              <c:idx val="4"/>
              <c:layout>
                <c:manualLayout>
                  <c:x val="6.2385533493768554E-2"/>
                  <c:y val="-4.147767477019619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E44-46FC-9CA3-CC50C4C95F54}"/>
                </c:ext>
              </c:extLst>
            </c:dLbl>
            <c:dLbl>
              <c:idx val="12"/>
              <c:layout>
                <c:manualLayout>
                  <c:x val="-1.9362652864706575E-2"/>
                  <c:y val="-3.4001654625826938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fld id="{E4EA2770-331F-42A6-8381-8463C14CD3D4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ko-KR" altLang="en-US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4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추이(발전원별)'!$B$29:$N$29</c:f>
              <c:numCache>
                <c:formatCode>#,##0_ </c:formatCode>
                <c:ptCount val="13"/>
                <c:pt idx="0">
                  <c:v>673.24699999999996</c:v>
                </c:pt>
                <c:pt idx="1">
                  <c:v>853.76400000000001</c:v>
                </c:pt>
                <c:pt idx="2">
                  <c:v>784.64099999999996</c:v>
                </c:pt>
                <c:pt idx="3">
                  <c:v>640.72</c:v>
                </c:pt>
                <c:pt idx="4">
                  <c:v>607.40700000000004</c:v>
                </c:pt>
                <c:pt idx="5">
                  <c:v>695.93700000000001</c:v>
                </c:pt>
                <c:pt idx="6">
                  <c:v>927.94200000000001</c:v>
                </c:pt>
                <c:pt idx="7">
                  <c:v>639.02499999999998</c:v>
                </c:pt>
                <c:pt idx="8">
                  <c:v>556.71400000000006</c:v>
                </c:pt>
                <c:pt idx="9">
                  <c:v>506.35599999999999</c:v>
                </c:pt>
                <c:pt idx="10">
                  <c:v>454.08699999999999</c:v>
                </c:pt>
                <c:pt idx="11">
                  <c:v>500.904</c:v>
                </c:pt>
                <c:pt idx="12">
                  <c:v>517.59299999999996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E44-46FC-9CA3-CC50C4C95F54}"/>
            </c:ext>
          </c:extLst>
        </c:ser>
        <c:ser>
          <c:idx val="0"/>
          <c:order val="5"/>
          <c:tx>
            <c:strRef>
              <c:f>'1-3 발전전력량 추이(발전원별)'!$A$33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7786607112278714E-2"/>
                  <c:y val="3.6609717534202869E-2"/>
                </c:manualLayout>
              </c:layout>
              <c:tx>
                <c:rich>
                  <a:bodyPr/>
                  <a:lstStyle/>
                  <a:p>
                    <a:fld id="{8F99CB79-C715-4B8B-AADC-93C191A5D87D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6-8E44-46FC-9CA3-CC50C4C95F54}"/>
                </c:ext>
              </c:extLst>
            </c:dLbl>
            <c:dLbl>
              <c:idx val="1"/>
              <c:layout>
                <c:manualLayout>
                  <c:x val="0.40706568385849773"/>
                  <c:y val="-1.718465937251074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="0"/>
                    </a:pPr>
                    <a:r>
                      <a:rPr lang="ko-KR" altLang="en-US" b="0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E44-46FC-9CA3-CC50C4C95F54}"/>
                </c:ext>
              </c:extLst>
            </c:dLbl>
            <c:dLbl>
              <c:idx val="12"/>
              <c:layout>
                <c:manualLayout>
                  <c:x val="-2.0823881687152376E-2"/>
                  <c:y val="3.4889649966734368E-2"/>
                </c:manualLayout>
              </c:layout>
              <c:tx>
                <c:rich>
                  <a:bodyPr/>
                  <a:lstStyle/>
                  <a:p>
                    <a:fld id="{52519D43-F124-4808-892B-112EAD66ED88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2-8E44-46FC-9CA3-CC50C4C95F5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추이(발전원별)'!$B$33:$N$33</c:f>
              <c:numCache>
                <c:formatCode>#,##0_ </c:formatCode>
                <c:ptCount val="13"/>
                <c:pt idx="0">
                  <c:v>229.667</c:v>
                </c:pt>
                <c:pt idx="1">
                  <c:v>236.92400000000001</c:v>
                </c:pt>
                <c:pt idx="2">
                  <c:v>221.821</c:v>
                </c:pt>
                <c:pt idx="3">
                  <c:v>229.14500000000001</c:v>
                </c:pt>
                <c:pt idx="4">
                  <c:v>231.15700000000001</c:v>
                </c:pt>
                <c:pt idx="5">
                  <c:v>202.733</c:v>
                </c:pt>
                <c:pt idx="6">
                  <c:v>224.95699999999999</c:v>
                </c:pt>
                <c:pt idx="7">
                  <c:v>272.79300000000001</c:v>
                </c:pt>
                <c:pt idx="8">
                  <c:v>299.73899999999998</c:v>
                </c:pt>
                <c:pt idx="9">
                  <c:v>268.82400000000001</c:v>
                </c:pt>
                <c:pt idx="10">
                  <c:v>226.03800000000001</c:v>
                </c:pt>
                <c:pt idx="11">
                  <c:v>230.756</c:v>
                </c:pt>
                <c:pt idx="12">
                  <c:v>162.32400000000001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85696"/>
        <c:axId val="163185792"/>
      </c:lineChart>
      <c:catAx>
        <c:axId val="163085696"/>
        <c:scaling>
          <c:orientation val="minMax"/>
        </c:scaling>
        <c:delete val="1"/>
        <c:axPos val="b"/>
        <c:majorTickMark val="out"/>
        <c:minorTickMark val="none"/>
        <c:tickLblPos val="none"/>
        <c:crossAx val="163185792"/>
        <c:crosses val="autoZero"/>
        <c:auto val="1"/>
        <c:lblAlgn val="ctr"/>
        <c:lblOffset val="100"/>
        <c:noMultiLvlLbl val="0"/>
      </c:catAx>
      <c:valAx>
        <c:axId val="16318579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308569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700987453649E-2"/>
          <c:y val="2.9878876191510056E-2"/>
          <c:w val="0.90147960604602884"/>
          <c:h val="0.92538999660990562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'1-4 발전전력량 추이(에너지원별)'!$A$29</c:f>
              <c:strCache>
                <c:ptCount val="1"/>
                <c:pt idx="0">
                  <c:v>신재생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7.253230293431406E-4"/>
                  <c:y val="1.578169628084629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DC-45DC-B643-48EC06D6387E}"/>
                </c:ext>
              </c:extLst>
            </c:dLbl>
            <c:dLbl>
              <c:idx val="2"/>
              <c:layout>
                <c:manualLayout>
                  <c:x val="0.27531049856507633"/>
                  <c:y val="2.39681934422175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DC-45DC-B643-48EC06D6387E}"/>
                </c:ext>
              </c:extLst>
            </c:dLbl>
            <c:dLbl>
              <c:idx val="12"/>
              <c:layout>
                <c:manualLayout>
                  <c:x val="-1.985903996182059E-3"/>
                  <c:y val="5.2498639679889006E-5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750441552595121E-2"/>
                      <c:h val="4.59561306764682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추이(에너지원별)'!$B$29:$N$29</c:f>
              <c:numCache>
                <c:formatCode>#,##0_ </c:formatCode>
                <c:ptCount val="13"/>
                <c:pt idx="0">
                  <c:v>6267.1139999999996</c:v>
                </c:pt>
                <c:pt idx="1">
                  <c:v>6226.0720000000001</c:v>
                </c:pt>
                <c:pt idx="2">
                  <c:v>6244.2079999999996</c:v>
                </c:pt>
                <c:pt idx="3">
                  <c:v>6551.0290000000005</c:v>
                </c:pt>
                <c:pt idx="4">
                  <c:v>6250.6220000000003</c:v>
                </c:pt>
                <c:pt idx="5">
                  <c:v>5113.3599999999997</c:v>
                </c:pt>
                <c:pt idx="6">
                  <c:v>5179.6949999999997</c:v>
                </c:pt>
                <c:pt idx="7">
                  <c:v>5277.259</c:v>
                </c:pt>
                <c:pt idx="8">
                  <c:v>5032.1670000000004</c:v>
                </c:pt>
                <c:pt idx="9">
                  <c:v>5656.2439999999997</c:v>
                </c:pt>
                <c:pt idx="10">
                  <c:v>5366.2449999999999</c:v>
                </c:pt>
                <c:pt idx="11">
                  <c:v>6234.009</c:v>
                </c:pt>
                <c:pt idx="12">
                  <c:v>6431.82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97408"/>
        <c:axId val="170898944"/>
      </c:barChart>
      <c:lineChart>
        <c:grouping val="standard"/>
        <c:varyColors val="0"/>
        <c:ser>
          <c:idx val="1"/>
          <c:order val="0"/>
          <c:tx>
            <c:strRef>
              <c:f>'1-4 발전전력량 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1761314362241266E-2"/>
                  <c:y val="-6.841761774537776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DDC-45DC-B643-48EC06D6387E}"/>
                </c:ext>
              </c:extLst>
            </c:dLbl>
            <c:dLbl>
              <c:idx val="10"/>
              <c:layout>
                <c:manualLayout>
                  <c:x val="-0.41861804662121382"/>
                  <c:y val="-0.1279400007697248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6DDC-45DC-B643-48EC06D6387E}"/>
                </c:ext>
              </c:extLst>
            </c:dLbl>
            <c:dLbl>
              <c:idx val="12"/>
              <c:layout>
                <c:manualLayout>
                  <c:x val="-2.2106369468787176E-3"/>
                  <c:y val="-8.0259642918654547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추이(에너지원별)'!$B$23:$N$23</c:f>
              <c:numCache>
                <c:formatCode>#,##0_ </c:formatCode>
                <c:ptCount val="13"/>
                <c:pt idx="0">
                  <c:v>15930.975</c:v>
                </c:pt>
                <c:pt idx="1">
                  <c:v>15888.942999999999</c:v>
                </c:pt>
                <c:pt idx="2">
                  <c:v>15062.355</c:v>
                </c:pt>
                <c:pt idx="3">
                  <c:v>15253.08</c:v>
                </c:pt>
                <c:pt idx="4">
                  <c:v>14068.521000000001</c:v>
                </c:pt>
                <c:pt idx="5">
                  <c:v>14251.332</c:v>
                </c:pt>
                <c:pt idx="6">
                  <c:v>13750.289000000001</c:v>
                </c:pt>
                <c:pt idx="7">
                  <c:v>13057.03</c:v>
                </c:pt>
                <c:pt idx="8">
                  <c:v>15440.541999999999</c:v>
                </c:pt>
                <c:pt idx="9">
                  <c:v>14647.019</c:v>
                </c:pt>
                <c:pt idx="10">
                  <c:v>12072.444</c:v>
                </c:pt>
                <c:pt idx="11">
                  <c:v>13248.62</c:v>
                </c:pt>
                <c:pt idx="12">
                  <c:v>13608.608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DC-45DC-B643-48EC06D6387E}"/>
            </c:ext>
          </c:extLst>
        </c:ser>
        <c:ser>
          <c:idx val="2"/>
          <c:order val="1"/>
          <c:tx>
            <c:strRef>
              <c:f>'1-4 발전전력량 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4.7473922280817038E-2"/>
                  <c:y val="3.454808828470647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DDC-45DC-B643-48EC06D6387E}"/>
                </c:ext>
              </c:extLst>
            </c:dLbl>
            <c:dLbl>
              <c:idx val="6"/>
              <c:layout>
                <c:manualLayout>
                  <c:x val="-5.7555052297606393E-2"/>
                  <c:y val="4.2747704677879653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486081772743568E-2"/>
                      <c:h val="6.3533285735559566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8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DDC-45DC-B643-48EC06D6387E}"/>
                </c:ext>
              </c:extLst>
            </c:dLbl>
            <c:dLbl>
              <c:idx val="12"/>
              <c:layout>
                <c:manualLayout>
                  <c:x val="-4.6587692115679221E-3"/>
                  <c:y val="1.743617766668022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추이(에너지원별)'!$B$27:$N$27</c:f>
              <c:numCache>
                <c:formatCode>#,##0_ </c:formatCode>
                <c:ptCount val="13"/>
                <c:pt idx="0">
                  <c:v>13438.132</c:v>
                </c:pt>
                <c:pt idx="1">
                  <c:v>11989.437</c:v>
                </c:pt>
                <c:pt idx="2">
                  <c:v>11743.815000000001</c:v>
                </c:pt>
                <c:pt idx="3">
                  <c:v>14254.402</c:v>
                </c:pt>
                <c:pt idx="4">
                  <c:v>15085.864</c:v>
                </c:pt>
                <c:pt idx="5">
                  <c:v>11679.615</c:v>
                </c:pt>
                <c:pt idx="6">
                  <c:v>12241.133</c:v>
                </c:pt>
                <c:pt idx="7">
                  <c:v>13263.477999999999</c:v>
                </c:pt>
                <c:pt idx="8">
                  <c:v>13592.942999999999</c:v>
                </c:pt>
                <c:pt idx="9">
                  <c:v>17285.042000000001</c:v>
                </c:pt>
                <c:pt idx="10">
                  <c:v>14203.977000000001</c:v>
                </c:pt>
                <c:pt idx="11">
                  <c:v>15362.612999999999</c:v>
                </c:pt>
                <c:pt idx="12">
                  <c:v>12634.191999999999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DDC-45DC-B643-48EC06D6387E}"/>
            </c:ext>
          </c:extLst>
        </c:ser>
        <c:ser>
          <c:idx val="3"/>
          <c:order val="2"/>
          <c:tx>
            <c:strRef>
              <c:f>'1-4 발전전력량 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4.1110224987925013E-2"/>
                  <c:y val="4.066686362031468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DDC-45DC-B643-48EC06D6387E}"/>
                </c:ext>
              </c:extLst>
            </c:dLbl>
            <c:dLbl>
              <c:idx val="8"/>
              <c:layout>
                <c:manualLayout>
                  <c:x val="-0.22738986959007895"/>
                  <c:y val="-0.1221768909504654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DDC-45DC-B643-48EC06D6387E}"/>
                </c:ext>
              </c:extLst>
            </c:dLbl>
            <c:dLbl>
              <c:idx val="12"/>
              <c:layout>
                <c:manualLayout>
                  <c:x val="-6.9452789537397331E-3"/>
                  <c:y val="3.966771361978917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036589636408076E-2"/>
                      <c:h val="6.17897228921320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추이(에너지원별)'!$B$25:$N$25</c:f>
              <c:numCache>
                <c:formatCode>#,##0_ </c:formatCode>
                <c:ptCount val="13"/>
                <c:pt idx="0">
                  <c:v>8145.491</c:v>
                </c:pt>
                <c:pt idx="1">
                  <c:v>10508.992</c:v>
                </c:pt>
                <c:pt idx="2">
                  <c:v>13762.206</c:v>
                </c:pt>
                <c:pt idx="3">
                  <c:v>20404.626</c:v>
                </c:pt>
                <c:pt idx="4">
                  <c:v>21148.749</c:v>
                </c:pt>
                <c:pt idx="5">
                  <c:v>19059.849999999999</c:v>
                </c:pt>
                <c:pt idx="6">
                  <c:v>13425.121999999999</c:v>
                </c:pt>
                <c:pt idx="7">
                  <c:v>13262.166999999999</c:v>
                </c:pt>
                <c:pt idx="8">
                  <c:v>17227.958999999999</c:v>
                </c:pt>
                <c:pt idx="9">
                  <c:v>16821.429</c:v>
                </c:pt>
                <c:pt idx="10">
                  <c:v>13629.168</c:v>
                </c:pt>
                <c:pt idx="11">
                  <c:v>12445.218000000001</c:v>
                </c:pt>
                <c:pt idx="12">
                  <c:v>11048.07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DDC-45DC-B643-48EC06D6387E}"/>
            </c:ext>
          </c:extLst>
        </c:ser>
        <c:ser>
          <c:idx val="5"/>
          <c:order val="4"/>
          <c:tx>
            <c:strRef>
              <c:f>'1-4 발전전력량 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3.7138756589613865E-3"/>
                  <c:y val="-2.830898470608374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DDC-45DC-B643-48EC06D6387E}"/>
                </c:ext>
              </c:extLst>
            </c:dLbl>
            <c:dLbl>
              <c:idx val="2"/>
              <c:layout>
                <c:manualLayout>
                  <c:x val="0.20150142419484382"/>
                  <c:y val="-3.124000551132117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DDC-45DC-B643-48EC06D6387E}"/>
                </c:ext>
              </c:extLst>
            </c:dLbl>
            <c:dLbl>
              <c:idx val="12"/>
              <c:layout>
                <c:manualLayout>
                  <c:x val="-2.8210413417811977E-4"/>
                  <c:y val="1.999217837752815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추이(에너지원별)'!$B$31:$N$31</c:f>
              <c:numCache>
                <c:formatCode>#,##0_ </c:formatCode>
                <c:ptCount val="13"/>
                <c:pt idx="0">
                  <c:v>76.597999999999999</c:v>
                </c:pt>
                <c:pt idx="1">
                  <c:v>112.58799999999999</c:v>
                </c:pt>
                <c:pt idx="2">
                  <c:v>106.10299999999999</c:v>
                </c:pt>
                <c:pt idx="3">
                  <c:v>81.891000000000005</c:v>
                </c:pt>
                <c:pt idx="4">
                  <c:v>64.465000000000003</c:v>
                </c:pt>
                <c:pt idx="5">
                  <c:v>102.593</c:v>
                </c:pt>
                <c:pt idx="6">
                  <c:v>61.792000000000002</c:v>
                </c:pt>
                <c:pt idx="7">
                  <c:v>101.196</c:v>
                </c:pt>
                <c:pt idx="8">
                  <c:v>118.199</c:v>
                </c:pt>
                <c:pt idx="9">
                  <c:v>107.502</c:v>
                </c:pt>
                <c:pt idx="10">
                  <c:v>109.26300000000001</c:v>
                </c:pt>
                <c:pt idx="11">
                  <c:v>88.835999999999999</c:v>
                </c:pt>
                <c:pt idx="12">
                  <c:v>121.526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6DDC-45DC-B643-48EC06D6387E}"/>
            </c:ext>
          </c:extLst>
        </c:ser>
        <c:ser>
          <c:idx val="6"/>
          <c:order val="5"/>
          <c:tx>
            <c:strRef>
              <c:f>'1-4 발전전력량 추이(에너지원별)'!$A$33</c:f>
              <c:strCache>
                <c:ptCount val="1"/>
                <c:pt idx="0">
                  <c:v>양  수</c:v>
                </c:pt>
              </c:strCache>
            </c:strRef>
          </c:tx>
          <c:marker>
            <c:symbol val="plus"/>
            <c:size val="9"/>
          </c:marker>
          <c:dLbls>
            <c:dLbl>
              <c:idx val="0"/>
              <c:layout>
                <c:manualLayout>
                  <c:x val="-5.8321239617289626E-2"/>
                  <c:y val="-5.105181337775792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DDC-45DC-B643-48EC06D6387E}"/>
                </c:ext>
              </c:extLst>
            </c:dLbl>
            <c:dLbl>
              <c:idx val="1"/>
              <c:layout>
                <c:manualLayout>
                  <c:x val="0.41542228762060945"/>
                  <c:y val="-4.656217037746924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DDC-45DC-B643-48EC06D6387E}"/>
                </c:ext>
              </c:extLst>
            </c:dLbl>
            <c:dLbl>
              <c:idx val="12"/>
              <c:layout>
                <c:manualLayout>
                  <c:x val="-4.7131307137977758E-4"/>
                  <c:y val="-4.954761238711186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추이(에너지원별)'!$B$33:$N$33</c:f>
              <c:numCache>
                <c:formatCode>#,##0_ </c:formatCode>
                <c:ptCount val="13"/>
                <c:pt idx="0">
                  <c:v>427.03899999999999</c:v>
                </c:pt>
                <c:pt idx="1">
                  <c:v>421.63099999999997</c:v>
                </c:pt>
                <c:pt idx="2">
                  <c:v>345.411</c:v>
                </c:pt>
                <c:pt idx="3">
                  <c:v>347.45800000000003</c:v>
                </c:pt>
                <c:pt idx="4">
                  <c:v>297.12400000000002</c:v>
                </c:pt>
                <c:pt idx="5">
                  <c:v>294.89499999999998</c:v>
                </c:pt>
                <c:pt idx="6">
                  <c:v>349.06099999999998</c:v>
                </c:pt>
                <c:pt idx="7">
                  <c:v>371.089</c:v>
                </c:pt>
                <c:pt idx="8">
                  <c:v>334.19799999999998</c:v>
                </c:pt>
                <c:pt idx="9">
                  <c:v>290.488</c:v>
                </c:pt>
                <c:pt idx="10">
                  <c:v>259.21199999999999</c:v>
                </c:pt>
                <c:pt idx="11">
                  <c:v>288.95100000000002</c:v>
                </c:pt>
                <c:pt idx="12">
                  <c:v>275.42200000000003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6DDC-45DC-B643-48EC06D6387E}"/>
            </c:ext>
          </c:extLst>
        </c:ser>
        <c:ser>
          <c:idx val="0"/>
          <c:order val="6"/>
          <c:tx>
            <c:strRef>
              <c:f>'1-4 발전전력량 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5.1283202229722553E-2"/>
                  <c:y val="2.27932099409759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DDC-45DC-B643-48EC06D6387E}"/>
                </c:ext>
              </c:extLst>
            </c:dLbl>
            <c:dLbl>
              <c:idx val="1"/>
              <c:layout>
                <c:manualLayout>
                  <c:x val="0.34236804564907269"/>
                  <c:y val="-4.0505568559546422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DDC-45DC-B643-48EC06D6387E}"/>
                </c:ext>
              </c:extLst>
            </c:dLbl>
            <c:dLbl>
              <c:idx val="12"/>
              <c:layout>
                <c:manualLayout>
                  <c:x val="-4.7302382932729745E-2"/>
                  <c:y val="-2.4866914119420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추이(에너지원별)'!$B$35:$N$35</c:f>
              <c:numCache>
                <c:formatCode>#,##0_ </c:formatCode>
                <c:ptCount val="13"/>
                <c:pt idx="0">
                  <c:v>256.041</c:v>
                </c:pt>
                <c:pt idx="1">
                  <c:v>259.97500000000002</c:v>
                </c:pt>
                <c:pt idx="2">
                  <c:v>246.48599999999999</c:v>
                </c:pt>
                <c:pt idx="3">
                  <c:v>250.679</c:v>
                </c:pt>
                <c:pt idx="4">
                  <c:v>246.934</c:v>
                </c:pt>
                <c:pt idx="5">
                  <c:v>227.70099999999999</c:v>
                </c:pt>
                <c:pt idx="6">
                  <c:v>255.083</c:v>
                </c:pt>
                <c:pt idx="7">
                  <c:v>350.39400000000001</c:v>
                </c:pt>
                <c:pt idx="8">
                  <c:v>388.96600000000001</c:v>
                </c:pt>
                <c:pt idx="9">
                  <c:v>341.69299999999998</c:v>
                </c:pt>
                <c:pt idx="10">
                  <c:v>301.29899999999998</c:v>
                </c:pt>
                <c:pt idx="11">
                  <c:v>305.90199999999999</c:v>
                </c:pt>
                <c:pt idx="12">
                  <c:v>258.50900000000001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97408"/>
        <c:axId val="170898944"/>
      </c:lineChart>
      <c:catAx>
        <c:axId val="170897408"/>
        <c:scaling>
          <c:orientation val="minMax"/>
        </c:scaling>
        <c:delete val="1"/>
        <c:axPos val="b"/>
        <c:majorTickMark val="out"/>
        <c:minorTickMark val="none"/>
        <c:tickLblPos val="none"/>
        <c:crossAx val="170898944"/>
        <c:crosses val="autoZero"/>
        <c:auto val="1"/>
        <c:lblAlgn val="ctr"/>
        <c:lblOffset val="100"/>
        <c:noMultiLvlLbl val="0"/>
      </c:catAx>
      <c:valAx>
        <c:axId val="170898944"/>
        <c:scaling>
          <c:orientation val="minMax"/>
          <c:max val="25000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089740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'1-5 판매전력량 추이(계약종별)'!$A$27</c:f>
              <c:strCache>
                <c:ptCount val="1"/>
                <c:pt idx="0">
                  <c:v>주택용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8759533746730438E-3"/>
                  <c:y val="5.8087146850769366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51-495E-BCCA-CE641391F11C}"/>
                </c:ext>
              </c:extLst>
            </c:dLbl>
            <c:dLbl>
              <c:idx val="8"/>
              <c:layout>
                <c:manualLayout>
                  <c:x val="-0.13550080331419276"/>
                  <c:y val="-3.8394483683385511E-3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주택용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945525709718857E-2"/>
                      <c:h val="6.360721202607917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51-495E-BCCA-CE641391F11C}"/>
                </c:ext>
              </c:extLst>
            </c:dLbl>
            <c:dLbl>
              <c:idx val="12"/>
              <c:layout>
                <c:manualLayout>
                  <c:x val="1.8852754936749749E-3"/>
                  <c:y val="9.1991344604405827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D51-495E-BCCA-CE641391F11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추이(계약종별)'!$B$27:$N$27</c:f>
              <c:numCache>
                <c:formatCode>#,##0_ </c:formatCode>
                <c:ptCount val="13"/>
                <c:pt idx="0">
                  <c:v>6446.99</c:v>
                </c:pt>
                <c:pt idx="1">
                  <c:v>6051.3159999999998</c:v>
                </c:pt>
                <c:pt idx="2">
                  <c:v>6453.5940000000001</c:v>
                </c:pt>
                <c:pt idx="3">
                  <c:v>8304.2150000000001</c:v>
                </c:pt>
                <c:pt idx="4">
                  <c:v>10433.83</c:v>
                </c:pt>
                <c:pt idx="5">
                  <c:v>9604.6460000000006</c:v>
                </c:pt>
                <c:pt idx="6">
                  <c:v>6800.57</c:v>
                </c:pt>
                <c:pt idx="7">
                  <c:v>6479.8620000000001</c:v>
                </c:pt>
                <c:pt idx="8">
                  <c:v>6752.7309999999998</c:v>
                </c:pt>
                <c:pt idx="9">
                  <c:v>7512.6859999999997</c:v>
                </c:pt>
                <c:pt idx="10">
                  <c:v>7509.9269999999997</c:v>
                </c:pt>
                <c:pt idx="11">
                  <c:v>6402.7060000000001</c:v>
                </c:pt>
                <c:pt idx="12">
                  <c:v>6478.6719999999996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008000"/>
        <c:axId val="171009536"/>
      </c:barChart>
      <c:lineChart>
        <c:grouping val="standard"/>
        <c:varyColors val="0"/>
        <c:ser>
          <c:idx val="1"/>
          <c:order val="0"/>
          <c:tx>
            <c:strRef>
              <c:f>'1-5 판매전력량 추이(계약종별)'!$A$23</c:f>
              <c:strCache>
                <c:ptCount val="1"/>
                <c:pt idx="0">
                  <c:v>산업용</c:v>
                </c:pt>
              </c:strCache>
            </c:strRef>
          </c:tx>
          <c:dLbls>
            <c:dLbl>
              <c:idx val="0"/>
              <c:layout>
                <c:manualLayout>
                  <c:x val="-4.4865183670337386E-2"/>
                  <c:y val="-5.789979164551110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D51-495E-BCCA-CE641391F11C}"/>
                </c:ext>
              </c:extLst>
            </c:dLbl>
            <c:dLbl>
              <c:idx val="10"/>
              <c:layout>
                <c:manualLayout>
                  <c:x val="-0.3254545071079209"/>
                  <c:y val="-0.1283710789777294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산업용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D51-495E-BCCA-CE641391F11C}"/>
                </c:ext>
              </c:extLst>
            </c:dLbl>
            <c:dLbl>
              <c:idx val="12"/>
              <c:layout>
                <c:manualLayout>
                  <c:x val="-6.4302530174205619E-3"/>
                  <c:y val="-6.3392128531351663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D51-495E-BCCA-CE641391F1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추이(계약종별)'!$B$23:$N$23</c:f>
              <c:numCache>
                <c:formatCode>#,##0_ </c:formatCode>
                <c:ptCount val="13"/>
                <c:pt idx="0">
                  <c:v>23176.313999999998</c:v>
                </c:pt>
                <c:pt idx="1">
                  <c:v>22926.077000000001</c:v>
                </c:pt>
                <c:pt idx="2">
                  <c:v>23155.440999999999</c:v>
                </c:pt>
                <c:pt idx="3">
                  <c:v>24682.141</c:v>
                </c:pt>
                <c:pt idx="4">
                  <c:v>24310.506000000001</c:v>
                </c:pt>
                <c:pt idx="5">
                  <c:v>24292.925999999999</c:v>
                </c:pt>
                <c:pt idx="6">
                  <c:v>22157.343000000001</c:v>
                </c:pt>
                <c:pt idx="7">
                  <c:v>22225.059000000001</c:v>
                </c:pt>
                <c:pt idx="8">
                  <c:v>23301.881000000001</c:v>
                </c:pt>
                <c:pt idx="9">
                  <c:v>23907.056</c:v>
                </c:pt>
                <c:pt idx="10">
                  <c:v>21844.933000000001</c:v>
                </c:pt>
                <c:pt idx="11">
                  <c:v>22542.825000000001</c:v>
                </c:pt>
                <c:pt idx="12">
                  <c:v>22803.29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51-495E-BCCA-CE641391F11C}"/>
            </c:ext>
          </c:extLst>
        </c:ser>
        <c:ser>
          <c:idx val="2"/>
          <c:order val="1"/>
          <c:tx>
            <c:strRef>
              <c:f>'1-5 판매전력량 추이(계약종별)'!$A$25</c:f>
              <c:strCache>
                <c:ptCount val="1"/>
                <c:pt idx="0">
                  <c:v>일반용</c:v>
                </c:pt>
              </c:strCache>
            </c:strRef>
          </c:tx>
          <c:dLbls>
            <c:dLbl>
              <c:idx val="0"/>
              <c:layout>
                <c:manualLayout>
                  <c:x val="-4.1820754537724512E-2"/>
                  <c:y val="-4.290877114533328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D51-495E-BCCA-CE641391F11C}"/>
                </c:ext>
              </c:extLst>
            </c:dLbl>
            <c:dLbl>
              <c:idx val="6"/>
              <c:layout>
                <c:manualLayout>
                  <c:x val="-4.4979462050976901E-2"/>
                  <c:y val="-9.486307696636830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일반용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D51-495E-BCCA-CE641391F11C}"/>
                </c:ext>
              </c:extLst>
            </c:dLbl>
            <c:dLbl>
              <c:idx val="12"/>
              <c:layout>
                <c:manualLayout>
                  <c:x val="-9.5450867850067553E-3"/>
                  <c:y val="-4.90414837090769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추이(계약종별)'!$B$25:$N$25</c:f>
              <c:numCache>
                <c:formatCode>#,##0_ </c:formatCode>
                <c:ptCount val="13"/>
                <c:pt idx="0">
                  <c:v>10054.927</c:v>
                </c:pt>
                <c:pt idx="1">
                  <c:v>9497.6710000000003</c:v>
                </c:pt>
                <c:pt idx="2">
                  <c:v>10584.628000000001</c:v>
                </c:pt>
                <c:pt idx="3">
                  <c:v>12714.08</c:v>
                </c:pt>
                <c:pt idx="4">
                  <c:v>13977.984</c:v>
                </c:pt>
                <c:pt idx="5">
                  <c:v>13208.287</c:v>
                </c:pt>
                <c:pt idx="6">
                  <c:v>10461.447</c:v>
                </c:pt>
                <c:pt idx="7">
                  <c:v>9972.8819999999996</c:v>
                </c:pt>
                <c:pt idx="8">
                  <c:v>11390.087</c:v>
                </c:pt>
                <c:pt idx="9">
                  <c:v>13328.273999999999</c:v>
                </c:pt>
                <c:pt idx="10">
                  <c:v>13162.245999999999</c:v>
                </c:pt>
                <c:pt idx="11">
                  <c:v>10592.62</c:v>
                </c:pt>
                <c:pt idx="12">
                  <c:v>10181.671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D51-495E-BCCA-CE641391F11C}"/>
            </c:ext>
          </c:extLst>
        </c:ser>
        <c:ser>
          <c:idx val="4"/>
          <c:order val="3"/>
          <c:tx>
            <c:strRef>
              <c:f>'1-5 판매전력량 추이(계약종별)'!$A$29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3524885476271764E-2"/>
                  <c:y val="3.975740896465614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D51-495E-BCCA-CE641391F11C}"/>
                </c:ext>
              </c:extLst>
            </c:dLbl>
            <c:dLbl>
              <c:idx val="2"/>
              <c:layout>
                <c:manualLayout>
                  <c:x val="0.2431054162717157"/>
                  <c:y val="4.5211578294429372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D51-495E-BCCA-CE641391F11C}"/>
                </c:ext>
              </c:extLst>
            </c:dLbl>
            <c:dLbl>
              <c:idx val="12"/>
              <c:layout>
                <c:manualLayout>
                  <c:x val="-2.9247974437978013E-3"/>
                  <c:y val="3.65211630099636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추이(계약종별)'!$B$29:$N$29</c:f>
              <c:numCache>
                <c:formatCode>#,##0_ </c:formatCode>
                <c:ptCount val="13"/>
                <c:pt idx="0">
                  <c:v>3438.66</c:v>
                </c:pt>
                <c:pt idx="1">
                  <c:v>2743.5360000000001</c:v>
                </c:pt>
                <c:pt idx="2">
                  <c:v>2812.2249999999999</c:v>
                </c:pt>
                <c:pt idx="3">
                  <c:v>3123.9720000000002</c:v>
                </c:pt>
                <c:pt idx="4">
                  <c:v>3396.2260000000001</c:v>
                </c:pt>
                <c:pt idx="5">
                  <c:v>3457.6210000000001</c:v>
                </c:pt>
                <c:pt idx="6">
                  <c:v>2705.6680000000001</c:v>
                </c:pt>
                <c:pt idx="7">
                  <c:v>3397.7170000000001</c:v>
                </c:pt>
                <c:pt idx="8">
                  <c:v>3905.9549999999999</c:v>
                </c:pt>
                <c:pt idx="9">
                  <c:v>4604.6949999999997</c:v>
                </c:pt>
                <c:pt idx="10">
                  <c:v>4618.6580000000004</c:v>
                </c:pt>
                <c:pt idx="11">
                  <c:v>3715.4090000000001</c:v>
                </c:pt>
                <c:pt idx="12">
                  <c:v>3264.7489999999998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08000"/>
        <c:axId val="171009536"/>
      </c:lineChart>
      <c:catAx>
        <c:axId val="171008000"/>
        <c:scaling>
          <c:orientation val="minMax"/>
        </c:scaling>
        <c:delete val="1"/>
        <c:axPos val="b"/>
        <c:majorTickMark val="out"/>
        <c:minorTickMark val="none"/>
        <c:tickLblPos val="none"/>
        <c:crossAx val="171009536"/>
        <c:crosses val="autoZero"/>
        <c:auto val="1"/>
        <c:lblAlgn val="ctr"/>
        <c:lblOffset val="100"/>
        <c:noMultiLvlLbl val="0"/>
      </c:catAx>
      <c:valAx>
        <c:axId val="171009536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1008000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579784061083279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'1-6 판매전력량 추이(용도별)'!$A$27</c:f>
              <c:strCache>
                <c:ptCount val="1"/>
                <c:pt idx="0">
                  <c:v>가정용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9.2491846880111625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25-465F-944F-0D9F4093946F}"/>
                </c:ext>
              </c:extLst>
            </c:dLbl>
            <c:dLbl>
              <c:idx val="8"/>
              <c:layout>
                <c:manualLayout>
                  <c:x val="-0.13611041517537581"/>
                  <c:y val="-1.3291595038152255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가정용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612950369840146E-2"/>
                      <c:h val="4.841337150896337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25-465F-944F-0D9F4093946F}"/>
                </c:ext>
              </c:extLst>
            </c:dLbl>
            <c:dLbl>
              <c:idx val="12"/>
              <c:layout>
                <c:manualLayout>
                  <c:x val="-1.3783920411525501E-16"/>
                  <c:y val="3.5791596083288948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25-465F-944F-0D9F4093946F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추이(용도별)'!$B$27:$N$27</c:f>
              <c:numCache>
                <c:formatCode>#,##0_ </c:formatCode>
                <c:ptCount val="13"/>
                <c:pt idx="0">
                  <c:v>6247.0640000000003</c:v>
                </c:pt>
                <c:pt idx="1">
                  <c:v>5869.5990000000002</c:v>
                </c:pt>
                <c:pt idx="2">
                  <c:v>6260.4660000000003</c:v>
                </c:pt>
                <c:pt idx="3">
                  <c:v>8074.509</c:v>
                </c:pt>
                <c:pt idx="4">
                  <c:v>10165.017</c:v>
                </c:pt>
                <c:pt idx="5">
                  <c:v>9348.3289999999997</c:v>
                </c:pt>
                <c:pt idx="6">
                  <c:v>6601.83</c:v>
                </c:pt>
                <c:pt idx="7">
                  <c:v>6284.34</c:v>
                </c:pt>
                <c:pt idx="8">
                  <c:v>6535.5680000000002</c:v>
                </c:pt>
                <c:pt idx="9">
                  <c:v>7261.3109999999997</c:v>
                </c:pt>
                <c:pt idx="10">
                  <c:v>7249.1940000000004</c:v>
                </c:pt>
                <c:pt idx="11">
                  <c:v>6198.5339999999997</c:v>
                </c:pt>
                <c:pt idx="12">
                  <c:v>6277.107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169216"/>
        <c:axId val="162170752"/>
      </c:barChart>
      <c:lineChart>
        <c:grouping val="standard"/>
        <c:varyColors val="0"/>
        <c:ser>
          <c:idx val="1"/>
          <c:order val="0"/>
          <c:tx>
            <c:strRef>
              <c:f>'1-6 판매전력량 추이(용도별)'!$A$23</c:f>
              <c:strCache>
                <c:ptCount val="1"/>
                <c:pt idx="0">
                  <c:v>제조업</c:v>
                </c:pt>
              </c:strCache>
            </c:strRef>
          </c:tx>
          <c:dLbls>
            <c:dLbl>
              <c:idx val="0"/>
              <c:layout>
                <c:manualLayout>
                  <c:x val="-4.0995105961042166E-2"/>
                  <c:y val="-4.5367129514318302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525-465F-944F-0D9F4093946F}"/>
                </c:ext>
              </c:extLst>
            </c:dLbl>
            <c:dLbl>
              <c:idx val="10"/>
              <c:layout>
                <c:manualLayout>
                  <c:x val="-0.32298370019088524"/>
                  <c:y val="-8.0040143953323178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제조업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852272727272718E-2"/>
                      <c:h val="6.790001803476206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F-0525-465F-944F-0D9F4093946F}"/>
                </c:ext>
              </c:extLst>
            </c:dLbl>
            <c:dLbl>
              <c:idx val="12"/>
              <c:layout>
                <c:manualLayout>
                  <c:x val="-1.7666129801956573E-2"/>
                  <c:y val="-5.739310835890311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525-465F-944F-0D9F409394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추이(용도별)'!$B$23:$N$23</c:f>
              <c:numCache>
                <c:formatCode>#,##0_ </c:formatCode>
                <c:ptCount val="13"/>
                <c:pt idx="0">
                  <c:v>20793.252</c:v>
                </c:pt>
                <c:pt idx="1">
                  <c:v>20575.39</c:v>
                </c:pt>
                <c:pt idx="2">
                  <c:v>20700.013999999999</c:v>
                </c:pt>
                <c:pt idx="3">
                  <c:v>22108.085999999999</c:v>
                </c:pt>
                <c:pt idx="4">
                  <c:v>21689.788</c:v>
                </c:pt>
                <c:pt idx="5">
                  <c:v>21824.276999999998</c:v>
                </c:pt>
                <c:pt idx="6">
                  <c:v>19719.477999999999</c:v>
                </c:pt>
                <c:pt idx="7">
                  <c:v>19787.100999999999</c:v>
                </c:pt>
                <c:pt idx="8">
                  <c:v>20804.475999999999</c:v>
                </c:pt>
                <c:pt idx="9">
                  <c:v>21319.226999999999</c:v>
                </c:pt>
                <c:pt idx="10">
                  <c:v>19460.95</c:v>
                </c:pt>
                <c:pt idx="11">
                  <c:v>20093.618999999999</c:v>
                </c:pt>
                <c:pt idx="12">
                  <c:v>20375.214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525-465F-944F-0D9F4093946F}"/>
            </c:ext>
          </c:extLst>
        </c:ser>
        <c:ser>
          <c:idx val="2"/>
          <c:order val="1"/>
          <c:tx>
            <c:strRef>
              <c:f>'1-6 판매전력량 추이(용도별)'!$A$25</c:f>
              <c:strCache>
                <c:ptCount val="1"/>
                <c:pt idx="0">
                  <c:v>서비스업</c:v>
                </c:pt>
              </c:strCache>
            </c:strRef>
          </c:tx>
          <c:dLbls>
            <c:dLbl>
              <c:idx val="0"/>
              <c:layout>
                <c:manualLayout>
                  <c:x val="-4.2874761393462184E-2"/>
                  <c:y val="-6.6544335374730618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525-465F-944F-0D9F4093946F}"/>
                </c:ext>
              </c:extLst>
            </c:dLbl>
            <c:dLbl>
              <c:idx val="6"/>
              <c:layout>
                <c:manualLayout>
                  <c:x val="-4.2856716774039606E-2"/>
                  <c:y val="-4.831274098120429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서비스업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525-465F-944F-0D9F4093946F}"/>
                </c:ext>
              </c:extLst>
            </c:dLbl>
            <c:dLbl>
              <c:idx val="12"/>
              <c:layout>
                <c:manualLayout>
                  <c:x val="-1.3818599379623002E-2"/>
                  <c:y val="-2.871365398795834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추이(용도별)'!$B$25:$N$25</c:f>
              <c:numCache>
                <c:formatCode>#,##0_ </c:formatCode>
                <c:ptCount val="13"/>
                <c:pt idx="0">
                  <c:v>12335.924000000001</c:v>
                </c:pt>
                <c:pt idx="1">
                  <c:v>11487.525</c:v>
                </c:pt>
                <c:pt idx="2">
                  <c:v>12473.561</c:v>
                </c:pt>
                <c:pt idx="3">
                  <c:v>14550.656999999999</c:v>
                </c:pt>
                <c:pt idx="4">
                  <c:v>15810.181</c:v>
                </c:pt>
                <c:pt idx="5">
                  <c:v>14963.097</c:v>
                </c:pt>
                <c:pt idx="6">
                  <c:v>12294.355</c:v>
                </c:pt>
                <c:pt idx="7">
                  <c:v>12099.573</c:v>
                </c:pt>
                <c:pt idx="8">
                  <c:v>13746.953</c:v>
                </c:pt>
                <c:pt idx="9">
                  <c:v>15952.724</c:v>
                </c:pt>
                <c:pt idx="10">
                  <c:v>15718.496999999999</c:v>
                </c:pt>
                <c:pt idx="11">
                  <c:v>12982.259</c:v>
                </c:pt>
                <c:pt idx="12">
                  <c:v>12438.87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525-465F-944F-0D9F4093946F}"/>
            </c:ext>
          </c:extLst>
        </c:ser>
        <c:ser>
          <c:idx val="4"/>
          <c:order val="3"/>
          <c:tx>
            <c:strRef>
              <c:f>'1-6 판매전력량 추이(용도별)'!$A$29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0005299022164806E-2"/>
                  <c:y val="3.59110242484605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525-465F-944F-0D9F4093946F}"/>
                </c:ext>
              </c:extLst>
            </c:dLbl>
            <c:dLbl>
              <c:idx val="2"/>
              <c:layout>
                <c:manualLayout>
                  <c:x val="0.23827711166785964"/>
                  <c:y val="2.1316941137046231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525-465F-944F-0D9F4093946F}"/>
                </c:ext>
              </c:extLst>
            </c:dLbl>
            <c:dLbl>
              <c:idx val="12"/>
              <c:layout>
                <c:manualLayout>
                  <c:x val="-8.6943706169220966E-3"/>
                  <c:y val="3.27288444553022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추이(용도별)'!$B$29:$N$29</c:f>
              <c:numCache>
                <c:formatCode>#,##0_ </c:formatCode>
                <c:ptCount val="13"/>
                <c:pt idx="0">
                  <c:v>3740.6509999999998</c:v>
                </c:pt>
                <c:pt idx="1">
                  <c:v>3286.0839999999998</c:v>
                </c:pt>
                <c:pt idx="2">
                  <c:v>3571.848</c:v>
                </c:pt>
                <c:pt idx="3">
                  <c:v>4091.1550000000002</c:v>
                </c:pt>
                <c:pt idx="4">
                  <c:v>4453.5590000000002</c:v>
                </c:pt>
                <c:pt idx="5">
                  <c:v>4427.777</c:v>
                </c:pt>
                <c:pt idx="6">
                  <c:v>3509.364</c:v>
                </c:pt>
                <c:pt idx="7">
                  <c:v>3904.5050000000001</c:v>
                </c:pt>
                <c:pt idx="8">
                  <c:v>4263.6570000000002</c:v>
                </c:pt>
                <c:pt idx="9">
                  <c:v>4819.4489999999996</c:v>
                </c:pt>
                <c:pt idx="10">
                  <c:v>4707.1229999999996</c:v>
                </c:pt>
                <c:pt idx="11">
                  <c:v>3979.1480000000001</c:v>
                </c:pt>
                <c:pt idx="12">
                  <c:v>3637.1909999999998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69216"/>
        <c:axId val="162170752"/>
      </c:lineChart>
      <c:catAx>
        <c:axId val="162169216"/>
        <c:scaling>
          <c:orientation val="minMax"/>
        </c:scaling>
        <c:delete val="1"/>
        <c:axPos val="b"/>
        <c:majorTickMark val="out"/>
        <c:minorTickMark val="none"/>
        <c:tickLblPos val="none"/>
        <c:crossAx val="162170752"/>
        <c:crosses val="autoZero"/>
        <c:auto val="1"/>
        <c:lblAlgn val="ctr"/>
        <c:lblOffset val="100"/>
        <c:noMultiLvlLbl val="0"/>
      </c:catAx>
      <c:valAx>
        <c:axId val="16217075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16921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395108380404242"/>
          <c:h val="0.8958333333333337"/>
        </c:manualLayout>
      </c:layout>
      <c:areaChart>
        <c:grouping val="standard"/>
        <c:varyColors val="0"/>
        <c:ser>
          <c:idx val="1"/>
          <c:order val="0"/>
          <c:tx>
            <c:strRef>
              <c:f>'1-7 전력수급추이'!$A$21</c:f>
              <c:strCache>
                <c:ptCount val="1"/>
                <c:pt idx="0">
                  <c:v>총설비용량</c:v>
                </c:pt>
              </c:strCache>
            </c:strRef>
          </c:tx>
          <c:dLbls>
            <c:dLbl>
              <c:idx val="0"/>
              <c:layout>
                <c:manualLayout>
                  <c:x val="4.0517071721266923E-2"/>
                  <c:y val="-0.4386162851500429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CA-4073-861E-928353B66F87}"/>
                </c:ext>
              </c:extLst>
            </c:dLbl>
            <c:dLbl>
              <c:idx val="8"/>
              <c:layout>
                <c:manualLayout>
                  <c:x val="-0.14333594447585563"/>
                  <c:y val="-0.2587873711143940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공급예비력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0CA-4073-861E-928353B66F87}"/>
                </c:ext>
              </c:extLst>
            </c:dLbl>
            <c:dLbl>
              <c:idx val="10"/>
              <c:layout>
                <c:manualLayout>
                  <c:x val="-0.29483907829348593"/>
                  <c:y val="-0.4406792671225574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총설비용량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0CA-4073-861E-928353B66F87}"/>
                </c:ext>
              </c:extLst>
            </c:dLbl>
            <c:dLbl>
              <c:idx val="12"/>
              <c:layout>
                <c:manualLayout>
                  <c:x val="-1.5260296967591166E-2"/>
                  <c:y val="-0.44498068302390636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CA-4073-861E-928353B66F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전력수급추이'!$B$21:$N$21</c:f>
              <c:numCache>
                <c:formatCode>#,##0_ </c:formatCode>
                <c:ptCount val="13"/>
                <c:pt idx="0">
                  <c:v>153931</c:v>
                </c:pt>
                <c:pt idx="1">
                  <c:v>154557</c:v>
                </c:pt>
                <c:pt idx="2">
                  <c:v>154917</c:v>
                </c:pt>
                <c:pt idx="3">
                  <c:v>154955</c:v>
                </c:pt>
                <c:pt idx="4">
                  <c:v>155385</c:v>
                </c:pt>
                <c:pt idx="5">
                  <c:v>155655</c:v>
                </c:pt>
                <c:pt idx="6">
                  <c:v>155960</c:v>
                </c:pt>
                <c:pt idx="7">
                  <c:v>156253</c:v>
                </c:pt>
                <c:pt idx="8">
                  <c:v>156637</c:v>
                </c:pt>
                <c:pt idx="9">
                  <c:v>157113</c:v>
                </c:pt>
                <c:pt idx="10">
                  <c:v>157285</c:v>
                </c:pt>
                <c:pt idx="11">
                  <c:v>158244</c:v>
                </c:pt>
                <c:pt idx="12">
                  <c:v>158337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A-4073-861E-928353B66F87}"/>
            </c:ext>
          </c:extLst>
        </c:ser>
        <c:ser>
          <c:idx val="2"/>
          <c:order val="1"/>
          <c:tx>
            <c:strRef>
              <c:f>'1-7 전력수급추이'!$A$22</c:f>
              <c:strCache>
                <c:ptCount val="1"/>
                <c:pt idx="0">
                  <c:v>공급능력</c:v>
                </c:pt>
              </c:strCache>
            </c:strRef>
          </c:tx>
          <c:dLbls>
            <c:dLbl>
              <c:idx val="0"/>
              <c:layout>
                <c:manualLayout>
                  <c:x val="3.6890054822083539E-2"/>
                  <c:y val="-0.2987018788995670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CA-4073-861E-928353B66F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CA-4073-861E-928353B66F87}"/>
                </c:ext>
              </c:extLst>
            </c:dLbl>
            <c:dLbl>
              <c:idx val="6"/>
              <c:layout>
                <c:manualLayout>
                  <c:x val="8.08769389668503E-3"/>
                  <c:y val="-0.1498741477431375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공급능력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CA-4073-861E-928353B66F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CA-4073-861E-928353B66F87}"/>
                </c:ext>
              </c:extLst>
            </c:dLbl>
            <c:dLbl>
              <c:idx val="12"/>
              <c:layout>
                <c:manualLayout>
                  <c:x val="-9.6055507471232027E-3"/>
                  <c:y val="-0.30015869873132395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전력수급추이'!$B$22:$N$22</c:f>
              <c:numCache>
                <c:formatCode>#,##0_ </c:formatCode>
                <c:ptCount val="13"/>
                <c:pt idx="0">
                  <c:v>86002</c:v>
                </c:pt>
                <c:pt idx="1">
                  <c:v>82818</c:v>
                </c:pt>
                <c:pt idx="2">
                  <c:v>99615</c:v>
                </c:pt>
                <c:pt idx="3">
                  <c:v>105151</c:v>
                </c:pt>
                <c:pt idx="4">
                  <c:v>105011</c:v>
                </c:pt>
                <c:pt idx="5">
                  <c:v>100937</c:v>
                </c:pt>
                <c:pt idx="6">
                  <c:v>86525</c:v>
                </c:pt>
                <c:pt idx="7">
                  <c:v>95666</c:v>
                </c:pt>
                <c:pt idx="8">
                  <c:v>102715</c:v>
                </c:pt>
                <c:pt idx="9">
                  <c:v>104185</c:v>
                </c:pt>
                <c:pt idx="10">
                  <c:v>100026</c:v>
                </c:pt>
                <c:pt idx="11">
                  <c:v>88072</c:v>
                </c:pt>
                <c:pt idx="12">
                  <c:v>80768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0CA-4073-861E-928353B66F87}"/>
            </c:ext>
          </c:extLst>
        </c:ser>
        <c:ser>
          <c:idx val="3"/>
          <c:order val="2"/>
          <c:tx>
            <c:strRef>
              <c:f>'1-7 전력수급추이'!$A$23</c:f>
              <c:strCache>
                <c:ptCount val="1"/>
                <c:pt idx="0">
                  <c:v>최대전력</c:v>
                </c:pt>
              </c:strCache>
            </c:strRef>
          </c:tx>
          <c:dLbls>
            <c:dLbl>
              <c:idx val="0"/>
              <c:layout>
                <c:manualLayout>
                  <c:x val="3.4732214978311436E-2"/>
                  <c:y val="-0.2373284190540012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CA-4073-861E-928353B66F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CA-4073-861E-928353B66F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CA-4073-861E-928353B66F87}"/>
                </c:ext>
              </c:extLst>
            </c:dLbl>
            <c:dLbl>
              <c:idx val="8"/>
              <c:layout>
                <c:manualLayout>
                  <c:x val="-0.14434839489168827"/>
                  <c:y val="-0.3158691623895176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최대전력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CA-4073-861E-928353B66F87}"/>
                </c:ext>
              </c:extLst>
            </c:dLbl>
            <c:dLbl>
              <c:idx val="12"/>
              <c:layout>
                <c:manualLayout>
                  <c:x val="-1.1365169026073613E-2"/>
                  <c:y val="-0.24178112165379714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전력수급추이'!$B$23:$N$23</c:f>
              <c:numCache>
                <c:formatCode>#,##0_ </c:formatCode>
                <c:ptCount val="13"/>
                <c:pt idx="0">
                  <c:v>71667</c:v>
                </c:pt>
                <c:pt idx="1">
                  <c:v>74239</c:v>
                </c:pt>
                <c:pt idx="2">
                  <c:v>85599</c:v>
                </c:pt>
                <c:pt idx="3">
                  <c:v>95675</c:v>
                </c:pt>
                <c:pt idx="4">
                  <c:v>95951</c:v>
                </c:pt>
                <c:pt idx="5">
                  <c:v>89532</c:v>
                </c:pt>
                <c:pt idx="6">
                  <c:v>73212</c:v>
                </c:pt>
                <c:pt idx="7">
                  <c:v>76163</c:v>
                </c:pt>
                <c:pt idx="8">
                  <c:v>82812</c:v>
                </c:pt>
                <c:pt idx="9">
                  <c:v>88548</c:v>
                </c:pt>
                <c:pt idx="10">
                  <c:v>88950</c:v>
                </c:pt>
                <c:pt idx="11">
                  <c:v>78424</c:v>
                </c:pt>
                <c:pt idx="12">
                  <c:v>73633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0CA-4073-861E-928353B66F87}"/>
            </c:ext>
          </c:extLst>
        </c:ser>
        <c:ser>
          <c:idx val="4"/>
          <c:order val="3"/>
          <c:tx>
            <c:strRef>
              <c:f>'1-7 전력수급추이'!$A$24</c:f>
              <c:strCache>
                <c:ptCount val="1"/>
                <c:pt idx="0">
                  <c:v>평균전력</c:v>
                </c:pt>
              </c:strCache>
            </c:strRef>
          </c:tx>
          <c:dLbls>
            <c:dLbl>
              <c:idx val="0"/>
              <c:layout>
                <c:manualLayout>
                  <c:x val="3.2947140292787384E-2"/>
                  <c:y val="-0.1971698218573743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CA-4073-861E-928353B66F87}"/>
                </c:ext>
              </c:extLst>
            </c:dLbl>
            <c:dLbl>
              <c:idx val="2"/>
              <c:layout>
                <c:manualLayout>
                  <c:x val="0.30262084870766309"/>
                  <c:y val="-6.0091685831340717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평균전력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CA-4073-861E-928353B66F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CA-4073-861E-928353B66F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CA-4073-861E-928353B66F87}"/>
                </c:ext>
              </c:extLst>
            </c:dLbl>
            <c:dLbl>
              <c:idx val="12"/>
              <c:layout>
                <c:manualLayout>
                  <c:x val="-1.3412697774693375E-2"/>
                  <c:y val="-0.2030563974474177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전력수급추이'!$B$24:$N$24</c:f>
              <c:numCache>
                <c:formatCode>#,##0_ </c:formatCode>
                <c:ptCount val="13"/>
                <c:pt idx="0">
                  <c:v>61863.04209835278</c:v>
                </c:pt>
                <c:pt idx="1">
                  <c:v>61031.769324697583</c:v>
                </c:pt>
                <c:pt idx="2">
                  <c:v>65986.921445144442</c:v>
                </c:pt>
                <c:pt idx="3">
                  <c:v>76805.329760712368</c:v>
                </c:pt>
                <c:pt idx="4">
                  <c:v>76831.020389818543</c:v>
                </c:pt>
                <c:pt idx="5">
                  <c:v>70457.425086701391</c:v>
                </c:pt>
                <c:pt idx="6">
                  <c:v>60836.255979838708</c:v>
                </c:pt>
                <c:pt idx="7">
                  <c:v>63448.074847222226</c:v>
                </c:pt>
                <c:pt idx="8">
                  <c:v>70073.889716397854</c:v>
                </c:pt>
                <c:pt idx="9">
                  <c:v>74125.561267204306</c:v>
                </c:pt>
                <c:pt idx="10">
                  <c:v>68365.487112053568</c:v>
                </c:pt>
                <c:pt idx="11">
                  <c:v>64481.383346370974</c:v>
                </c:pt>
                <c:pt idx="12">
                  <c:v>61636.315204861108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0CA-4073-861E-928353B66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90080"/>
        <c:axId val="171391616"/>
      </c:areaChart>
      <c:catAx>
        <c:axId val="171390080"/>
        <c:scaling>
          <c:orientation val="minMax"/>
        </c:scaling>
        <c:delete val="1"/>
        <c:axPos val="b"/>
        <c:majorTickMark val="out"/>
        <c:minorTickMark val="none"/>
        <c:tickLblPos val="none"/>
        <c:crossAx val="171391616"/>
        <c:crosses val="autoZero"/>
        <c:auto val="1"/>
        <c:lblAlgn val="ctr"/>
        <c:lblOffset val="100"/>
        <c:noMultiLvlLbl val="0"/>
      </c:catAx>
      <c:valAx>
        <c:axId val="171391616"/>
        <c:scaling>
          <c:orientation val="minMax"/>
          <c:max val="160000"/>
        </c:scaling>
        <c:delete val="0"/>
        <c:axPos val="l"/>
        <c:numFmt formatCode="#,##0_ " sourceLinked="1"/>
        <c:majorTickMark val="out"/>
        <c:minorTickMark val="none"/>
        <c:tickLblPos val="nextTo"/>
        <c:crossAx val="171390080"/>
        <c:crosses val="autoZero"/>
        <c:crossBetween val="midCat"/>
      </c:valAx>
      <c:spPr>
        <a:ln w="5080">
          <a:solidFill>
            <a:schemeClr val="tx1"/>
          </a:solidFill>
        </a:ln>
      </c:spPr>
    </c:plotArea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6</xdr:row>
      <xdr:rowOff>11207</xdr:rowOff>
    </xdr:from>
    <xdr:to>
      <xdr:col>13</xdr:col>
      <xdr:colOff>438151</xdr:colOff>
      <xdr:row>20</xdr:row>
      <xdr:rowOff>228601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15688</xdr:rowOff>
    </xdr:from>
    <xdr:to>
      <xdr:col>13</xdr:col>
      <xdr:colOff>438150</xdr:colOff>
      <xdr:row>18</xdr:row>
      <xdr:rowOff>228600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4</xdr:row>
      <xdr:rowOff>38100</xdr:rowOff>
    </xdr:from>
    <xdr:to>
      <xdr:col>13</xdr:col>
      <xdr:colOff>447675</xdr:colOff>
      <xdr:row>18</xdr:row>
      <xdr:rowOff>228600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38100</xdr:rowOff>
    </xdr:from>
    <xdr:to>
      <xdr:col>13</xdr:col>
      <xdr:colOff>428624</xdr:colOff>
      <xdr:row>18</xdr:row>
      <xdr:rowOff>179294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437029</xdr:colOff>
      <xdr:row>18</xdr:row>
      <xdr:rowOff>257735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457200</xdr:colOff>
      <xdr:row>18</xdr:row>
      <xdr:rowOff>235323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459441</xdr:colOff>
      <xdr:row>18</xdr:row>
      <xdr:rowOff>295275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34990</xdr:colOff>
      <xdr:row>3</xdr:row>
      <xdr:rowOff>123825</xdr:rowOff>
    </xdr:from>
    <xdr:ext cx="295850" cy="195823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87DDC14-7F98-433F-B59F-3DF59F340FFB}"/>
            </a:ext>
          </a:extLst>
        </xdr:cNvPr>
        <xdr:cNvSpPr txBox="1">
          <a:spLocks noChangeArrowheads="1"/>
        </xdr:cNvSpPr>
      </xdr:nvSpPr>
      <xdr:spPr bwMode="auto">
        <a:xfrm>
          <a:off x="730315" y="790575"/>
          <a:ext cx="295850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월  별</a:t>
          </a:r>
        </a:p>
      </xdr:txBody>
    </xdr:sp>
    <xdr:clientData/>
  </xdr:oneCellAnchor>
  <xdr:oneCellAnchor>
    <xdr:from>
      <xdr:col>0</xdr:col>
      <xdr:colOff>257175</xdr:colOff>
      <xdr:row>4</xdr:row>
      <xdr:rowOff>66675</xdr:rowOff>
    </xdr:from>
    <xdr:ext cx="368049" cy="195823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CB24C96-1B8A-4458-98EB-02061B4CF8CC}"/>
            </a:ext>
          </a:extLst>
        </xdr:cNvPr>
        <xdr:cNvSpPr txBox="1">
          <a:spLocks noChangeArrowheads="1"/>
        </xdr:cNvSpPr>
      </xdr:nvSpPr>
      <xdr:spPr bwMode="auto">
        <a:xfrm>
          <a:off x="257175" y="1057275"/>
          <a:ext cx="368049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구    분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31</xdr:row>
      <xdr:rowOff>0</xdr:rowOff>
    </xdr:from>
    <xdr:ext cx="333375" cy="0"/>
    <xdr:pic>
      <xdr:nvPicPr>
        <xdr:cNvPr id="2" name="Picture 13">
          <a:extLst>
            <a:ext uri="{FF2B5EF4-FFF2-40B4-BE49-F238E27FC236}">
              <a16:creationId xmlns:a16="http://schemas.microsoft.com/office/drawing/2014/main" id="{D40B7799-263D-4A48-B6C1-D7D48D7C1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34225" y="962025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K30"/>
  <sheetViews>
    <sheetView tabSelected="1" view="pageBreakPreview" zoomScale="60" zoomScaleNormal="100" workbookViewId="0"/>
  </sheetViews>
  <sheetFormatPr defaultRowHeight="16.5"/>
  <cols>
    <col min="1" max="2" width="9" style="1"/>
    <col min="3" max="3" width="6" style="1" customWidth="1"/>
    <col min="4" max="4" width="7.125" style="1" customWidth="1"/>
    <col min="5" max="5" width="19" style="1" customWidth="1"/>
    <col min="6" max="6" width="29.625" style="1" customWidth="1"/>
    <col min="7" max="16384" width="9" style="1"/>
  </cols>
  <sheetData>
    <row r="1" spans="1:6" ht="206.25" customHeight="1"/>
    <row r="2" spans="1:6" ht="7.5" customHeight="1">
      <c r="C2" s="2" t="s">
        <v>0</v>
      </c>
      <c r="D2" s="2" t="s">
        <v>0</v>
      </c>
      <c r="E2" s="3" t="s">
        <v>0</v>
      </c>
      <c r="F2" s="4" t="s">
        <v>0</v>
      </c>
    </row>
    <row r="3" spans="1:6" ht="8.25" customHeight="1"/>
    <row r="4" spans="1:6" ht="39">
      <c r="D4" s="5" t="s">
        <v>1</v>
      </c>
    </row>
    <row r="6" spans="1:6" ht="30" customHeight="1">
      <c r="E6" s="6" t="s">
        <v>2</v>
      </c>
    </row>
    <row r="7" spans="1:6" ht="9.9499999999999993" customHeight="1">
      <c r="A7" s="7"/>
      <c r="B7" s="7"/>
      <c r="C7" s="8"/>
      <c r="D7" s="8"/>
      <c r="E7" s="8"/>
      <c r="F7" s="8"/>
    </row>
    <row r="8" spans="1:6">
      <c r="A8" s="7"/>
      <c r="B8" s="7"/>
      <c r="C8" s="8"/>
      <c r="D8" s="8"/>
      <c r="E8" s="8"/>
      <c r="F8" s="8"/>
    </row>
    <row r="9" spans="1:6">
      <c r="A9" s="7"/>
      <c r="B9" s="7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7"/>
      <c r="B11" s="7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7"/>
      <c r="B14" s="7"/>
      <c r="C14" s="8"/>
      <c r="D14" s="8"/>
      <c r="E14" s="8"/>
      <c r="F14" s="8"/>
    </row>
    <row r="15" spans="1:6">
      <c r="A15" s="7"/>
      <c r="B15" s="7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11">
      <c r="A17" s="8"/>
      <c r="B17" s="8"/>
      <c r="C17" s="8"/>
      <c r="D17" s="8"/>
      <c r="E17" s="8"/>
      <c r="F17" s="8"/>
    </row>
    <row r="18" spans="1:11">
      <c r="A18" s="8"/>
      <c r="B18" s="8"/>
      <c r="C18" s="8"/>
      <c r="D18" s="8"/>
      <c r="E18" s="8"/>
      <c r="F18" s="8"/>
    </row>
    <row r="19" spans="1:11">
      <c r="A19" s="7"/>
      <c r="B19" s="7"/>
      <c r="C19" s="8"/>
      <c r="D19" s="8"/>
      <c r="E19" s="8"/>
      <c r="F19" s="8"/>
    </row>
    <row r="20" spans="1:11">
      <c r="A20" s="8"/>
      <c r="B20" s="8"/>
      <c r="C20" s="8"/>
      <c r="D20" s="8"/>
      <c r="E20" s="8"/>
      <c r="F20" s="8"/>
    </row>
    <row r="21" spans="1:11">
      <c r="A21" s="8"/>
      <c r="B21" s="8"/>
      <c r="C21" s="8"/>
      <c r="D21" s="8"/>
      <c r="E21" s="8"/>
      <c r="F21" s="8"/>
    </row>
    <row r="22" spans="1:11">
      <c r="A22" s="8"/>
      <c r="B22" s="8"/>
      <c r="C22" s="8"/>
      <c r="D22" s="8"/>
      <c r="E22" s="8"/>
      <c r="F22" s="8"/>
    </row>
    <row r="23" spans="1:11">
      <c r="A23" s="8"/>
      <c r="B23" s="8"/>
      <c r="C23" s="8"/>
      <c r="D23" s="8"/>
      <c r="E23" s="8"/>
      <c r="F23" s="8"/>
      <c r="G23" s="9"/>
      <c r="H23" s="9"/>
      <c r="I23" s="9"/>
      <c r="J23" s="9"/>
      <c r="K23" s="9"/>
    </row>
    <row r="24" spans="1:11">
      <c r="A24" s="8"/>
      <c r="B24" s="8"/>
      <c r="C24" s="8"/>
      <c r="D24" s="8"/>
      <c r="E24" s="8"/>
      <c r="F24" s="8"/>
    </row>
    <row r="25" spans="1:11">
      <c r="A25" s="8"/>
      <c r="B25" s="8"/>
      <c r="C25" s="8"/>
      <c r="D25" s="8"/>
      <c r="E25" s="8"/>
      <c r="F25" s="8"/>
    </row>
    <row r="26" spans="1:11">
      <c r="A26" s="10"/>
      <c r="B26" s="10"/>
      <c r="C26" s="10"/>
      <c r="D26" s="10"/>
      <c r="E26" s="10"/>
      <c r="F26" s="10"/>
    </row>
    <row r="27" spans="1:11">
      <c r="A27" s="11"/>
      <c r="B27" s="11"/>
      <c r="C27" s="11"/>
      <c r="D27" s="11"/>
      <c r="E27" s="11"/>
      <c r="F27" s="11"/>
    </row>
    <row r="28" spans="1:11">
      <c r="A28" s="11"/>
      <c r="B28" s="11"/>
      <c r="C28" s="11"/>
      <c r="D28" s="11"/>
      <c r="E28" s="11"/>
      <c r="F28" s="11"/>
    </row>
    <row r="29" spans="1:11">
      <c r="A29" s="11"/>
      <c r="B29" s="11"/>
      <c r="C29" s="11"/>
      <c r="D29" s="11"/>
      <c r="E29" s="11"/>
      <c r="F29" s="11"/>
    </row>
    <row r="30" spans="1:11">
      <c r="A30" s="11"/>
      <c r="B30" s="11"/>
      <c r="C30" s="11"/>
      <c r="D30" s="11"/>
      <c r="E30" s="11"/>
      <c r="F30" s="11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orientation="portrait" r:id="rId1"/>
  <headerFooter differentOddEven="1"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/>
  </sheetPr>
  <dimension ref="A1:K30"/>
  <sheetViews>
    <sheetView view="pageBreakPreview" zoomScale="60" zoomScaleNormal="100" workbookViewId="0"/>
  </sheetViews>
  <sheetFormatPr defaultColWidth="9" defaultRowHeight="13.5"/>
  <cols>
    <col min="1" max="16384" width="9" style="13"/>
  </cols>
  <sheetData>
    <row r="1" spans="1:11" ht="16.5">
      <c r="A1" s="12"/>
      <c r="B1" s="12"/>
      <c r="C1" s="12"/>
      <c r="D1" s="12"/>
      <c r="E1" s="12"/>
      <c r="F1" s="12"/>
    </row>
    <row r="2" spans="1:11" ht="16.5">
      <c r="A2" s="12"/>
      <c r="B2" s="12"/>
      <c r="C2" s="12"/>
      <c r="D2" s="12"/>
      <c r="E2" s="12"/>
      <c r="F2" s="12"/>
    </row>
    <row r="3" spans="1:11" ht="16.5">
      <c r="A3" s="14"/>
      <c r="B3" s="14"/>
      <c r="C3" s="14"/>
      <c r="D3" s="14"/>
      <c r="E3" s="14"/>
      <c r="F3" s="14"/>
      <c r="G3" s="15"/>
      <c r="H3" s="15"/>
      <c r="I3" s="15"/>
      <c r="J3" s="15"/>
      <c r="K3" s="15"/>
    </row>
    <row r="4" spans="1:11" ht="33.75">
      <c r="A4" s="14"/>
      <c r="B4" s="16" t="s">
        <v>3</v>
      </c>
      <c r="C4" s="14"/>
      <c r="D4" s="14"/>
      <c r="E4" s="14"/>
      <c r="F4" s="14"/>
      <c r="G4" s="15"/>
      <c r="H4" s="15"/>
      <c r="I4" s="15"/>
      <c r="J4" s="15"/>
      <c r="K4" s="15"/>
    </row>
    <row r="5" spans="1:11" ht="16.5">
      <c r="A5" s="14"/>
      <c r="B5" s="14"/>
      <c r="C5" s="14"/>
      <c r="D5" s="14"/>
      <c r="E5" s="14"/>
      <c r="F5" s="14"/>
      <c r="G5" s="15"/>
      <c r="H5" s="15"/>
      <c r="I5" s="15"/>
      <c r="J5" s="15"/>
      <c r="K5" s="15"/>
    </row>
    <row r="6" spans="1:11" ht="16.5">
      <c r="A6" s="14"/>
      <c r="B6" s="14"/>
      <c r="C6" s="14"/>
      <c r="D6" s="14"/>
      <c r="E6" s="14"/>
      <c r="F6" s="14"/>
      <c r="G6" s="15"/>
      <c r="H6" s="15"/>
      <c r="I6" s="15"/>
      <c r="J6" s="15"/>
      <c r="K6" s="15"/>
    </row>
    <row r="7" spans="1:11" ht="16.5">
      <c r="A7" s="17"/>
      <c r="B7" s="17"/>
      <c r="C7" s="14"/>
      <c r="D7" s="14"/>
      <c r="E7" s="14"/>
      <c r="F7" s="14"/>
      <c r="G7" s="15"/>
      <c r="H7" s="15"/>
      <c r="I7" s="15"/>
      <c r="J7" s="15"/>
      <c r="K7" s="15"/>
    </row>
    <row r="8" spans="1:11" ht="16.5">
      <c r="A8" s="17"/>
      <c r="B8" s="17"/>
      <c r="C8" s="14"/>
      <c r="D8" s="14"/>
      <c r="E8" s="14"/>
      <c r="F8" s="14"/>
      <c r="G8" s="15"/>
      <c r="H8" s="15"/>
      <c r="I8" s="15"/>
      <c r="J8" s="15"/>
      <c r="K8" s="15"/>
    </row>
    <row r="9" spans="1:11" ht="16.5">
      <c r="A9" s="17"/>
      <c r="B9" s="17"/>
      <c r="C9" s="14"/>
      <c r="D9" s="14"/>
      <c r="E9" s="14"/>
      <c r="F9" s="14"/>
      <c r="G9" s="15"/>
      <c r="H9" s="15"/>
      <c r="I9" s="15"/>
      <c r="J9" s="15"/>
      <c r="K9" s="15"/>
    </row>
    <row r="10" spans="1:11" ht="16.5">
      <c r="A10" s="14"/>
      <c r="B10" s="14"/>
      <c r="C10" s="14"/>
      <c r="D10" s="14"/>
      <c r="E10" s="14"/>
      <c r="F10" s="14"/>
      <c r="G10" s="15"/>
      <c r="H10" s="15"/>
      <c r="I10" s="15"/>
      <c r="J10" s="15"/>
      <c r="K10" s="15"/>
    </row>
    <row r="11" spans="1:11" ht="16.5">
      <c r="A11" s="17"/>
      <c r="B11" s="17"/>
      <c r="C11" s="14"/>
      <c r="D11" s="14"/>
      <c r="E11" s="14"/>
      <c r="F11" s="14"/>
      <c r="G11" s="15"/>
      <c r="H11" s="15"/>
      <c r="I11" s="15"/>
      <c r="J11" s="15"/>
      <c r="K11" s="15"/>
    </row>
    <row r="12" spans="1:11" ht="16.5">
      <c r="A12" s="14"/>
      <c r="B12" s="14"/>
      <c r="C12" s="14"/>
      <c r="D12" s="14"/>
      <c r="E12" s="14"/>
      <c r="F12" s="14"/>
      <c r="G12" s="15"/>
      <c r="H12" s="15"/>
      <c r="I12" s="15"/>
      <c r="J12" s="15"/>
      <c r="K12" s="15"/>
    </row>
    <row r="13" spans="1:11" ht="16.5">
      <c r="A13" s="14"/>
      <c r="B13" s="14"/>
      <c r="C13" s="14"/>
      <c r="D13" s="14"/>
      <c r="E13" s="14"/>
      <c r="F13" s="14"/>
      <c r="G13" s="15"/>
      <c r="H13" s="15"/>
      <c r="I13" s="15"/>
      <c r="J13" s="15"/>
      <c r="K13" s="15"/>
    </row>
    <row r="14" spans="1:11" ht="16.5">
      <c r="A14" s="17"/>
      <c r="B14" s="17"/>
      <c r="C14" s="14"/>
      <c r="D14" s="14"/>
      <c r="E14" s="14"/>
      <c r="F14" s="14"/>
      <c r="G14" s="15"/>
      <c r="H14" s="15"/>
      <c r="I14" s="15"/>
      <c r="J14" s="15"/>
      <c r="K14" s="15"/>
    </row>
    <row r="15" spans="1:11" ht="16.5">
      <c r="A15" s="17"/>
      <c r="B15" s="17"/>
      <c r="C15" s="14"/>
      <c r="D15" s="14"/>
      <c r="E15" s="14"/>
      <c r="F15" s="14"/>
      <c r="G15" s="15"/>
      <c r="H15" s="15"/>
      <c r="I15" s="15"/>
      <c r="J15" s="15"/>
      <c r="K15" s="15"/>
    </row>
    <row r="16" spans="1:11" ht="16.5">
      <c r="A16" s="14"/>
      <c r="B16" s="14"/>
      <c r="C16" s="14"/>
      <c r="D16" s="14"/>
      <c r="E16" s="14"/>
      <c r="F16" s="14"/>
      <c r="G16" s="15"/>
      <c r="H16" s="15"/>
      <c r="I16" s="15"/>
      <c r="J16" s="15"/>
      <c r="K16" s="15"/>
    </row>
    <row r="17" spans="1:11" ht="16.5">
      <c r="A17" s="14"/>
      <c r="B17" s="14"/>
      <c r="C17" s="14"/>
      <c r="D17" s="14"/>
      <c r="E17" s="14"/>
      <c r="F17" s="14"/>
      <c r="G17" s="15"/>
      <c r="H17" s="15"/>
      <c r="I17" s="15"/>
      <c r="J17" s="15"/>
      <c r="K17" s="15"/>
    </row>
    <row r="18" spans="1:11" ht="16.5">
      <c r="A18" s="14"/>
      <c r="B18" s="14"/>
      <c r="C18" s="14"/>
      <c r="D18" s="14"/>
      <c r="E18" s="14"/>
      <c r="F18" s="14"/>
      <c r="G18" s="15"/>
      <c r="H18" s="15"/>
      <c r="I18" s="15"/>
      <c r="J18" s="15"/>
      <c r="K18" s="15"/>
    </row>
    <row r="19" spans="1:11" ht="16.5">
      <c r="A19" s="17"/>
      <c r="B19" s="17"/>
      <c r="C19" s="14"/>
      <c r="D19" s="14"/>
      <c r="E19" s="14"/>
      <c r="F19" s="14"/>
      <c r="G19" s="15"/>
      <c r="H19" s="15"/>
      <c r="I19" s="15"/>
      <c r="J19" s="15"/>
      <c r="K19" s="15"/>
    </row>
    <row r="20" spans="1:11" ht="16.5">
      <c r="A20" s="14"/>
      <c r="B20" s="14"/>
      <c r="C20" s="14"/>
      <c r="D20" s="14"/>
      <c r="E20" s="14"/>
      <c r="F20" s="14"/>
      <c r="G20" s="15"/>
      <c r="H20" s="15"/>
      <c r="I20" s="15"/>
      <c r="J20" s="15"/>
      <c r="K20" s="15"/>
    </row>
    <row r="21" spans="1:11" ht="16.5">
      <c r="A21" s="14"/>
      <c r="B21" s="14"/>
      <c r="C21" s="14"/>
      <c r="D21" s="14"/>
      <c r="E21" s="14"/>
      <c r="F21" s="14"/>
      <c r="G21" s="15"/>
      <c r="H21" s="15"/>
      <c r="I21" s="15"/>
      <c r="J21" s="15"/>
      <c r="K21" s="15"/>
    </row>
    <row r="22" spans="1:11" ht="16.5">
      <c r="A22" s="14"/>
      <c r="B22" s="14"/>
      <c r="C22" s="14"/>
      <c r="D22" s="14"/>
      <c r="E22" s="14"/>
      <c r="F22" s="14"/>
      <c r="G22" s="15"/>
      <c r="H22" s="15"/>
      <c r="I22" s="15"/>
      <c r="J22" s="15"/>
      <c r="K22" s="15"/>
    </row>
    <row r="23" spans="1:11" ht="16.5">
      <c r="A23" s="14"/>
      <c r="B23" s="14"/>
      <c r="C23" s="14"/>
      <c r="D23" s="14"/>
      <c r="E23" s="14"/>
      <c r="F23" s="14"/>
      <c r="G23" s="15"/>
      <c r="H23" s="15"/>
      <c r="I23" s="15"/>
      <c r="J23" s="15"/>
      <c r="K23" s="15"/>
    </row>
    <row r="24" spans="1:11" ht="16.5">
      <c r="A24" s="14"/>
      <c r="B24" s="14"/>
      <c r="C24" s="14"/>
      <c r="D24" s="14"/>
      <c r="E24" s="14"/>
      <c r="F24" s="14"/>
      <c r="G24" s="15"/>
      <c r="H24" s="15"/>
      <c r="I24" s="15"/>
      <c r="J24" s="15"/>
      <c r="K24" s="15"/>
    </row>
    <row r="25" spans="1:11" ht="16.5">
      <c r="A25" s="14"/>
      <c r="B25" s="14"/>
      <c r="C25" s="14"/>
      <c r="D25" s="14"/>
      <c r="E25" s="14"/>
      <c r="F25" s="14"/>
      <c r="G25" s="15"/>
      <c r="H25" s="15"/>
      <c r="I25" s="15"/>
      <c r="J25" s="15"/>
      <c r="K25" s="15"/>
    </row>
    <row r="26" spans="1:11" ht="16.5">
      <c r="A26" s="12"/>
      <c r="B26" s="12"/>
      <c r="C26" s="12"/>
      <c r="D26" s="12"/>
      <c r="E26" s="12"/>
      <c r="F26" s="12"/>
    </row>
    <row r="27" spans="1:11" ht="16.5">
      <c r="A27" s="12"/>
      <c r="B27" s="12"/>
      <c r="C27" s="12"/>
      <c r="D27" s="12"/>
      <c r="E27" s="12"/>
      <c r="F27" s="12"/>
    </row>
    <row r="28" spans="1:11" ht="16.5">
      <c r="A28" s="12"/>
      <c r="B28" s="12"/>
      <c r="C28" s="12"/>
      <c r="D28" s="12"/>
      <c r="E28" s="12"/>
      <c r="F28" s="12"/>
    </row>
    <row r="29" spans="1:11" ht="16.5">
      <c r="A29" s="12"/>
      <c r="B29" s="12"/>
      <c r="C29" s="12"/>
      <c r="D29" s="12"/>
      <c r="E29" s="12"/>
      <c r="F29" s="12"/>
    </row>
    <row r="30" spans="1:11" ht="16.5">
      <c r="A30" s="12"/>
      <c r="B30" s="12"/>
      <c r="C30" s="12"/>
      <c r="D30" s="12"/>
      <c r="E30" s="12"/>
      <c r="F30" s="12"/>
    </row>
  </sheetData>
  <phoneticPr fontId="2" type="noConversion"/>
  <pageMargins left="1.0629921259842521" right="1.0629921259842521" top="1.3779527559055118" bottom="1.5748031496062993" header="0.51181102362204722" footer="1.4173228346456694"/>
  <pageSetup paperSize="9" scale="85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42"/>
  <sheetViews>
    <sheetView view="pageBreakPreview" zoomScaleNormal="100" zoomScaleSheetLayoutView="100" workbookViewId="0"/>
  </sheetViews>
  <sheetFormatPr defaultColWidth="9" defaultRowHeight="16.5"/>
  <cols>
    <col min="1" max="1" width="8.625" style="19" customWidth="1"/>
    <col min="2" max="14" width="6.125" style="19" customWidth="1"/>
    <col min="15" max="15" width="6.25" style="19" customWidth="1"/>
    <col min="16" max="16" width="5.875" style="19" customWidth="1"/>
    <col min="17" max="16384" width="9" style="19"/>
  </cols>
  <sheetData>
    <row r="1" spans="1:15" ht="21" customHeight="1">
      <c r="A1" s="18" t="s">
        <v>115</v>
      </c>
    </row>
    <row r="2" spans="1:15" ht="18" customHeight="1">
      <c r="A2" s="20" t="s">
        <v>4</v>
      </c>
    </row>
    <row r="3" spans="1:15" ht="18" customHeight="1"/>
    <row r="4" spans="1:15" ht="21" customHeight="1">
      <c r="A4" s="20" t="s">
        <v>5</v>
      </c>
    </row>
    <row r="5" spans="1:15" ht="18" customHeight="1">
      <c r="A5" s="21" t="s">
        <v>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22" t="s">
        <v>116</v>
      </c>
      <c r="O6" s="22"/>
    </row>
    <row r="7" spans="1:15" ht="19.5" customHeight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9.5" customHeight="1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9.5" customHeight="1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9.5" customHeight="1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9.5" customHeight="1">
      <c r="A14" s="7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9.5" customHeight="1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9.5" customHeight="1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5.95" customHeight="1">
      <c r="A22" s="23" t="s">
        <v>8</v>
      </c>
      <c r="B22" s="24">
        <v>2025.04</v>
      </c>
      <c r="C22" s="24">
        <v>2025.05</v>
      </c>
      <c r="D22" s="24">
        <v>2025.06</v>
      </c>
      <c r="E22" s="24">
        <v>2025.07</v>
      </c>
      <c r="F22" s="24">
        <v>2025.08</v>
      </c>
      <c r="G22" s="24">
        <v>2025.09</v>
      </c>
      <c r="H22" s="24">
        <v>2025.1</v>
      </c>
      <c r="I22" s="24">
        <v>2025.11</v>
      </c>
      <c r="J22" s="24">
        <v>2025.12</v>
      </c>
      <c r="K22" s="24">
        <v>2026.01</v>
      </c>
      <c r="L22" s="24">
        <v>2026.02</v>
      </c>
      <c r="M22" s="24">
        <v>2026.03</v>
      </c>
      <c r="N22" s="25">
        <v>2026.04</v>
      </c>
      <c r="O22" s="29"/>
    </row>
    <row r="23" spans="1:15" ht="17.100000000000001" customHeight="1">
      <c r="A23" s="26" t="s">
        <v>9</v>
      </c>
      <c r="B23" s="27">
        <v>154302.51</v>
      </c>
      <c r="C23" s="27">
        <v>154672.739</v>
      </c>
      <c r="D23" s="27">
        <v>154954.55900000001</v>
      </c>
      <c r="E23" s="27">
        <v>155308.31599999999</v>
      </c>
      <c r="F23" s="27">
        <v>155666.353</v>
      </c>
      <c r="G23" s="27">
        <v>155914.35200000001</v>
      </c>
      <c r="H23" s="27">
        <v>156273.27900000001</v>
      </c>
      <c r="I23" s="27">
        <v>156492.266</v>
      </c>
      <c r="J23" s="27">
        <v>156562.747</v>
      </c>
      <c r="K23" s="27">
        <v>157285.014</v>
      </c>
      <c r="L23" s="27">
        <v>158147.38099999999</v>
      </c>
      <c r="M23" s="27">
        <v>158285.53400000001</v>
      </c>
      <c r="N23" s="28">
        <v>158711.318</v>
      </c>
      <c r="O23" s="8"/>
    </row>
    <row r="24" spans="1:15" ht="17.100000000000001" customHeight="1">
      <c r="A24" s="30" t="s">
        <v>10</v>
      </c>
      <c r="B24" s="31">
        <v>5.1332000000000004</v>
      </c>
      <c r="C24" s="31">
        <v>4.4992999999999999</v>
      </c>
      <c r="D24" s="31">
        <v>4.1997999999999998</v>
      </c>
      <c r="E24" s="31">
        <v>4.1101999999999999</v>
      </c>
      <c r="F24" s="31">
        <v>4.1885000000000003</v>
      </c>
      <c r="G24" s="31">
        <v>4.0073999999999996</v>
      </c>
      <c r="H24" s="31">
        <v>3.2528999999999999</v>
      </c>
      <c r="I24" s="31">
        <v>3.1545000000000001</v>
      </c>
      <c r="J24" s="31">
        <v>2.2808000000000002</v>
      </c>
      <c r="K24" s="31">
        <v>2.5430000000000001</v>
      </c>
      <c r="L24" s="31">
        <v>3.0430999999999999</v>
      </c>
      <c r="M24" s="31">
        <v>2.8382000000000001</v>
      </c>
      <c r="N24" s="32">
        <v>2.8573</v>
      </c>
      <c r="O24" s="8"/>
    </row>
    <row r="25" spans="1:15" ht="17.100000000000001" customHeight="1">
      <c r="A25" s="23" t="s">
        <v>11</v>
      </c>
      <c r="B25" s="33">
        <v>41529.381999999998</v>
      </c>
      <c r="C25" s="33">
        <v>41529.381999999998</v>
      </c>
      <c r="D25" s="33">
        <v>41529.381999999998</v>
      </c>
      <c r="E25" s="33">
        <v>41529.381999999998</v>
      </c>
      <c r="F25" s="33">
        <v>41528.177000000003</v>
      </c>
      <c r="G25" s="33">
        <v>41528.177000000003</v>
      </c>
      <c r="H25" s="33">
        <v>41528.177000000003</v>
      </c>
      <c r="I25" s="33">
        <v>41528.177000000003</v>
      </c>
      <c r="J25" s="33">
        <v>41028.177000000003</v>
      </c>
      <c r="K25" s="33">
        <v>41028.177000000003</v>
      </c>
      <c r="L25" s="33">
        <v>41028.177000000003</v>
      </c>
      <c r="M25" s="33">
        <v>41028.177000000003</v>
      </c>
      <c r="N25" s="34">
        <v>41028.177000000003</v>
      </c>
      <c r="O25" s="8"/>
    </row>
    <row r="26" spans="1:15" ht="17.100000000000001" customHeight="1">
      <c r="A26" s="35" t="s">
        <v>10</v>
      </c>
      <c r="B26" s="36">
        <v>1.7144999999999999</v>
      </c>
      <c r="C26" s="36">
        <v>-0.8357</v>
      </c>
      <c r="D26" s="36">
        <v>-0.8357</v>
      </c>
      <c r="E26" s="36">
        <v>-0.8357</v>
      </c>
      <c r="F26" s="36">
        <v>-0.83860000000000001</v>
      </c>
      <c r="G26" s="36">
        <v>-0.83860000000000001</v>
      </c>
      <c r="H26" s="36">
        <v>-0.83860000000000001</v>
      </c>
      <c r="I26" s="36">
        <v>-0.83860000000000001</v>
      </c>
      <c r="J26" s="36">
        <v>-2.0325000000000002</v>
      </c>
      <c r="K26" s="36">
        <v>-1.2069000000000001</v>
      </c>
      <c r="L26" s="36">
        <v>-1.2069000000000001</v>
      </c>
      <c r="M26" s="36">
        <v>-1.2069000000000001</v>
      </c>
      <c r="N26" s="37">
        <v>-1.2069000000000001</v>
      </c>
      <c r="O26" s="8"/>
    </row>
    <row r="27" spans="1:15" ht="17.100000000000001" customHeight="1">
      <c r="A27" s="38" t="s">
        <v>12</v>
      </c>
      <c r="B27" s="39">
        <v>26050</v>
      </c>
      <c r="C27" s="39">
        <v>26050</v>
      </c>
      <c r="D27" s="39">
        <v>26050</v>
      </c>
      <c r="E27" s="39">
        <v>26050</v>
      </c>
      <c r="F27" s="39">
        <v>26050</v>
      </c>
      <c r="G27" s="39">
        <v>26050</v>
      </c>
      <c r="H27" s="39">
        <v>26050</v>
      </c>
      <c r="I27" s="39">
        <v>26050</v>
      </c>
      <c r="J27" s="39">
        <v>26050</v>
      </c>
      <c r="K27" s="39">
        <v>26050</v>
      </c>
      <c r="L27" s="39">
        <v>26050</v>
      </c>
      <c r="M27" s="39">
        <v>26050</v>
      </c>
      <c r="N27" s="40">
        <v>26050</v>
      </c>
    </row>
    <row r="28" spans="1:15" ht="17.100000000000001" customHeight="1">
      <c r="A28" s="35" t="s">
        <v>10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7">
        <v>0</v>
      </c>
    </row>
    <row r="29" spans="1:15" ht="17.100000000000001" customHeight="1">
      <c r="A29" s="38" t="s">
        <v>13</v>
      </c>
      <c r="B29" s="39">
        <v>45473.356</v>
      </c>
      <c r="C29" s="39">
        <v>45473.356</v>
      </c>
      <c r="D29" s="39">
        <v>45473.356</v>
      </c>
      <c r="E29" s="39">
        <v>45473.356</v>
      </c>
      <c r="F29" s="39">
        <v>45473.356</v>
      </c>
      <c r="G29" s="39">
        <v>45473.356</v>
      </c>
      <c r="H29" s="39">
        <v>45473.356</v>
      </c>
      <c r="I29" s="39">
        <v>45473.356</v>
      </c>
      <c r="J29" s="39">
        <v>45473.356</v>
      </c>
      <c r="K29" s="39">
        <v>45473.356</v>
      </c>
      <c r="L29" s="39">
        <v>45974.756000000001</v>
      </c>
      <c r="M29" s="39">
        <v>45974.756000000001</v>
      </c>
      <c r="N29" s="40">
        <v>45974.756000000001</v>
      </c>
    </row>
    <row r="30" spans="1:15" ht="17.100000000000001" customHeight="1">
      <c r="A30" s="35" t="s">
        <v>10</v>
      </c>
      <c r="B30" s="36">
        <v>7.7068000000000003</v>
      </c>
      <c r="C30" s="36">
        <v>7.7068000000000003</v>
      </c>
      <c r="D30" s="36">
        <v>6.2046000000000001</v>
      </c>
      <c r="E30" s="36">
        <v>6.2046000000000001</v>
      </c>
      <c r="F30" s="36">
        <v>6.2046000000000001</v>
      </c>
      <c r="G30" s="36">
        <v>5.5391000000000004</v>
      </c>
      <c r="H30" s="36">
        <v>3.1171000000000002</v>
      </c>
      <c r="I30" s="36">
        <v>3.1171000000000002</v>
      </c>
      <c r="J30" s="36">
        <v>0.59730000000000005</v>
      </c>
      <c r="K30" s="36">
        <v>0</v>
      </c>
      <c r="L30" s="36">
        <v>1.1026</v>
      </c>
      <c r="M30" s="36">
        <v>1.1026</v>
      </c>
      <c r="N30" s="37">
        <v>1.1026</v>
      </c>
    </row>
    <row r="31" spans="1:15" ht="17.100000000000001" customHeight="1">
      <c r="A31" s="38" t="s">
        <v>14</v>
      </c>
      <c r="B31" s="39">
        <v>6514.3310000000001</v>
      </c>
      <c r="C31" s="39">
        <v>6514.4059999999999</v>
      </c>
      <c r="D31" s="39">
        <v>6515.1559999999999</v>
      </c>
      <c r="E31" s="39">
        <v>6515.14</v>
      </c>
      <c r="F31" s="39">
        <v>6515.4660000000003</v>
      </c>
      <c r="G31" s="39">
        <v>6515.4660000000003</v>
      </c>
      <c r="H31" s="39">
        <v>6515.4660000000003</v>
      </c>
      <c r="I31" s="39">
        <v>6515.4660000000003</v>
      </c>
      <c r="J31" s="39">
        <v>6515.4440000000004</v>
      </c>
      <c r="K31" s="39">
        <v>6515.5439999999999</v>
      </c>
      <c r="L31" s="39">
        <v>6515.5439999999999</v>
      </c>
      <c r="M31" s="39">
        <v>6515.6790000000001</v>
      </c>
      <c r="N31" s="40">
        <v>6515.6660000000002</v>
      </c>
    </row>
    <row r="32" spans="1:15" ht="17.100000000000001" customHeight="1">
      <c r="A32" s="35" t="s">
        <v>10</v>
      </c>
      <c r="B32" s="36">
        <v>-3.5999999999999997E-2</v>
      </c>
      <c r="C32" s="36">
        <v>-3.4799999999999998E-2</v>
      </c>
      <c r="D32" s="36">
        <v>-2.3300000000000001E-2</v>
      </c>
      <c r="E32" s="36">
        <v>2.0999999999999999E-3</v>
      </c>
      <c r="F32" s="36">
        <v>7.1000000000000004E-3</v>
      </c>
      <c r="G32" s="36">
        <v>7.1000000000000004E-3</v>
      </c>
      <c r="H32" s="36">
        <v>7.1000000000000004E-3</v>
      </c>
      <c r="I32" s="36">
        <v>7.4000000000000003E-3</v>
      </c>
      <c r="J32" s="36">
        <v>7.0000000000000001E-3</v>
      </c>
      <c r="K32" s="36">
        <v>1.5599999999999999E-2</v>
      </c>
      <c r="L32" s="36">
        <v>1.5599999999999999E-2</v>
      </c>
      <c r="M32" s="36">
        <v>0.04</v>
      </c>
      <c r="N32" s="37">
        <v>2.0500000000000001E-2</v>
      </c>
    </row>
    <row r="33" spans="1:14" ht="17.100000000000001" customHeight="1">
      <c r="A33" s="38" t="s">
        <v>15</v>
      </c>
      <c r="B33" s="39">
        <v>34189.864999999998</v>
      </c>
      <c r="C33" s="39">
        <v>34559.519999999997</v>
      </c>
      <c r="D33" s="39">
        <v>34840.589999999997</v>
      </c>
      <c r="E33" s="39">
        <v>35194.362999999998</v>
      </c>
      <c r="F33" s="39">
        <v>35553.279000000002</v>
      </c>
      <c r="G33" s="39">
        <v>35801.277000000002</v>
      </c>
      <c r="H33" s="39">
        <v>36154.205000000002</v>
      </c>
      <c r="I33" s="39">
        <v>36373.192000000003</v>
      </c>
      <c r="J33" s="39">
        <v>36931.695</v>
      </c>
      <c r="K33" s="39">
        <v>37613.981</v>
      </c>
      <c r="L33" s="39">
        <v>37974.949000000001</v>
      </c>
      <c r="M33" s="39">
        <v>38088.966</v>
      </c>
      <c r="N33" s="40">
        <v>38514.764000000003</v>
      </c>
    </row>
    <row r="34" spans="1:14" ht="17.100000000000001" customHeight="1">
      <c r="A34" s="35" t="s">
        <v>10</v>
      </c>
      <c r="B34" s="36">
        <v>11.6976</v>
      </c>
      <c r="C34" s="36">
        <v>12.192</v>
      </c>
      <c r="D34" s="36">
        <v>12.741400000000001</v>
      </c>
      <c r="E34" s="36">
        <v>12.181900000000001</v>
      </c>
      <c r="F34" s="36">
        <v>12.5061</v>
      </c>
      <c r="G34" s="36">
        <v>12.4777</v>
      </c>
      <c r="H34" s="36">
        <v>12.068300000000001</v>
      </c>
      <c r="I34" s="36">
        <v>11.514699999999999</v>
      </c>
      <c r="J34" s="36">
        <v>12.3306</v>
      </c>
      <c r="K34" s="36">
        <v>13.053100000000001</v>
      </c>
      <c r="L34" s="36">
        <v>13.8217</v>
      </c>
      <c r="M34" s="36">
        <v>12.6693</v>
      </c>
      <c r="N34" s="37">
        <v>12.649699999999999</v>
      </c>
    </row>
    <row r="35" spans="1:14" ht="17.100000000000001" customHeight="1">
      <c r="A35" s="38" t="s">
        <v>16</v>
      </c>
      <c r="B35" s="39">
        <v>545.57500000000005</v>
      </c>
      <c r="C35" s="39">
        <v>546.07500000000005</v>
      </c>
      <c r="D35" s="39">
        <v>546.07500000000005</v>
      </c>
      <c r="E35" s="39">
        <v>546.07500000000005</v>
      </c>
      <c r="F35" s="39">
        <v>546.07500000000005</v>
      </c>
      <c r="G35" s="39">
        <v>546.07500000000005</v>
      </c>
      <c r="H35" s="39">
        <v>552.07500000000005</v>
      </c>
      <c r="I35" s="39">
        <v>552.07500000000005</v>
      </c>
      <c r="J35" s="39">
        <v>564.07500000000005</v>
      </c>
      <c r="K35" s="39">
        <v>603.95500000000004</v>
      </c>
      <c r="L35" s="39">
        <v>603.95500000000004</v>
      </c>
      <c r="M35" s="39">
        <v>627.95500000000004</v>
      </c>
      <c r="N35" s="40">
        <v>627.95500000000004</v>
      </c>
    </row>
    <row r="36" spans="1:14" ht="17.100000000000001" customHeight="1">
      <c r="A36" s="41" t="s">
        <v>10</v>
      </c>
      <c r="B36" s="42">
        <v>0.36609999999999998</v>
      </c>
      <c r="C36" s="42">
        <v>0.45810000000000001</v>
      </c>
      <c r="D36" s="42">
        <v>0.53200000000000003</v>
      </c>
      <c r="E36" s="42">
        <v>0.53200000000000003</v>
      </c>
      <c r="F36" s="42">
        <v>-1.8E-3</v>
      </c>
      <c r="G36" s="42">
        <v>-1.8E-3</v>
      </c>
      <c r="H36" s="42">
        <v>1.0969</v>
      </c>
      <c r="I36" s="42">
        <v>1.0969</v>
      </c>
      <c r="J36" s="42">
        <v>3.2963</v>
      </c>
      <c r="K36" s="42">
        <v>10.599299999999999</v>
      </c>
      <c r="L36" s="42">
        <v>10.599299999999999</v>
      </c>
      <c r="M36" s="42">
        <v>15.154500000000001</v>
      </c>
      <c r="N36" s="43">
        <v>15.0997</v>
      </c>
    </row>
    <row r="37" spans="1:14" ht="17.100000000000001" customHeight="1">
      <c r="A37" s="44" t="s">
        <v>122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 ht="18" customHeight="1">
      <c r="A38" s="46" t="s">
        <v>17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18" customHeight="1">
      <c r="A39" s="47" t="s">
        <v>117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8" customHeight="1">
      <c r="A40" s="46" t="s">
        <v>18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18" customHeight="1">
      <c r="A41" s="46" t="s">
        <v>19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4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8" firstPageNumber="3" orientation="portrait" useFirstPageNumber="1" r:id="rId1"/>
  <headerFooter differentOddEven="1" scaleWithDoc="0" alignWithMargins="0">
    <evenFooter>&amp;L&amp;P</even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40"/>
  <sheetViews>
    <sheetView view="pageBreakPreview" zoomScaleNormal="100" zoomScaleSheetLayoutView="100" workbookViewId="0">
      <selection activeCell="P29" sqref="P29"/>
    </sheetView>
  </sheetViews>
  <sheetFormatPr defaultColWidth="9" defaultRowHeight="16.5"/>
  <cols>
    <col min="1" max="1" width="8.625" style="48" customWidth="1"/>
    <col min="2" max="15" width="6.125" style="48" customWidth="1"/>
    <col min="16" max="16384" width="9" style="48"/>
  </cols>
  <sheetData>
    <row r="1" spans="1:15" ht="38.25" customHeight="1"/>
    <row r="2" spans="1:15" ht="38.25" customHeight="1">
      <c r="A2" s="49" t="s">
        <v>20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8" customHeight="1">
      <c r="A3" s="51" t="s">
        <v>21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18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116</v>
      </c>
      <c r="O4" s="52"/>
    </row>
    <row r="5" spans="1:15" ht="19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19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19.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19.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9.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19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19.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19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19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19.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19.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19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19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19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9.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95" customHeight="1">
      <c r="A20" s="54" t="s">
        <v>8</v>
      </c>
      <c r="B20" s="55">
        <v>2025.04</v>
      </c>
      <c r="C20" s="55">
        <v>2025.05</v>
      </c>
      <c r="D20" s="55">
        <v>2025.06</v>
      </c>
      <c r="E20" s="55">
        <v>2025.07</v>
      </c>
      <c r="F20" s="55">
        <v>2025.08</v>
      </c>
      <c r="G20" s="55">
        <v>2025.09</v>
      </c>
      <c r="H20" s="55">
        <v>2025.1</v>
      </c>
      <c r="I20" s="55">
        <v>2025.11</v>
      </c>
      <c r="J20" s="55">
        <v>2025.12</v>
      </c>
      <c r="K20" s="55">
        <v>2026.01</v>
      </c>
      <c r="L20" s="55">
        <v>2026.02</v>
      </c>
      <c r="M20" s="55">
        <v>2026.03</v>
      </c>
      <c r="N20" s="56">
        <v>2026.04</v>
      </c>
      <c r="O20" s="57"/>
    </row>
    <row r="21" spans="1:15" ht="15.95" customHeight="1">
      <c r="A21" s="58" t="s">
        <v>9</v>
      </c>
      <c r="B21" s="59">
        <v>154302.51</v>
      </c>
      <c r="C21" s="59">
        <v>154672.739</v>
      </c>
      <c r="D21" s="59">
        <v>154954.55900000001</v>
      </c>
      <c r="E21" s="59">
        <v>155308.31599999999</v>
      </c>
      <c r="F21" s="59">
        <v>155666.353</v>
      </c>
      <c r="G21" s="59">
        <v>155914.35200000001</v>
      </c>
      <c r="H21" s="59">
        <v>156273.27900000001</v>
      </c>
      <c r="I21" s="59">
        <v>156492.266</v>
      </c>
      <c r="J21" s="59">
        <v>156562.747</v>
      </c>
      <c r="K21" s="59">
        <v>157285.014</v>
      </c>
      <c r="L21" s="59">
        <v>158147.38099999999</v>
      </c>
      <c r="M21" s="59">
        <v>158285.53400000001</v>
      </c>
      <c r="N21" s="60">
        <v>158711.318</v>
      </c>
      <c r="O21" s="61"/>
    </row>
    <row r="22" spans="1:15" ht="15.95" customHeight="1">
      <c r="A22" s="62" t="s">
        <v>10</v>
      </c>
      <c r="B22" s="31">
        <v>5.1332000000000004</v>
      </c>
      <c r="C22" s="31">
        <v>4.4992999999999999</v>
      </c>
      <c r="D22" s="31">
        <v>4.1997999999999998</v>
      </c>
      <c r="E22" s="31">
        <v>4.1101999999999999</v>
      </c>
      <c r="F22" s="31">
        <v>4.1885000000000003</v>
      </c>
      <c r="G22" s="31">
        <v>4.0073999999999996</v>
      </c>
      <c r="H22" s="31">
        <v>3.2528999999999999</v>
      </c>
      <c r="I22" s="31">
        <v>3.1545000000000001</v>
      </c>
      <c r="J22" s="31">
        <v>2.2808000000000002</v>
      </c>
      <c r="K22" s="31">
        <v>2.5430000000000001</v>
      </c>
      <c r="L22" s="31">
        <v>3.0430999999999999</v>
      </c>
      <c r="M22" s="31">
        <v>2.8382000000000001</v>
      </c>
      <c r="N22" s="32">
        <v>2.8573</v>
      </c>
      <c r="O22" s="63"/>
    </row>
    <row r="23" spans="1:15" ht="15.95" customHeight="1">
      <c r="A23" s="54" t="s">
        <v>22</v>
      </c>
      <c r="B23" s="33">
        <v>26050</v>
      </c>
      <c r="C23" s="33">
        <v>26050</v>
      </c>
      <c r="D23" s="33">
        <v>26050</v>
      </c>
      <c r="E23" s="33">
        <v>26050</v>
      </c>
      <c r="F23" s="33">
        <v>26050</v>
      </c>
      <c r="G23" s="33">
        <v>26050</v>
      </c>
      <c r="H23" s="33">
        <v>26050</v>
      </c>
      <c r="I23" s="33">
        <v>26050</v>
      </c>
      <c r="J23" s="33">
        <v>26050</v>
      </c>
      <c r="K23" s="33">
        <v>26050</v>
      </c>
      <c r="L23" s="33">
        <v>26050</v>
      </c>
      <c r="M23" s="33">
        <v>26050</v>
      </c>
      <c r="N23" s="34">
        <v>26050</v>
      </c>
      <c r="O23" s="64"/>
    </row>
    <row r="24" spans="1:15" ht="15.95" customHeight="1">
      <c r="A24" s="65" t="s">
        <v>10</v>
      </c>
      <c r="B24" s="36">
        <v>0</v>
      </c>
      <c r="C24" s="36">
        <v>0</v>
      </c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7">
        <v>0</v>
      </c>
      <c r="O24" s="63"/>
    </row>
    <row r="25" spans="1:15" ht="15.95" customHeight="1">
      <c r="A25" s="66" t="s">
        <v>23</v>
      </c>
      <c r="B25" s="39">
        <v>41267.881999999998</v>
      </c>
      <c r="C25" s="39">
        <v>41267.881999999998</v>
      </c>
      <c r="D25" s="39">
        <v>41267.881999999998</v>
      </c>
      <c r="E25" s="39">
        <v>41267.881999999998</v>
      </c>
      <c r="F25" s="39">
        <v>41266.677000000003</v>
      </c>
      <c r="G25" s="39">
        <v>41266.677000000003</v>
      </c>
      <c r="H25" s="39">
        <v>41266.677000000003</v>
      </c>
      <c r="I25" s="39">
        <v>41266.677000000003</v>
      </c>
      <c r="J25" s="39">
        <v>40766.677000000003</v>
      </c>
      <c r="K25" s="39">
        <v>40766.677000000003</v>
      </c>
      <c r="L25" s="39">
        <v>40766.677000000003</v>
      </c>
      <c r="M25" s="39">
        <v>40766.677000000003</v>
      </c>
      <c r="N25" s="40">
        <v>40766.677000000003</v>
      </c>
      <c r="O25" s="64"/>
    </row>
    <row r="26" spans="1:15" ht="15.95" customHeight="1">
      <c r="A26" s="65" t="s">
        <v>10</v>
      </c>
      <c r="B26" s="36">
        <v>5.3615000000000004</v>
      </c>
      <c r="C26" s="36">
        <v>2.6107999999999998</v>
      </c>
      <c r="D26" s="36">
        <v>2.6107999999999998</v>
      </c>
      <c r="E26" s="36">
        <v>2.6107999999999998</v>
      </c>
      <c r="F26" s="36">
        <v>2.6078000000000001</v>
      </c>
      <c r="G26" s="36">
        <v>2.6078000000000001</v>
      </c>
      <c r="H26" s="36">
        <v>2.6078000000000001</v>
      </c>
      <c r="I26" s="36">
        <v>2.6078000000000001</v>
      </c>
      <c r="J26" s="36">
        <v>1.3646</v>
      </c>
      <c r="K26" s="36">
        <v>-1.2144999999999999</v>
      </c>
      <c r="L26" s="36">
        <v>-1.2144999999999999</v>
      </c>
      <c r="M26" s="36">
        <v>-1.2144999999999999</v>
      </c>
      <c r="N26" s="37">
        <v>-1.2144999999999999</v>
      </c>
      <c r="O26" s="63"/>
    </row>
    <row r="27" spans="1:15" ht="15.95" customHeight="1">
      <c r="A27" s="66" t="s">
        <v>24</v>
      </c>
      <c r="B27" s="39">
        <v>45203.856</v>
      </c>
      <c r="C27" s="39">
        <v>45203.856</v>
      </c>
      <c r="D27" s="39">
        <v>45203.856</v>
      </c>
      <c r="E27" s="39">
        <v>45203.856</v>
      </c>
      <c r="F27" s="39">
        <v>45203.856</v>
      </c>
      <c r="G27" s="39">
        <v>45203.856</v>
      </c>
      <c r="H27" s="39">
        <v>45203.856</v>
      </c>
      <c r="I27" s="39">
        <v>45203.856</v>
      </c>
      <c r="J27" s="39">
        <v>45203.856</v>
      </c>
      <c r="K27" s="39">
        <v>45203.856</v>
      </c>
      <c r="L27" s="39">
        <v>45705.256000000001</v>
      </c>
      <c r="M27" s="39">
        <v>45705.256000000001</v>
      </c>
      <c r="N27" s="40">
        <v>45705.256000000001</v>
      </c>
      <c r="O27" s="64"/>
    </row>
    <row r="28" spans="1:15" ht="15.95" customHeight="1">
      <c r="A28" s="65" t="s">
        <v>10</v>
      </c>
      <c r="B28" s="36">
        <v>4.2763</v>
      </c>
      <c r="C28" s="36">
        <v>4.2763</v>
      </c>
      <c r="D28" s="36">
        <v>2.8593000000000002</v>
      </c>
      <c r="E28" s="36">
        <v>2.8593000000000002</v>
      </c>
      <c r="F28" s="36">
        <v>2.8593000000000002</v>
      </c>
      <c r="G28" s="36">
        <v>2.2313000000000001</v>
      </c>
      <c r="H28" s="36">
        <v>-5.62E-2</v>
      </c>
      <c r="I28" s="36">
        <v>-5.62E-2</v>
      </c>
      <c r="J28" s="36">
        <v>-2.4388000000000001</v>
      </c>
      <c r="K28" s="36">
        <v>0</v>
      </c>
      <c r="L28" s="36">
        <v>1.1092</v>
      </c>
      <c r="M28" s="36">
        <v>1.1092</v>
      </c>
      <c r="N28" s="37">
        <v>1.1092</v>
      </c>
      <c r="O28" s="63"/>
    </row>
    <row r="29" spans="1:15" ht="15.95" customHeight="1">
      <c r="A29" s="66" t="s">
        <v>25</v>
      </c>
      <c r="B29" s="39">
        <v>36004.197</v>
      </c>
      <c r="C29" s="39">
        <v>36373.925999999999</v>
      </c>
      <c r="D29" s="39">
        <v>36655.745999999999</v>
      </c>
      <c r="E29" s="39">
        <v>37009.502999999997</v>
      </c>
      <c r="F29" s="39">
        <v>37368.745000000003</v>
      </c>
      <c r="G29" s="39">
        <v>37616.743999999999</v>
      </c>
      <c r="H29" s="39">
        <v>37969.671000000002</v>
      </c>
      <c r="I29" s="39">
        <v>38188.658000000003</v>
      </c>
      <c r="J29" s="39">
        <v>38747.139000000003</v>
      </c>
      <c r="K29" s="39">
        <v>39429.525999999998</v>
      </c>
      <c r="L29" s="39">
        <v>39790.493000000002</v>
      </c>
      <c r="M29" s="39">
        <v>39904.646000000001</v>
      </c>
      <c r="N29" s="40">
        <v>40330.43</v>
      </c>
      <c r="O29" s="64"/>
    </row>
    <row r="30" spans="1:15" ht="15.95" customHeight="1">
      <c r="A30" s="65" t="s">
        <v>10</v>
      </c>
      <c r="B30" s="36">
        <v>11.035</v>
      </c>
      <c r="C30" s="36">
        <v>11.506</v>
      </c>
      <c r="D30" s="36">
        <v>12.029299999999999</v>
      </c>
      <c r="E30" s="36">
        <v>11.5161</v>
      </c>
      <c r="F30" s="36">
        <v>11.828200000000001</v>
      </c>
      <c r="G30" s="36">
        <v>11.805899999999999</v>
      </c>
      <c r="H30" s="36">
        <v>11.4269</v>
      </c>
      <c r="I30" s="36">
        <v>10.9091</v>
      </c>
      <c r="J30" s="36">
        <v>11.6868</v>
      </c>
      <c r="K30" s="36">
        <v>12.3809</v>
      </c>
      <c r="L30" s="36">
        <v>13.111700000000001</v>
      </c>
      <c r="M30" s="36">
        <v>12.031700000000001</v>
      </c>
      <c r="N30" s="37">
        <v>12.0159</v>
      </c>
      <c r="O30" s="63"/>
    </row>
    <row r="31" spans="1:15" ht="15.95" customHeight="1">
      <c r="A31" s="66" t="s">
        <v>26</v>
      </c>
      <c r="B31" s="39">
        <v>627.70000000000005</v>
      </c>
      <c r="C31" s="39">
        <v>627.70000000000005</v>
      </c>
      <c r="D31" s="39">
        <v>627.70000000000005</v>
      </c>
      <c r="E31" s="39">
        <v>627.70000000000005</v>
      </c>
      <c r="F31" s="39">
        <v>627.70000000000005</v>
      </c>
      <c r="G31" s="39">
        <v>627.70000000000005</v>
      </c>
      <c r="H31" s="39">
        <v>627.70000000000005</v>
      </c>
      <c r="I31" s="39">
        <v>627.70000000000005</v>
      </c>
      <c r="J31" s="39">
        <v>627.70000000000005</v>
      </c>
      <c r="K31" s="39">
        <v>627.70000000000005</v>
      </c>
      <c r="L31" s="39">
        <v>627.70000000000005</v>
      </c>
      <c r="M31" s="39">
        <v>627.70000000000005</v>
      </c>
      <c r="N31" s="40">
        <v>627.70000000000005</v>
      </c>
      <c r="O31" s="64"/>
    </row>
    <row r="32" spans="1:15" ht="15.95" customHeight="1">
      <c r="A32" s="65" t="s">
        <v>10</v>
      </c>
      <c r="B32" s="36">
        <v>2.3900000000000001E-2</v>
      </c>
      <c r="C32" s="36">
        <v>2.3900000000000001E-2</v>
      </c>
      <c r="D32" s="36">
        <v>2.3900000000000001E-2</v>
      </c>
      <c r="E32" s="36">
        <v>2.3900000000000001E-2</v>
      </c>
      <c r="F32" s="36">
        <v>2.3900000000000001E-2</v>
      </c>
      <c r="G32" s="36">
        <v>2.3900000000000001E-2</v>
      </c>
      <c r="H32" s="36">
        <v>2.3900000000000001E-2</v>
      </c>
      <c r="I32" s="36">
        <v>2.3900000000000001E-2</v>
      </c>
      <c r="J32" s="36">
        <v>0</v>
      </c>
      <c r="K32" s="36">
        <v>0</v>
      </c>
      <c r="L32" s="36">
        <v>0</v>
      </c>
      <c r="M32" s="36">
        <v>0</v>
      </c>
      <c r="N32" s="37">
        <v>0</v>
      </c>
      <c r="O32" s="63"/>
    </row>
    <row r="33" spans="1:15" ht="15.95" customHeight="1">
      <c r="A33" s="66" t="s">
        <v>27</v>
      </c>
      <c r="B33" s="39">
        <v>4700</v>
      </c>
      <c r="C33" s="39">
        <v>4700</v>
      </c>
      <c r="D33" s="39">
        <v>4700</v>
      </c>
      <c r="E33" s="39">
        <v>4700</v>
      </c>
      <c r="F33" s="39">
        <v>4700</v>
      </c>
      <c r="G33" s="39">
        <v>4700</v>
      </c>
      <c r="H33" s="39">
        <v>4700</v>
      </c>
      <c r="I33" s="39">
        <v>4700</v>
      </c>
      <c r="J33" s="39">
        <v>4700</v>
      </c>
      <c r="K33" s="39">
        <v>4700</v>
      </c>
      <c r="L33" s="39">
        <v>4700</v>
      </c>
      <c r="M33" s="39">
        <v>4700</v>
      </c>
      <c r="N33" s="40">
        <v>4700</v>
      </c>
      <c r="O33" s="64"/>
    </row>
    <row r="34" spans="1:15" ht="15.95" customHeight="1">
      <c r="A34" s="65" t="s">
        <v>28</v>
      </c>
      <c r="B34" s="67">
        <v>0</v>
      </c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9">
        <v>0</v>
      </c>
      <c r="O34" s="63"/>
    </row>
    <row r="35" spans="1:15" ht="15.95" customHeight="1">
      <c r="A35" s="70" t="s">
        <v>16</v>
      </c>
      <c r="B35" s="71">
        <v>448.875</v>
      </c>
      <c r="C35" s="71">
        <v>449.375</v>
      </c>
      <c r="D35" s="71">
        <v>449.375</v>
      </c>
      <c r="E35" s="71">
        <v>449.375</v>
      </c>
      <c r="F35" s="71">
        <v>449.375</v>
      </c>
      <c r="G35" s="71">
        <v>449.375</v>
      </c>
      <c r="H35" s="71">
        <v>455.375</v>
      </c>
      <c r="I35" s="71">
        <v>455.375</v>
      </c>
      <c r="J35" s="71">
        <v>467.375</v>
      </c>
      <c r="K35" s="71">
        <v>507.255</v>
      </c>
      <c r="L35" s="71">
        <v>507.255</v>
      </c>
      <c r="M35" s="71">
        <v>531.255</v>
      </c>
      <c r="N35" s="34">
        <v>531.255</v>
      </c>
      <c r="O35" s="64"/>
    </row>
    <row r="36" spans="1:15" ht="15.95" customHeight="1">
      <c r="A36" s="72" t="s">
        <v>10</v>
      </c>
      <c r="B36" s="73">
        <v>0.41199999999999998</v>
      </c>
      <c r="C36" s="73">
        <v>0.52300000000000002</v>
      </c>
      <c r="D36" s="73">
        <v>0.61299999999999999</v>
      </c>
      <c r="E36" s="73">
        <v>0.61299999999999999</v>
      </c>
      <c r="F36" s="73">
        <v>-3.5999999999999997E-2</v>
      </c>
      <c r="G36" s="73">
        <v>-3.5999999999999997E-2</v>
      </c>
      <c r="H36" s="73">
        <v>1.2989999999999999</v>
      </c>
      <c r="I36" s="73">
        <v>1.2989999999999999</v>
      </c>
      <c r="J36" s="73">
        <v>4.0060000000000002</v>
      </c>
      <c r="K36" s="73">
        <v>12.88</v>
      </c>
      <c r="L36" s="73">
        <v>12.88</v>
      </c>
      <c r="M36" s="73">
        <v>18.420999999999999</v>
      </c>
      <c r="N36" s="74">
        <v>18.353000000000002</v>
      </c>
      <c r="O36" s="63"/>
    </row>
    <row r="37" spans="1:15" ht="18" customHeight="1">
      <c r="A37" s="75" t="s">
        <v>29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 spans="1:15" ht="18" customHeight="1">
      <c r="A38" s="75" t="s">
        <v>30</v>
      </c>
    </row>
    <row r="39" spans="1:15" ht="18" customHeight="1">
      <c r="A39" s="75" t="s">
        <v>31</v>
      </c>
    </row>
    <row r="40" spans="1:15">
      <c r="A40" s="75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9" firstPageNumber="4" fitToHeight="0" orientation="portrait" useFirstPageNumber="1" r:id="rId1"/>
  <headerFooter differentOddEven="1"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Q38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6384" width="9" style="48"/>
  </cols>
  <sheetData>
    <row r="1" spans="1:14" ht="38.25" customHeight="1"/>
    <row r="2" spans="1:14" ht="38.25" customHeight="1">
      <c r="A2" s="49" t="s">
        <v>32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8" customHeight="1">
      <c r="A3" s="51" t="s">
        <v>33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</row>
    <row r="5" spans="1:14" ht="19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19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19.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19.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19.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9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19.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4" ht="19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19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19.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19.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19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7" ht="19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7" ht="19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7" ht="19.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7" ht="19.5" customHeight="1">
      <c r="A20" s="76" t="s">
        <v>8</v>
      </c>
      <c r="B20" s="77">
        <v>2025.04</v>
      </c>
      <c r="C20" s="77">
        <v>2025.05</v>
      </c>
      <c r="D20" s="77">
        <v>2025.06</v>
      </c>
      <c r="E20" s="77">
        <v>2025.07</v>
      </c>
      <c r="F20" s="77">
        <v>2025.08</v>
      </c>
      <c r="G20" s="77">
        <v>2025.09</v>
      </c>
      <c r="H20" s="77">
        <v>2025.1</v>
      </c>
      <c r="I20" s="77">
        <v>2025.11</v>
      </c>
      <c r="J20" s="77">
        <v>2025.12</v>
      </c>
      <c r="K20" s="77">
        <v>2026.01</v>
      </c>
      <c r="L20" s="77">
        <v>2026.02</v>
      </c>
      <c r="M20" s="77">
        <v>2026.03</v>
      </c>
      <c r="N20" s="78">
        <v>2026.04</v>
      </c>
      <c r="Q20" s="193"/>
    </row>
    <row r="21" spans="1:17" ht="18.600000000000001" customHeight="1">
      <c r="A21" s="79" t="s">
        <v>35</v>
      </c>
      <c r="B21" s="80">
        <v>44541.39</v>
      </c>
      <c r="C21" s="80">
        <v>45407.635999999999</v>
      </c>
      <c r="D21" s="80">
        <v>47510.582999999999</v>
      </c>
      <c r="E21" s="80">
        <v>57143.165000000001</v>
      </c>
      <c r="F21" s="80">
        <v>57162.279000000002</v>
      </c>
      <c r="G21" s="80">
        <v>50729.345999999998</v>
      </c>
      <c r="H21" s="80">
        <v>45262.173999999999</v>
      </c>
      <c r="I21" s="80">
        <v>45682.614000000001</v>
      </c>
      <c r="J21" s="80">
        <v>52134.974000000002</v>
      </c>
      <c r="K21" s="80">
        <v>55149.417999999998</v>
      </c>
      <c r="L21" s="80">
        <v>45941.607000000004</v>
      </c>
      <c r="M21" s="80">
        <v>47974.148999999998</v>
      </c>
      <c r="N21" s="81">
        <v>44378.146999999997</v>
      </c>
    </row>
    <row r="22" spans="1:17" ht="18.600000000000001" customHeight="1">
      <c r="A22" s="82" t="s">
        <v>28</v>
      </c>
      <c r="B22" s="31">
        <v>1.0973999999999999</v>
      </c>
      <c r="C22" s="31">
        <v>-4.7999999999999996E-3</v>
      </c>
      <c r="D22" s="31">
        <v>0.37290000000000001</v>
      </c>
      <c r="E22" s="31">
        <v>5.0136000000000003</v>
      </c>
      <c r="F22" s="31">
        <v>-2.7174999999999998</v>
      </c>
      <c r="G22" s="31">
        <v>-1.72E-2</v>
      </c>
      <c r="H22" s="31">
        <v>-1.978</v>
      </c>
      <c r="I22" s="31">
        <v>-0.27450000000000002</v>
      </c>
      <c r="J22" s="31">
        <v>-0.13689999999999999</v>
      </c>
      <c r="K22" s="31">
        <v>5.1769999999999996</v>
      </c>
      <c r="L22" s="31">
        <v>-6.3794000000000004</v>
      </c>
      <c r="M22" s="31">
        <v>-1.2224999999999999</v>
      </c>
      <c r="N22" s="83">
        <v>-0.36649999999999999</v>
      </c>
      <c r="O22" s="84"/>
    </row>
    <row r="23" spans="1:17" ht="18.600000000000001" customHeight="1">
      <c r="A23" s="85" t="s">
        <v>11</v>
      </c>
      <c r="B23" s="33">
        <v>8453.7720000000008</v>
      </c>
      <c r="C23" s="33">
        <v>10796.407999999999</v>
      </c>
      <c r="D23" s="33">
        <v>14141.562</v>
      </c>
      <c r="E23" s="33">
        <v>20875.61</v>
      </c>
      <c r="F23" s="33">
        <v>21486.94</v>
      </c>
      <c r="G23" s="33">
        <v>19483.376</v>
      </c>
      <c r="H23" s="33">
        <v>13842.933000000001</v>
      </c>
      <c r="I23" s="33">
        <v>13785.254999999999</v>
      </c>
      <c r="J23" s="33">
        <v>17891.793000000001</v>
      </c>
      <c r="K23" s="33">
        <v>17467.814999999999</v>
      </c>
      <c r="L23" s="33">
        <v>14233.508</v>
      </c>
      <c r="M23" s="33">
        <v>13019.049000000001</v>
      </c>
      <c r="N23" s="86">
        <v>11589.495999999999</v>
      </c>
      <c r="O23" s="84"/>
    </row>
    <row r="24" spans="1:17" ht="18.600000000000001" customHeight="1">
      <c r="A24" s="87" t="s">
        <v>28</v>
      </c>
      <c r="B24" s="36">
        <v>-26.865100000000002</v>
      </c>
      <c r="C24" s="36">
        <v>5.0336999999999996</v>
      </c>
      <c r="D24" s="36">
        <v>9.1033000000000008</v>
      </c>
      <c r="E24" s="36">
        <v>25.753599999999999</v>
      </c>
      <c r="F24" s="36">
        <v>8.6428999999999991</v>
      </c>
      <c r="G24" s="36">
        <v>25.992799999999999</v>
      </c>
      <c r="H24" s="36">
        <v>16.717600000000001</v>
      </c>
      <c r="I24" s="36">
        <v>16.2743</v>
      </c>
      <c r="J24" s="36">
        <v>18.2044</v>
      </c>
      <c r="K24" s="36">
        <v>28.6813</v>
      </c>
      <c r="L24" s="36">
        <v>21.534199999999998</v>
      </c>
      <c r="M24" s="36">
        <v>33.519100000000002</v>
      </c>
      <c r="N24" s="88">
        <v>37.092599999999997</v>
      </c>
      <c r="O24" s="84"/>
    </row>
    <row r="25" spans="1:17" ht="18.600000000000001" customHeight="1">
      <c r="A25" s="89" t="s">
        <v>22</v>
      </c>
      <c r="B25" s="39">
        <v>15930.975</v>
      </c>
      <c r="C25" s="39">
        <v>15888.942999999999</v>
      </c>
      <c r="D25" s="39">
        <v>15062.355</v>
      </c>
      <c r="E25" s="39">
        <v>15253.08</v>
      </c>
      <c r="F25" s="39">
        <v>14068.521000000001</v>
      </c>
      <c r="G25" s="39">
        <v>14251.332</v>
      </c>
      <c r="H25" s="39">
        <v>13750.289000000001</v>
      </c>
      <c r="I25" s="39">
        <v>13057.03</v>
      </c>
      <c r="J25" s="39">
        <v>15440.541999999999</v>
      </c>
      <c r="K25" s="39">
        <v>14647.019</v>
      </c>
      <c r="L25" s="39">
        <v>12072.444</v>
      </c>
      <c r="M25" s="39">
        <v>13248.62</v>
      </c>
      <c r="N25" s="90">
        <v>13608.608</v>
      </c>
      <c r="O25" s="84"/>
    </row>
    <row r="26" spans="1:17" ht="18.600000000000001" customHeight="1">
      <c r="A26" s="87" t="s">
        <v>28</v>
      </c>
      <c r="B26" s="36">
        <v>8.9886999999999997</v>
      </c>
      <c r="C26" s="36">
        <v>-0.8377</v>
      </c>
      <c r="D26" s="36">
        <v>-0.1017</v>
      </c>
      <c r="E26" s="36">
        <v>-7.4663000000000004</v>
      </c>
      <c r="F26" s="36">
        <v>-9.2827999999999999</v>
      </c>
      <c r="G26" s="36">
        <v>-10.068199999999999</v>
      </c>
      <c r="H26" s="36">
        <v>-19.4621</v>
      </c>
      <c r="I26" s="36">
        <v>-19.120100000000001</v>
      </c>
      <c r="J26" s="36">
        <v>-7.6238999999999999</v>
      </c>
      <c r="K26" s="36">
        <v>-18.139500000000002</v>
      </c>
      <c r="L26" s="36">
        <v>-25.6127</v>
      </c>
      <c r="M26" s="36">
        <v>-25.852799999999998</v>
      </c>
      <c r="N26" s="88">
        <v>-14.5777</v>
      </c>
      <c r="O26" s="84"/>
    </row>
    <row r="27" spans="1:17" ht="18.600000000000001" customHeight="1">
      <c r="A27" s="89" t="s">
        <v>13</v>
      </c>
      <c r="B27" s="39">
        <v>13387.141</v>
      </c>
      <c r="C27" s="39">
        <v>11970.612999999999</v>
      </c>
      <c r="D27" s="39">
        <v>11710.380999999999</v>
      </c>
      <c r="E27" s="39">
        <v>14121.856</v>
      </c>
      <c r="F27" s="39">
        <v>15019.491</v>
      </c>
      <c r="G27" s="39">
        <v>11544.512000000001</v>
      </c>
      <c r="H27" s="39">
        <v>12042.993</v>
      </c>
      <c r="I27" s="39">
        <v>13094.513999999999</v>
      </c>
      <c r="J27" s="39">
        <v>13317.291999999999</v>
      </c>
      <c r="K27" s="39">
        <v>16998.447</v>
      </c>
      <c r="L27" s="39">
        <v>13951.112999999999</v>
      </c>
      <c r="M27" s="39">
        <v>15100.703</v>
      </c>
      <c r="N27" s="90">
        <v>12453.991</v>
      </c>
      <c r="O27" s="84"/>
    </row>
    <row r="28" spans="1:17" ht="18.600000000000001" customHeight="1">
      <c r="A28" s="87" t="s">
        <v>28</v>
      </c>
      <c r="B28" s="36">
        <v>13.4168</v>
      </c>
      <c r="C28" s="36">
        <v>-1.7214</v>
      </c>
      <c r="D28" s="36">
        <v>-9.9176000000000002</v>
      </c>
      <c r="E28" s="36">
        <v>-7.3559000000000001</v>
      </c>
      <c r="F28" s="36">
        <v>-11.5374</v>
      </c>
      <c r="G28" s="36">
        <v>-16.2727</v>
      </c>
      <c r="H28" s="36">
        <v>-0.2112</v>
      </c>
      <c r="I28" s="36">
        <v>1.5033000000000001</v>
      </c>
      <c r="J28" s="36">
        <v>-11.067299999999999</v>
      </c>
      <c r="K28" s="36">
        <v>8.4659999999999993</v>
      </c>
      <c r="L28" s="36">
        <v>-8.3051999999999992</v>
      </c>
      <c r="M28" s="36">
        <v>2.6211000000000002</v>
      </c>
      <c r="N28" s="88">
        <v>-6.9705000000000004</v>
      </c>
      <c r="O28" s="84"/>
    </row>
    <row r="29" spans="1:17" ht="18.600000000000001" customHeight="1">
      <c r="A29" s="89" t="s">
        <v>14</v>
      </c>
      <c r="B29" s="39">
        <v>673.24699999999996</v>
      </c>
      <c r="C29" s="39">
        <v>853.76400000000001</v>
      </c>
      <c r="D29" s="39">
        <v>784.64099999999996</v>
      </c>
      <c r="E29" s="39">
        <v>640.72</v>
      </c>
      <c r="F29" s="39">
        <v>607.40700000000004</v>
      </c>
      <c r="G29" s="39">
        <v>695.93700000000001</v>
      </c>
      <c r="H29" s="39">
        <v>927.94200000000001</v>
      </c>
      <c r="I29" s="39">
        <v>639.02499999999998</v>
      </c>
      <c r="J29" s="39">
        <v>556.71400000000006</v>
      </c>
      <c r="K29" s="39">
        <v>506.35599999999999</v>
      </c>
      <c r="L29" s="39">
        <v>454.08699999999999</v>
      </c>
      <c r="M29" s="39">
        <v>500.904</v>
      </c>
      <c r="N29" s="90">
        <v>517.59299999999996</v>
      </c>
      <c r="O29" s="84"/>
    </row>
    <row r="30" spans="1:17" ht="18.600000000000001" customHeight="1">
      <c r="A30" s="87" t="s">
        <v>28</v>
      </c>
      <c r="B30" s="36">
        <v>-32.772100000000002</v>
      </c>
      <c r="C30" s="36">
        <v>-13.2897</v>
      </c>
      <c r="D30" s="36">
        <v>-4.3230000000000004</v>
      </c>
      <c r="E30" s="36">
        <v>-34.741900000000001</v>
      </c>
      <c r="F30" s="36">
        <v>-20.726299999999998</v>
      </c>
      <c r="G30" s="36">
        <v>6.7698</v>
      </c>
      <c r="H30" s="36">
        <v>44.962699999999998</v>
      </c>
      <c r="I30" s="36">
        <v>11.257099999999999</v>
      </c>
      <c r="J30" s="36">
        <v>-9.3484999999999996</v>
      </c>
      <c r="K30" s="36">
        <v>-20.930099999999999</v>
      </c>
      <c r="L30" s="36">
        <v>-19.635200000000001</v>
      </c>
      <c r="M30" s="36">
        <v>-22.315100000000001</v>
      </c>
      <c r="N30" s="88">
        <v>-23.119900000000001</v>
      </c>
      <c r="O30" s="84"/>
    </row>
    <row r="31" spans="1:17" ht="18.600000000000001" customHeight="1">
      <c r="A31" s="89" t="s">
        <v>15</v>
      </c>
      <c r="B31" s="39">
        <v>5866.5889999999999</v>
      </c>
      <c r="C31" s="39">
        <v>5660.9840000000004</v>
      </c>
      <c r="D31" s="39">
        <v>5589.8239999999996</v>
      </c>
      <c r="E31" s="39">
        <v>6022.7539999999999</v>
      </c>
      <c r="F31" s="39">
        <v>5748.7640000000001</v>
      </c>
      <c r="G31" s="39">
        <v>4551.4549999999999</v>
      </c>
      <c r="H31" s="39">
        <v>4473.0609999999997</v>
      </c>
      <c r="I31" s="39">
        <v>4833.9970000000003</v>
      </c>
      <c r="J31" s="39">
        <v>4628.8940000000002</v>
      </c>
      <c r="K31" s="39">
        <v>5260.9560000000001</v>
      </c>
      <c r="L31" s="39">
        <v>5004.4160000000002</v>
      </c>
      <c r="M31" s="39">
        <v>5874.116</v>
      </c>
      <c r="N31" s="90">
        <v>6046.1350000000002</v>
      </c>
      <c r="O31" s="84"/>
    </row>
    <row r="32" spans="1:17" ht="18.600000000000001" customHeight="1">
      <c r="A32" s="85" t="s">
        <v>28</v>
      </c>
      <c r="B32" s="91">
        <v>22.597000000000001</v>
      </c>
      <c r="C32" s="91">
        <v>0.77180000000000004</v>
      </c>
      <c r="D32" s="91">
        <v>6.7759999999999998</v>
      </c>
      <c r="E32" s="91">
        <v>24.4237</v>
      </c>
      <c r="F32" s="91">
        <v>4.9797000000000002</v>
      </c>
      <c r="G32" s="91">
        <v>-4.2275999999999998</v>
      </c>
      <c r="H32" s="91">
        <v>3.6646000000000001</v>
      </c>
      <c r="I32" s="91">
        <v>18.557500000000001</v>
      </c>
      <c r="J32" s="91">
        <v>3.1351</v>
      </c>
      <c r="K32" s="91">
        <v>19.292300000000001</v>
      </c>
      <c r="L32" s="91">
        <v>-1.7972999999999999</v>
      </c>
      <c r="M32" s="91">
        <v>10.174300000000001</v>
      </c>
      <c r="N32" s="92">
        <v>3.0605000000000002</v>
      </c>
      <c r="O32" s="84"/>
    </row>
    <row r="33" spans="1:15" ht="18.600000000000001" customHeight="1">
      <c r="A33" s="89" t="s">
        <v>16</v>
      </c>
      <c r="B33" s="39">
        <v>229.667</v>
      </c>
      <c r="C33" s="39">
        <v>236.92400000000001</v>
      </c>
      <c r="D33" s="39">
        <v>221.821</v>
      </c>
      <c r="E33" s="39">
        <v>229.14500000000001</v>
      </c>
      <c r="F33" s="39">
        <v>231.15700000000001</v>
      </c>
      <c r="G33" s="39">
        <v>202.733</v>
      </c>
      <c r="H33" s="39">
        <v>224.95699999999999</v>
      </c>
      <c r="I33" s="39">
        <v>272.79300000000001</v>
      </c>
      <c r="J33" s="39">
        <v>299.73899999999998</v>
      </c>
      <c r="K33" s="39">
        <v>268.82400000000001</v>
      </c>
      <c r="L33" s="39">
        <v>226.03800000000001</v>
      </c>
      <c r="M33" s="39">
        <v>230.756</v>
      </c>
      <c r="N33" s="90">
        <v>162.32400000000001</v>
      </c>
      <c r="O33" s="84"/>
    </row>
    <row r="34" spans="1:15" ht="18.600000000000001" customHeight="1">
      <c r="A34" s="93" t="s">
        <v>10</v>
      </c>
      <c r="B34" s="94">
        <v>-21.207100000000001</v>
      </c>
      <c r="C34" s="94">
        <v>-27.129000000000001</v>
      </c>
      <c r="D34" s="94">
        <v>-7.5506000000000002</v>
      </c>
      <c r="E34" s="94">
        <v>-13.632300000000001</v>
      </c>
      <c r="F34" s="94">
        <v>-8.5205000000000002</v>
      </c>
      <c r="G34" s="94">
        <v>-13.719200000000001</v>
      </c>
      <c r="H34" s="94">
        <v>2.8500999999999999</v>
      </c>
      <c r="I34" s="94">
        <v>6.3365</v>
      </c>
      <c r="J34" s="94">
        <v>7.6692</v>
      </c>
      <c r="K34" s="94">
        <v>9.5000999999999998</v>
      </c>
      <c r="L34" s="94">
        <v>-11.583</v>
      </c>
      <c r="M34" s="94">
        <v>-10.4755</v>
      </c>
      <c r="N34" s="95">
        <v>-29.321899999999999</v>
      </c>
      <c r="O34" s="84"/>
    </row>
    <row r="35" spans="1:15" ht="18" customHeight="1">
      <c r="A35" s="96" t="s">
        <v>36</v>
      </c>
      <c r="O35" s="97"/>
    </row>
    <row r="36" spans="1:15" ht="18" customHeight="1">
      <c r="A36" s="75" t="s">
        <v>37</v>
      </c>
    </row>
    <row r="37" spans="1:15" ht="18" customHeight="1">
      <c r="A37" s="96" t="s">
        <v>118</v>
      </c>
    </row>
    <row r="38" spans="1:15">
      <c r="A38" s="9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5" orientation="portrait" useFirstPageNumber="1" r:id="rId1"/>
  <headerFooter differentOddEven="1"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0"/>
  <sheetViews>
    <sheetView view="pageBreakPreview" zoomScale="106" zoomScaleNormal="100" zoomScaleSheetLayoutView="106" workbookViewId="0">
      <selection activeCell="A2" sqref="A2"/>
    </sheetView>
  </sheetViews>
  <sheetFormatPr defaultColWidth="9" defaultRowHeight="16.5"/>
  <cols>
    <col min="1" max="1" width="8.625" style="48" customWidth="1"/>
    <col min="2" max="14" width="6.125" style="48" customWidth="1"/>
    <col min="15" max="15" width="6.875" style="48" customWidth="1"/>
    <col min="16" max="16384" width="9" style="48"/>
  </cols>
  <sheetData>
    <row r="1" spans="1:15" ht="38.25" customHeight="1"/>
    <row r="2" spans="1:15" ht="38.25" customHeight="1">
      <c r="A2" s="100" t="s">
        <v>38</v>
      </c>
    </row>
    <row r="3" spans="1:15" ht="18" customHeight="1">
      <c r="A3" s="51" t="s">
        <v>39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  <c r="O4" s="52"/>
    </row>
    <row r="5" spans="1:15" ht="20.100000000000001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20.100000000000001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20.100000000000001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20.100000000000001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20.100000000000001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20.100000000000001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0.100000000000001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0.100000000000001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0.100000000000001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0.100000000000001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20.100000000000001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0.100000000000001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20.100000000000001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0.100000000000001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8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95" customHeight="1">
      <c r="A20" s="76" t="s">
        <v>8</v>
      </c>
      <c r="B20" s="77">
        <v>2025.04</v>
      </c>
      <c r="C20" s="77">
        <v>2025.05</v>
      </c>
      <c r="D20" s="77">
        <v>2025.06</v>
      </c>
      <c r="E20" s="77">
        <v>2025.07</v>
      </c>
      <c r="F20" s="77">
        <v>2025.08</v>
      </c>
      <c r="G20" s="77">
        <v>2025.09</v>
      </c>
      <c r="H20" s="77">
        <v>2025.1</v>
      </c>
      <c r="I20" s="77">
        <v>2025.11</v>
      </c>
      <c r="J20" s="77">
        <v>2025.12</v>
      </c>
      <c r="K20" s="77">
        <v>2026.01</v>
      </c>
      <c r="L20" s="102">
        <v>2026.02</v>
      </c>
      <c r="M20" s="77">
        <v>2026.03</v>
      </c>
      <c r="N20" s="103">
        <v>2026.04</v>
      </c>
      <c r="O20" s="57"/>
    </row>
    <row r="21" spans="1:15" ht="15.95" customHeight="1">
      <c r="A21" s="79" t="s">
        <v>35</v>
      </c>
      <c r="B21" s="80">
        <v>44541.39</v>
      </c>
      <c r="C21" s="80">
        <v>45407.635999999999</v>
      </c>
      <c r="D21" s="80">
        <v>47510.582999999999</v>
      </c>
      <c r="E21" s="80">
        <v>57143.165000000001</v>
      </c>
      <c r="F21" s="80">
        <v>57162.279000000002</v>
      </c>
      <c r="G21" s="80">
        <v>50729.345999999998</v>
      </c>
      <c r="H21" s="80">
        <v>45262.173999999999</v>
      </c>
      <c r="I21" s="80">
        <v>45682.614000000001</v>
      </c>
      <c r="J21" s="80">
        <v>52134.974000000002</v>
      </c>
      <c r="K21" s="80">
        <v>55149.417999999998</v>
      </c>
      <c r="L21" s="80">
        <v>45941.607000000004</v>
      </c>
      <c r="M21" s="80">
        <v>47974.148999999998</v>
      </c>
      <c r="N21" s="81">
        <v>44378.146999999997</v>
      </c>
    </row>
    <row r="22" spans="1:15" ht="15.95" customHeight="1">
      <c r="A22" s="82" t="s">
        <v>28</v>
      </c>
      <c r="B22" s="31">
        <v>1.097</v>
      </c>
      <c r="C22" s="31">
        <v>-5.0000000000000001E-3</v>
      </c>
      <c r="D22" s="31">
        <v>0.373</v>
      </c>
      <c r="E22" s="31">
        <v>5.0140000000000002</v>
      </c>
      <c r="F22" s="31">
        <v>-2.7170000000000001</v>
      </c>
      <c r="G22" s="31">
        <v>-1.7000000000000001E-2</v>
      </c>
      <c r="H22" s="31">
        <v>-1.978</v>
      </c>
      <c r="I22" s="31">
        <v>-0.27400000000000002</v>
      </c>
      <c r="J22" s="31">
        <v>-0.13700000000000001</v>
      </c>
      <c r="K22" s="31">
        <v>5.1769999999999996</v>
      </c>
      <c r="L22" s="31">
        <v>-6.3789999999999996</v>
      </c>
      <c r="M22" s="31">
        <v>-1.2230000000000001</v>
      </c>
      <c r="N22" s="83">
        <v>-0.36599999999999999</v>
      </c>
    </row>
    <row r="23" spans="1:15" ht="15.95" customHeight="1">
      <c r="A23" s="85" t="s">
        <v>22</v>
      </c>
      <c r="B23" s="33">
        <v>15930.975</v>
      </c>
      <c r="C23" s="33">
        <v>15888.942999999999</v>
      </c>
      <c r="D23" s="33">
        <v>15062.355</v>
      </c>
      <c r="E23" s="33">
        <v>15253.08</v>
      </c>
      <c r="F23" s="33">
        <v>14068.521000000001</v>
      </c>
      <c r="G23" s="33">
        <v>14251.332</v>
      </c>
      <c r="H23" s="33">
        <v>13750.289000000001</v>
      </c>
      <c r="I23" s="33">
        <v>13057.03</v>
      </c>
      <c r="J23" s="33">
        <v>15440.541999999999</v>
      </c>
      <c r="K23" s="33">
        <v>14647.019</v>
      </c>
      <c r="L23" s="33">
        <v>12072.444</v>
      </c>
      <c r="M23" s="33">
        <v>13248.62</v>
      </c>
      <c r="N23" s="86">
        <v>13608.608</v>
      </c>
    </row>
    <row r="24" spans="1:15" ht="15.95" customHeight="1">
      <c r="A24" s="87" t="s">
        <v>28</v>
      </c>
      <c r="B24" s="36">
        <v>8.9890000000000008</v>
      </c>
      <c r="C24" s="36">
        <v>-0.83799999999999997</v>
      </c>
      <c r="D24" s="36">
        <v>-0.10199999999999999</v>
      </c>
      <c r="E24" s="36">
        <v>-7.4660000000000002</v>
      </c>
      <c r="F24" s="36">
        <v>-9.2829999999999995</v>
      </c>
      <c r="G24" s="36">
        <v>-10.068</v>
      </c>
      <c r="H24" s="36">
        <v>-19.462</v>
      </c>
      <c r="I24" s="36">
        <v>-19.12</v>
      </c>
      <c r="J24" s="36">
        <v>-7.6239999999999997</v>
      </c>
      <c r="K24" s="36">
        <v>-18.14</v>
      </c>
      <c r="L24" s="36">
        <v>-25.613</v>
      </c>
      <c r="M24" s="36">
        <v>-25.853000000000002</v>
      </c>
      <c r="N24" s="88">
        <v>-14.577999999999999</v>
      </c>
    </row>
    <row r="25" spans="1:15" ht="15.95" customHeight="1">
      <c r="A25" s="89" t="s">
        <v>23</v>
      </c>
      <c r="B25" s="39">
        <v>8145.491</v>
      </c>
      <c r="C25" s="39">
        <v>10508.992</v>
      </c>
      <c r="D25" s="39">
        <v>13762.206</v>
      </c>
      <c r="E25" s="39">
        <v>20404.626</v>
      </c>
      <c r="F25" s="39">
        <v>21148.749</v>
      </c>
      <c r="G25" s="39">
        <v>19059.849999999999</v>
      </c>
      <c r="H25" s="39">
        <v>13425.121999999999</v>
      </c>
      <c r="I25" s="39">
        <v>13262.166999999999</v>
      </c>
      <c r="J25" s="39">
        <v>17227.958999999999</v>
      </c>
      <c r="K25" s="39">
        <v>16821.429</v>
      </c>
      <c r="L25" s="39">
        <v>13629.168</v>
      </c>
      <c r="M25" s="39">
        <v>12445.218000000001</v>
      </c>
      <c r="N25" s="90">
        <v>11048.07</v>
      </c>
    </row>
    <row r="26" spans="1:15" ht="15.95" customHeight="1">
      <c r="A26" s="87" t="s">
        <v>28</v>
      </c>
      <c r="B26" s="36">
        <v>-27.748000000000001</v>
      </c>
      <c r="C26" s="36">
        <v>5.2629999999999999</v>
      </c>
      <c r="D26" s="36">
        <v>9.7690000000000001</v>
      </c>
      <c r="E26" s="36">
        <v>26.033000000000001</v>
      </c>
      <c r="F26" s="36">
        <v>9.6999999999999993</v>
      </c>
      <c r="G26" s="36">
        <v>26.359000000000002</v>
      </c>
      <c r="H26" s="36">
        <v>17.349</v>
      </c>
      <c r="I26" s="36">
        <v>15.183</v>
      </c>
      <c r="J26" s="36">
        <v>16.827000000000002</v>
      </c>
      <c r="K26" s="36">
        <v>27.902999999999999</v>
      </c>
      <c r="L26" s="36">
        <v>20.587</v>
      </c>
      <c r="M26" s="36">
        <v>31.988</v>
      </c>
      <c r="N26" s="88">
        <v>35.634</v>
      </c>
    </row>
    <row r="27" spans="1:15" ht="15.95" customHeight="1">
      <c r="A27" s="89" t="s">
        <v>24</v>
      </c>
      <c r="B27" s="39">
        <v>13438.132</v>
      </c>
      <c r="C27" s="39">
        <v>11989.437</v>
      </c>
      <c r="D27" s="39">
        <v>11743.815000000001</v>
      </c>
      <c r="E27" s="39">
        <v>14254.402</v>
      </c>
      <c r="F27" s="39">
        <v>15085.864</v>
      </c>
      <c r="G27" s="39">
        <v>11679.615</v>
      </c>
      <c r="H27" s="39">
        <v>12241.133</v>
      </c>
      <c r="I27" s="39">
        <v>13263.477999999999</v>
      </c>
      <c r="J27" s="39">
        <v>13592.942999999999</v>
      </c>
      <c r="K27" s="39">
        <v>17285.042000000001</v>
      </c>
      <c r="L27" s="39">
        <v>14203.977000000001</v>
      </c>
      <c r="M27" s="39">
        <v>15362.612999999999</v>
      </c>
      <c r="N27" s="90">
        <v>12634.191999999999</v>
      </c>
    </row>
    <row r="28" spans="1:15" ht="15.95" customHeight="1">
      <c r="A28" s="87" t="s">
        <v>28</v>
      </c>
      <c r="B28" s="36">
        <v>13.544</v>
      </c>
      <c r="C28" s="36">
        <v>-1.875</v>
      </c>
      <c r="D28" s="36">
        <v>-10.288</v>
      </c>
      <c r="E28" s="36">
        <v>-7.0339999999999998</v>
      </c>
      <c r="F28" s="36">
        <v>-11.972</v>
      </c>
      <c r="G28" s="36">
        <v>-15.728999999999999</v>
      </c>
      <c r="H28" s="36">
        <v>0.88</v>
      </c>
      <c r="I28" s="36">
        <v>2.601</v>
      </c>
      <c r="J28" s="36">
        <v>-9.5730000000000004</v>
      </c>
      <c r="K28" s="36">
        <v>9.7750000000000004</v>
      </c>
      <c r="L28" s="36">
        <v>-7.21</v>
      </c>
      <c r="M28" s="36">
        <v>4.0220000000000002</v>
      </c>
      <c r="N28" s="88">
        <v>-5.9829999999999997</v>
      </c>
    </row>
    <row r="29" spans="1:15" ht="15.95" customHeight="1">
      <c r="A29" s="89" t="s">
        <v>25</v>
      </c>
      <c r="B29" s="39">
        <v>6267.1139999999996</v>
      </c>
      <c r="C29" s="39">
        <v>6226.0720000000001</v>
      </c>
      <c r="D29" s="39">
        <v>6244.2079999999996</v>
      </c>
      <c r="E29" s="39">
        <v>6551.0290000000005</v>
      </c>
      <c r="F29" s="39">
        <v>6250.6220000000003</v>
      </c>
      <c r="G29" s="39">
        <v>5113.3599999999997</v>
      </c>
      <c r="H29" s="39">
        <v>5179.6949999999997</v>
      </c>
      <c r="I29" s="39">
        <v>5277.259</v>
      </c>
      <c r="J29" s="39">
        <v>5032.1670000000004</v>
      </c>
      <c r="K29" s="39">
        <v>5656.2439999999997</v>
      </c>
      <c r="L29" s="39">
        <v>5366.2449999999999</v>
      </c>
      <c r="M29" s="39">
        <v>6234.009</v>
      </c>
      <c r="N29" s="90">
        <v>6431.82</v>
      </c>
    </row>
    <row r="30" spans="1:15" ht="15.95" customHeight="1">
      <c r="A30" s="87" t="s">
        <v>28</v>
      </c>
      <c r="B30" s="36">
        <v>13.696</v>
      </c>
      <c r="C30" s="36">
        <v>-1.079</v>
      </c>
      <c r="D30" s="36">
        <v>5.8869999999999996</v>
      </c>
      <c r="E30" s="36">
        <v>15.451000000000001</v>
      </c>
      <c r="F30" s="36">
        <v>2.5179999999999998</v>
      </c>
      <c r="G30" s="36">
        <v>-2.4209999999999998</v>
      </c>
      <c r="H30" s="36">
        <v>8.9120000000000008</v>
      </c>
      <c r="I30" s="36">
        <v>18.312000000000001</v>
      </c>
      <c r="J30" s="36">
        <v>3.0590000000000002</v>
      </c>
      <c r="K30" s="36">
        <v>17.23</v>
      </c>
      <c r="L30" s="36">
        <v>-1.85</v>
      </c>
      <c r="M30" s="36">
        <v>9.6709999999999994</v>
      </c>
      <c r="N30" s="88">
        <v>2.6280000000000001</v>
      </c>
    </row>
    <row r="31" spans="1:15" ht="15.95" customHeight="1">
      <c r="A31" s="89" t="s">
        <v>26</v>
      </c>
      <c r="B31" s="39">
        <v>76.597999999999999</v>
      </c>
      <c r="C31" s="39">
        <v>112.58799999999999</v>
      </c>
      <c r="D31" s="39">
        <v>106.10299999999999</v>
      </c>
      <c r="E31" s="39">
        <v>81.891000000000005</v>
      </c>
      <c r="F31" s="39">
        <v>64.465000000000003</v>
      </c>
      <c r="G31" s="39">
        <v>102.593</v>
      </c>
      <c r="H31" s="39">
        <v>61.792000000000002</v>
      </c>
      <c r="I31" s="39">
        <v>101.196</v>
      </c>
      <c r="J31" s="39">
        <v>118.199</v>
      </c>
      <c r="K31" s="39">
        <v>107.502</v>
      </c>
      <c r="L31" s="39">
        <v>109.26300000000001</v>
      </c>
      <c r="M31" s="39">
        <v>88.835999999999999</v>
      </c>
      <c r="N31" s="90">
        <v>121.526</v>
      </c>
    </row>
    <row r="32" spans="1:15" ht="15.95" customHeight="1">
      <c r="A32" s="105" t="s">
        <v>28</v>
      </c>
      <c r="B32" s="106">
        <v>-9.0779999999999994</v>
      </c>
      <c r="C32" s="106">
        <v>27.244</v>
      </c>
      <c r="D32" s="106">
        <v>-0.7</v>
      </c>
      <c r="E32" s="106">
        <v>-10.746</v>
      </c>
      <c r="F32" s="106">
        <v>-36.406999999999996</v>
      </c>
      <c r="G32" s="106">
        <v>4.782</v>
      </c>
      <c r="H32" s="106">
        <v>-44.113999999999997</v>
      </c>
      <c r="I32" s="106">
        <v>3.343</v>
      </c>
      <c r="J32" s="106">
        <v>8.5359999999999996</v>
      </c>
      <c r="K32" s="106">
        <v>-10.221</v>
      </c>
      <c r="L32" s="106">
        <v>1.5189999999999999</v>
      </c>
      <c r="M32" s="106">
        <v>4.4139999999999997</v>
      </c>
      <c r="N32" s="202">
        <v>58.654000000000003</v>
      </c>
    </row>
    <row r="33" spans="1:14" ht="15.95" customHeight="1">
      <c r="A33" s="85" t="s">
        <v>27</v>
      </c>
      <c r="B33" s="33">
        <v>427.03899999999999</v>
      </c>
      <c r="C33" s="33">
        <v>421.63099999999997</v>
      </c>
      <c r="D33" s="33">
        <v>345.411</v>
      </c>
      <c r="E33" s="33">
        <v>347.45800000000003</v>
      </c>
      <c r="F33" s="33">
        <v>297.12400000000002</v>
      </c>
      <c r="G33" s="33">
        <v>294.89499999999998</v>
      </c>
      <c r="H33" s="33">
        <v>349.06099999999998</v>
      </c>
      <c r="I33" s="33">
        <v>371.089</v>
      </c>
      <c r="J33" s="33">
        <v>334.19799999999998</v>
      </c>
      <c r="K33" s="33">
        <v>290.488</v>
      </c>
      <c r="L33" s="33">
        <v>259.21199999999999</v>
      </c>
      <c r="M33" s="33">
        <v>288.95100000000002</v>
      </c>
      <c r="N33" s="86">
        <v>275.42200000000003</v>
      </c>
    </row>
    <row r="34" spans="1:14" ht="15.95" customHeight="1">
      <c r="A34" s="87" t="s">
        <v>10</v>
      </c>
      <c r="B34" s="36">
        <v>0.46200000000000002</v>
      </c>
      <c r="C34" s="36">
        <v>-9.2460000000000004</v>
      </c>
      <c r="D34" s="36">
        <v>-0.79300000000000004</v>
      </c>
      <c r="E34" s="36">
        <v>0.81499999999999995</v>
      </c>
      <c r="F34" s="36">
        <v>-20.076000000000001</v>
      </c>
      <c r="G34" s="36">
        <v>-16.358000000000001</v>
      </c>
      <c r="H34" s="36">
        <v>-13.893000000000001</v>
      </c>
      <c r="I34" s="36">
        <v>-0.51800000000000002</v>
      </c>
      <c r="J34" s="36">
        <v>-16.786000000000001</v>
      </c>
      <c r="K34" s="36">
        <v>-30.484999999999999</v>
      </c>
      <c r="L34" s="36">
        <v>-30.683</v>
      </c>
      <c r="M34" s="36">
        <v>-34.981999999999999</v>
      </c>
      <c r="N34" s="88">
        <v>-35.503999999999998</v>
      </c>
    </row>
    <row r="35" spans="1:14" ht="15.95" customHeight="1">
      <c r="A35" s="85" t="s">
        <v>16</v>
      </c>
      <c r="B35" s="71">
        <v>256.041</v>
      </c>
      <c r="C35" s="71">
        <v>259.97500000000002</v>
      </c>
      <c r="D35" s="71">
        <v>246.48599999999999</v>
      </c>
      <c r="E35" s="71">
        <v>250.679</v>
      </c>
      <c r="F35" s="71">
        <v>246.934</v>
      </c>
      <c r="G35" s="71">
        <v>227.70099999999999</v>
      </c>
      <c r="H35" s="71">
        <v>255.083</v>
      </c>
      <c r="I35" s="71">
        <v>350.39400000000001</v>
      </c>
      <c r="J35" s="71">
        <v>388.96600000000001</v>
      </c>
      <c r="K35" s="71">
        <v>341.69299999999998</v>
      </c>
      <c r="L35" s="71">
        <v>301.29899999999998</v>
      </c>
      <c r="M35" s="71">
        <v>305.90199999999999</v>
      </c>
      <c r="N35" s="86">
        <v>258.50900000000001</v>
      </c>
    </row>
    <row r="36" spans="1:14" ht="15.95" customHeight="1">
      <c r="A36" s="93" t="s">
        <v>10</v>
      </c>
      <c r="B36" s="73">
        <v>-17.503</v>
      </c>
      <c r="C36" s="73">
        <v>-22.997</v>
      </c>
      <c r="D36" s="73">
        <v>-10.814</v>
      </c>
      <c r="E36" s="73">
        <v>-15.765000000000001</v>
      </c>
      <c r="F36" s="73">
        <v>-6.6189999999999998</v>
      </c>
      <c r="G36" s="73">
        <v>-11.407999999999999</v>
      </c>
      <c r="H36" s="73">
        <v>-0.35799999999999998</v>
      </c>
      <c r="I36" s="73">
        <v>20.015999999999998</v>
      </c>
      <c r="J36" s="73">
        <v>21.663</v>
      </c>
      <c r="K36" s="73">
        <v>21.152000000000001</v>
      </c>
      <c r="L36" s="73">
        <v>6.1050000000000004</v>
      </c>
      <c r="M36" s="73">
        <v>6.0590000000000002</v>
      </c>
      <c r="N36" s="95">
        <v>0.96399999999999997</v>
      </c>
    </row>
    <row r="37" spans="1:14" ht="18" customHeight="1">
      <c r="A37" s="96" t="s">
        <v>120</v>
      </c>
      <c r="K37" s="107"/>
      <c r="L37" s="108"/>
      <c r="M37" s="108"/>
    </row>
    <row r="38" spans="1:14" ht="18" customHeight="1">
      <c r="A38" s="75" t="s">
        <v>30</v>
      </c>
      <c r="K38" s="107"/>
      <c r="L38" s="108"/>
      <c r="M38" s="108"/>
    </row>
    <row r="39" spans="1:14" ht="18" customHeight="1">
      <c r="A39" s="96" t="s">
        <v>119</v>
      </c>
    </row>
    <row r="40" spans="1:14">
      <c r="A40" s="98" t="s">
        <v>70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6" orientation="portrait" useFirstPageNumber="1" r:id="rId1"/>
  <headerFooter differentOddEven="1"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O32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6384" width="9" style="48"/>
  </cols>
  <sheetData>
    <row r="1" spans="1:14" ht="38.25" customHeight="1"/>
    <row r="2" spans="1:14" ht="38.25" customHeight="1">
      <c r="A2" s="100" t="s">
        <v>40</v>
      </c>
    </row>
    <row r="3" spans="1:14" ht="18" customHeight="1">
      <c r="A3" s="51" t="s">
        <v>41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</row>
    <row r="5" spans="1:14" ht="21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21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21.7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21.7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21.7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21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21.7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4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21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1.7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21.7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21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5" ht="21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5" ht="21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5" ht="21.7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5" ht="23.45" customHeight="1">
      <c r="A20" s="76" t="s">
        <v>8</v>
      </c>
      <c r="B20" s="77">
        <v>2025.04</v>
      </c>
      <c r="C20" s="77">
        <v>2025.05</v>
      </c>
      <c r="D20" s="77">
        <v>2025.06</v>
      </c>
      <c r="E20" s="77">
        <v>2025.07</v>
      </c>
      <c r="F20" s="77">
        <v>2025.08</v>
      </c>
      <c r="G20" s="77">
        <v>2025.09</v>
      </c>
      <c r="H20" s="77">
        <v>2025.1</v>
      </c>
      <c r="I20" s="77">
        <v>2025.11</v>
      </c>
      <c r="J20" s="77">
        <v>2025.12</v>
      </c>
      <c r="K20" s="77">
        <v>2026.01</v>
      </c>
      <c r="L20" s="77">
        <v>2026.02</v>
      </c>
      <c r="M20" s="77">
        <v>2026.03</v>
      </c>
      <c r="N20" s="109">
        <v>2026.04</v>
      </c>
    </row>
    <row r="21" spans="1:15" ht="23.45" customHeight="1">
      <c r="A21" s="79" t="s">
        <v>42</v>
      </c>
      <c r="B21" s="80">
        <v>43116.89</v>
      </c>
      <c r="C21" s="80">
        <v>41218.597999999998</v>
      </c>
      <c r="D21" s="80">
        <v>43005.887999999999</v>
      </c>
      <c r="E21" s="80">
        <v>48824.406999999999</v>
      </c>
      <c r="F21" s="80">
        <v>52118.546000000002</v>
      </c>
      <c r="G21" s="80">
        <v>50563.48</v>
      </c>
      <c r="H21" s="80">
        <v>42125.027999999998</v>
      </c>
      <c r="I21" s="80">
        <v>42075.519</v>
      </c>
      <c r="J21" s="80">
        <v>45350.654000000002</v>
      </c>
      <c r="K21" s="80">
        <v>49352.71</v>
      </c>
      <c r="L21" s="80">
        <v>47135.764999999999</v>
      </c>
      <c r="M21" s="80">
        <v>43253.56</v>
      </c>
      <c r="N21" s="110">
        <v>42728.381999999998</v>
      </c>
    </row>
    <row r="22" spans="1:15" ht="23.45" customHeight="1">
      <c r="A22" s="82" t="s">
        <v>28</v>
      </c>
      <c r="B22" s="31">
        <v>0.8085</v>
      </c>
      <c r="C22" s="31">
        <v>4.4499999999999998E-2</v>
      </c>
      <c r="D22" s="31">
        <v>0.44440000000000002</v>
      </c>
      <c r="E22" s="31">
        <v>3.6697000000000002</v>
      </c>
      <c r="F22" s="31">
        <v>-0.57489999999999997</v>
      </c>
      <c r="G22" s="31">
        <v>0.35699999999999998</v>
      </c>
      <c r="H22" s="31">
        <v>-4.4569000000000001</v>
      </c>
      <c r="I22" s="31">
        <v>0.34620000000000001</v>
      </c>
      <c r="J22" s="31">
        <v>-0.1469</v>
      </c>
      <c r="K22" s="31">
        <v>1.1399999999999999</v>
      </c>
      <c r="L22" s="31">
        <v>0.15010000000000001</v>
      </c>
      <c r="M22" s="31">
        <v>-4.2145000000000001</v>
      </c>
      <c r="N22" s="111">
        <v>-0.90110000000000001</v>
      </c>
      <c r="O22" s="112"/>
    </row>
    <row r="23" spans="1:15" ht="23.45" customHeight="1">
      <c r="A23" s="85" t="s">
        <v>43</v>
      </c>
      <c r="B23" s="33">
        <v>23176.313999999998</v>
      </c>
      <c r="C23" s="33">
        <v>22926.077000000001</v>
      </c>
      <c r="D23" s="33">
        <v>23155.440999999999</v>
      </c>
      <c r="E23" s="33">
        <v>24682.141</v>
      </c>
      <c r="F23" s="33">
        <v>24310.506000000001</v>
      </c>
      <c r="G23" s="33">
        <v>24292.925999999999</v>
      </c>
      <c r="H23" s="33">
        <v>22157.343000000001</v>
      </c>
      <c r="I23" s="33">
        <v>22225.059000000001</v>
      </c>
      <c r="J23" s="33">
        <v>23301.881000000001</v>
      </c>
      <c r="K23" s="33">
        <v>23907.056</v>
      </c>
      <c r="L23" s="33">
        <v>21844.933000000001</v>
      </c>
      <c r="M23" s="33">
        <v>22542.825000000001</v>
      </c>
      <c r="N23" s="34">
        <v>22803.29</v>
      </c>
      <c r="O23" s="112"/>
    </row>
    <row r="24" spans="1:15" ht="23.45" customHeight="1">
      <c r="A24" s="87" t="s">
        <v>28</v>
      </c>
      <c r="B24" s="36">
        <v>-0.55010000000000003</v>
      </c>
      <c r="C24" s="36">
        <v>-1.9277</v>
      </c>
      <c r="D24" s="36">
        <v>-1.0664</v>
      </c>
      <c r="E24" s="36">
        <v>-0.185</v>
      </c>
      <c r="F24" s="36">
        <v>-1.7507999999999999</v>
      </c>
      <c r="G24" s="36">
        <v>2.3828</v>
      </c>
      <c r="H24" s="36">
        <v>-6.9476000000000004</v>
      </c>
      <c r="I24" s="36">
        <v>-2.3260000000000001</v>
      </c>
      <c r="J24" s="36">
        <v>-1.7606999999999999</v>
      </c>
      <c r="K24" s="36">
        <v>-1.9800000000000002E-2</v>
      </c>
      <c r="L24" s="36">
        <v>-2.1703999999999999</v>
      </c>
      <c r="M24" s="36">
        <v>-5.0921000000000003</v>
      </c>
      <c r="N24" s="37">
        <v>-1.6094999999999999</v>
      </c>
      <c r="O24" s="112"/>
    </row>
    <row r="25" spans="1:15" ht="23.45" customHeight="1">
      <c r="A25" s="89" t="s">
        <v>44</v>
      </c>
      <c r="B25" s="39">
        <v>10054.927</v>
      </c>
      <c r="C25" s="39">
        <v>9497.6710000000003</v>
      </c>
      <c r="D25" s="39">
        <v>10584.628000000001</v>
      </c>
      <c r="E25" s="39">
        <v>12714.08</v>
      </c>
      <c r="F25" s="39">
        <v>13977.984</v>
      </c>
      <c r="G25" s="39">
        <v>13208.287</v>
      </c>
      <c r="H25" s="39">
        <v>10461.447</v>
      </c>
      <c r="I25" s="39">
        <v>9972.8819999999996</v>
      </c>
      <c r="J25" s="39">
        <v>11390.087</v>
      </c>
      <c r="K25" s="39">
        <v>13328.273999999999</v>
      </c>
      <c r="L25" s="39">
        <v>13162.245999999999</v>
      </c>
      <c r="M25" s="39">
        <v>10592.62</v>
      </c>
      <c r="N25" s="40">
        <v>10181.671</v>
      </c>
      <c r="O25" s="112"/>
    </row>
    <row r="26" spans="1:15" ht="23.45" customHeight="1">
      <c r="A26" s="87" t="s">
        <v>10</v>
      </c>
      <c r="B26" s="36">
        <v>2.8946999999999998</v>
      </c>
      <c r="C26" s="36">
        <v>2.1966000000000001</v>
      </c>
      <c r="D26" s="36">
        <v>2.1038000000000001</v>
      </c>
      <c r="E26" s="36">
        <v>6.2908999999999997</v>
      </c>
      <c r="F26" s="36">
        <v>0.5262</v>
      </c>
      <c r="G26" s="36">
        <v>0.32029999999999997</v>
      </c>
      <c r="H26" s="36">
        <v>0.63039999999999996</v>
      </c>
      <c r="I26" s="36">
        <v>3.3437999999999999</v>
      </c>
      <c r="J26" s="36">
        <v>2.3119000000000001</v>
      </c>
      <c r="K26" s="36">
        <v>3.9885000000000002</v>
      </c>
      <c r="L26" s="36">
        <v>4.0107999999999997</v>
      </c>
      <c r="M26" s="36">
        <v>-3.5423</v>
      </c>
      <c r="N26" s="37">
        <v>1.2605</v>
      </c>
      <c r="O26" s="112"/>
    </row>
    <row r="27" spans="1:15" ht="23.45" customHeight="1">
      <c r="A27" s="89" t="s">
        <v>45</v>
      </c>
      <c r="B27" s="39">
        <v>6446.99</v>
      </c>
      <c r="C27" s="39">
        <v>6051.3159999999998</v>
      </c>
      <c r="D27" s="39">
        <v>6453.5940000000001</v>
      </c>
      <c r="E27" s="39">
        <v>8304.2150000000001</v>
      </c>
      <c r="F27" s="39">
        <v>10433.83</v>
      </c>
      <c r="G27" s="39">
        <v>9604.6460000000006</v>
      </c>
      <c r="H27" s="39">
        <v>6800.57</v>
      </c>
      <c r="I27" s="39">
        <v>6479.8620000000001</v>
      </c>
      <c r="J27" s="39">
        <v>6752.7309999999998</v>
      </c>
      <c r="K27" s="39">
        <v>7512.6859999999997</v>
      </c>
      <c r="L27" s="39">
        <v>7509.9269999999997</v>
      </c>
      <c r="M27" s="39">
        <v>6402.7060000000001</v>
      </c>
      <c r="N27" s="40">
        <v>6478.6719999999996</v>
      </c>
      <c r="O27" s="112"/>
    </row>
    <row r="28" spans="1:15" ht="23.45" customHeight="1">
      <c r="A28" s="87" t="s">
        <v>10</v>
      </c>
      <c r="B28" s="36">
        <v>1.9565999999999999</v>
      </c>
      <c r="C28" s="36">
        <v>2.9062999999999999</v>
      </c>
      <c r="D28" s="36">
        <v>3.5320999999999998</v>
      </c>
      <c r="E28" s="36">
        <v>10.9415</v>
      </c>
      <c r="F28" s="36">
        <v>0.86280000000000001</v>
      </c>
      <c r="G28" s="36">
        <v>-3.7048999999999999</v>
      </c>
      <c r="H28" s="36">
        <v>-4.6868999999999996</v>
      </c>
      <c r="I28" s="36">
        <v>3.4807999999999999</v>
      </c>
      <c r="J28" s="36">
        <v>1.7981</v>
      </c>
      <c r="K28" s="36">
        <v>2.4091</v>
      </c>
      <c r="L28" s="36">
        <v>1.6546000000000001</v>
      </c>
      <c r="M28" s="36">
        <v>-0.30730000000000002</v>
      </c>
      <c r="N28" s="37">
        <v>0.4914</v>
      </c>
      <c r="O28" s="112"/>
    </row>
    <row r="29" spans="1:15" ht="23.45" customHeight="1">
      <c r="A29" s="89" t="s">
        <v>46</v>
      </c>
      <c r="B29" s="39">
        <v>3438.66</v>
      </c>
      <c r="C29" s="39">
        <v>2743.5360000000001</v>
      </c>
      <c r="D29" s="39">
        <v>2812.2249999999999</v>
      </c>
      <c r="E29" s="39">
        <v>3123.9720000000002</v>
      </c>
      <c r="F29" s="39">
        <v>3396.2260000000001</v>
      </c>
      <c r="G29" s="39">
        <v>3457.6210000000001</v>
      </c>
      <c r="H29" s="39">
        <v>2705.6680000000001</v>
      </c>
      <c r="I29" s="39">
        <v>3397.7170000000001</v>
      </c>
      <c r="J29" s="39">
        <v>3905.9549999999999</v>
      </c>
      <c r="K29" s="39">
        <v>4604.6949999999997</v>
      </c>
      <c r="L29" s="39">
        <v>4618.6580000000004</v>
      </c>
      <c r="M29" s="39">
        <v>3715.4090000000001</v>
      </c>
      <c r="N29" s="40">
        <v>3264.7489999999998</v>
      </c>
      <c r="O29" s="112"/>
    </row>
    <row r="30" spans="1:15" ht="23.45" customHeight="1">
      <c r="A30" s="113" t="s">
        <v>10</v>
      </c>
      <c r="B30" s="114">
        <v>1.9991000000000001</v>
      </c>
      <c r="C30" s="114">
        <v>3.5442</v>
      </c>
      <c r="D30" s="114">
        <v>5.7299999999999997E-2</v>
      </c>
      <c r="E30" s="114">
        <v>6.9340000000000002</v>
      </c>
      <c r="F30" s="114">
        <v>-0.89149999999999996</v>
      </c>
      <c r="G30" s="114">
        <v>-1.6541999999999999</v>
      </c>
      <c r="H30" s="114">
        <v>-1.5232000000000001</v>
      </c>
      <c r="I30" s="114">
        <v>4.0994999999999999</v>
      </c>
      <c r="J30" s="114">
        <v>-0.65510000000000002</v>
      </c>
      <c r="K30" s="114">
        <v>-2.6819999999999999</v>
      </c>
      <c r="L30" s="114">
        <v>-1.5878000000000001</v>
      </c>
      <c r="M30" s="114">
        <v>-7.1220999999999997</v>
      </c>
      <c r="N30" s="115">
        <v>-5.0575000000000001</v>
      </c>
      <c r="O30" s="112"/>
    </row>
    <row r="31" spans="1:15" ht="18" customHeight="1">
      <c r="A31" s="96" t="s">
        <v>47</v>
      </c>
      <c r="N31" s="116"/>
    </row>
    <row r="32" spans="1:15">
      <c r="A32" s="9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7" orientation="portrait" useFirstPageNumber="1" r:id="rId1"/>
  <headerFooter differentOddEven="1"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O33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5" width="5.875" style="48" customWidth="1"/>
    <col min="16" max="16384" width="9" style="48"/>
  </cols>
  <sheetData>
    <row r="1" spans="1:15" ht="38.25" customHeight="1"/>
    <row r="2" spans="1:15" ht="38.25" customHeight="1">
      <c r="A2" s="49" t="s">
        <v>48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8" customHeight="1">
      <c r="A3" s="51" t="s">
        <v>49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  <c r="O4" s="52"/>
    </row>
    <row r="5" spans="1:15" ht="21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21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21.7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21.7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21.7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21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1.7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1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1.7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21.7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1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21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1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21.7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23.45" customHeight="1">
      <c r="A20" s="76" t="s">
        <v>8</v>
      </c>
      <c r="B20" s="77">
        <v>2025.04</v>
      </c>
      <c r="C20" s="77">
        <v>2025.05</v>
      </c>
      <c r="D20" s="77">
        <v>2025.06</v>
      </c>
      <c r="E20" s="77">
        <v>2025.07</v>
      </c>
      <c r="F20" s="77">
        <v>2025.08</v>
      </c>
      <c r="G20" s="101">
        <v>2025.09</v>
      </c>
      <c r="H20" s="77">
        <v>2025.1</v>
      </c>
      <c r="I20" s="77">
        <v>2025.11</v>
      </c>
      <c r="J20" s="77">
        <v>2025.12</v>
      </c>
      <c r="K20" s="77">
        <v>2026.01</v>
      </c>
      <c r="L20" s="102">
        <v>2026.02</v>
      </c>
      <c r="M20" s="77">
        <v>2026.03</v>
      </c>
      <c r="N20" s="109">
        <v>2026.04</v>
      </c>
      <c r="O20" s="57"/>
    </row>
    <row r="21" spans="1:15" ht="23.45" customHeight="1">
      <c r="A21" s="79" t="s">
        <v>42</v>
      </c>
      <c r="B21" s="80">
        <v>43116.89</v>
      </c>
      <c r="C21" s="80">
        <v>41218.597999999998</v>
      </c>
      <c r="D21" s="80">
        <v>43005.887999999999</v>
      </c>
      <c r="E21" s="80">
        <v>48824.406999999999</v>
      </c>
      <c r="F21" s="80">
        <v>52118.546000000002</v>
      </c>
      <c r="G21" s="80">
        <v>50563.48</v>
      </c>
      <c r="H21" s="80">
        <v>42125.027999999998</v>
      </c>
      <c r="I21" s="80">
        <v>42075.519</v>
      </c>
      <c r="J21" s="80">
        <v>45350.654000000002</v>
      </c>
      <c r="K21" s="80">
        <v>49352.71</v>
      </c>
      <c r="L21" s="80">
        <v>47135.764999999999</v>
      </c>
      <c r="M21" s="80">
        <v>43253.56</v>
      </c>
      <c r="N21" s="110">
        <v>42728.381999999998</v>
      </c>
      <c r="O21" s="104"/>
    </row>
    <row r="22" spans="1:15" ht="23.45" customHeight="1">
      <c r="A22" s="82" t="s">
        <v>28</v>
      </c>
      <c r="B22" s="31">
        <v>0.80800000000000005</v>
      </c>
      <c r="C22" s="31">
        <v>4.3999999999999997E-2</v>
      </c>
      <c r="D22" s="31">
        <v>0.44400000000000001</v>
      </c>
      <c r="E22" s="31">
        <v>3.67</v>
      </c>
      <c r="F22" s="31">
        <v>-0.57499999999999996</v>
      </c>
      <c r="G22" s="31">
        <v>0.35699999999999998</v>
      </c>
      <c r="H22" s="31">
        <v>-4.4569999999999999</v>
      </c>
      <c r="I22" s="31">
        <v>0.34599999999999997</v>
      </c>
      <c r="J22" s="31">
        <v>-0.14699999999999999</v>
      </c>
      <c r="K22" s="31">
        <v>1.1399999999999999</v>
      </c>
      <c r="L22" s="31">
        <v>0.15</v>
      </c>
      <c r="M22" s="31">
        <v>-4.2149999999999999</v>
      </c>
      <c r="N22" s="111">
        <v>-0.90100000000000002</v>
      </c>
      <c r="O22" s="112"/>
    </row>
    <row r="23" spans="1:15" ht="23.45" customHeight="1">
      <c r="A23" s="85" t="s">
        <v>50</v>
      </c>
      <c r="B23" s="33">
        <v>20793.252</v>
      </c>
      <c r="C23" s="33">
        <v>20575.39</v>
      </c>
      <c r="D23" s="33">
        <v>20700.013999999999</v>
      </c>
      <c r="E23" s="33">
        <v>22108.085999999999</v>
      </c>
      <c r="F23" s="33">
        <v>21689.788</v>
      </c>
      <c r="G23" s="33">
        <v>21824.276999999998</v>
      </c>
      <c r="H23" s="33">
        <v>19719.477999999999</v>
      </c>
      <c r="I23" s="33">
        <v>19787.100999999999</v>
      </c>
      <c r="J23" s="33">
        <v>20804.475999999999</v>
      </c>
      <c r="K23" s="33">
        <v>21319.226999999999</v>
      </c>
      <c r="L23" s="33">
        <v>19460.95</v>
      </c>
      <c r="M23" s="33">
        <v>20093.618999999999</v>
      </c>
      <c r="N23" s="34">
        <v>20375.214</v>
      </c>
      <c r="O23" s="112"/>
    </row>
    <row r="24" spans="1:15" ht="23.45" customHeight="1">
      <c r="A24" s="87" t="s">
        <v>28</v>
      </c>
      <c r="B24" s="36">
        <v>-0.78700000000000003</v>
      </c>
      <c r="C24" s="36">
        <v>-1.9319999999999999</v>
      </c>
      <c r="D24" s="36">
        <v>-1.044</v>
      </c>
      <c r="E24" s="36">
        <v>-0.20799999999999999</v>
      </c>
      <c r="F24" s="36">
        <v>-2.1360000000000001</v>
      </c>
      <c r="G24" s="36">
        <v>2.71</v>
      </c>
      <c r="H24" s="36">
        <v>-7.5449999999999999</v>
      </c>
      <c r="I24" s="36">
        <v>-2.3660000000000001</v>
      </c>
      <c r="J24" s="36">
        <v>-2.0089999999999999</v>
      </c>
      <c r="K24" s="36">
        <v>-0.48699999999999999</v>
      </c>
      <c r="L24" s="36">
        <v>-2.5139999999999998</v>
      </c>
      <c r="M24" s="36">
        <v>-5.9379999999999997</v>
      </c>
      <c r="N24" s="117">
        <v>-2.0099999999999998</v>
      </c>
      <c r="O24" s="112"/>
    </row>
    <row r="25" spans="1:15" ht="23.45" customHeight="1">
      <c r="A25" s="89" t="s">
        <v>51</v>
      </c>
      <c r="B25" s="39">
        <v>12335.924000000001</v>
      </c>
      <c r="C25" s="39">
        <v>11487.525</v>
      </c>
      <c r="D25" s="39">
        <v>12473.561</v>
      </c>
      <c r="E25" s="39">
        <v>14550.656999999999</v>
      </c>
      <c r="F25" s="39">
        <v>15810.181</v>
      </c>
      <c r="G25" s="39">
        <v>14963.097</v>
      </c>
      <c r="H25" s="39">
        <v>12294.355</v>
      </c>
      <c r="I25" s="39">
        <v>12099.573</v>
      </c>
      <c r="J25" s="39">
        <v>13746.953</v>
      </c>
      <c r="K25" s="39">
        <v>15952.724</v>
      </c>
      <c r="L25" s="39">
        <v>15718.496999999999</v>
      </c>
      <c r="M25" s="39">
        <v>12982.259</v>
      </c>
      <c r="N25" s="40">
        <v>12438.87</v>
      </c>
      <c r="O25" s="112"/>
    </row>
    <row r="26" spans="1:15" ht="23.45" customHeight="1">
      <c r="A26" s="87" t="s">
        <v>10</v>
      </c>
      <c r="B26" s="36">
        <v>2.2949999999999999</v>
      </c>
      <c r="C26" s="36">
        <v>1.859</v>
      </c>
      <c r="D26" s="36">
        <v>1.4079999999999999</v>
      </c>
      <c r="E26" s="36">
        <v>5.242</v>
      </c>
      <c r="F26" s="36">
        <v>0.44800000000000001</v>
      </c>
      <c r="G26" s="36">
        <v>0.105</v>
      </c>
      <c r="H26" s="36">
        <v>-0.222</v>
      </c>
      <c r="I26" s="36">
        <v>2.371</v>
      </c>
      <c r="J26" s="36">
        <v>1.22</v>
      </c>
      <c r="K26" s="36">
        <v>2.7229999999999999</v>
      </c>
      <c r="L26" s="36">
        <v>2.6110000000000002</v>
      </c>
      <c r="M26" s="36">
        <v>-3.5230000000000001</v>
      </c>
      <c r="N26" s="117">
        <v>0.83499999999999996</v>
      </c>
      <c r="O26" s="112"/>
    </row>
    <row r="27" spans="1:15" ht="23.45" customHeight="1">
      <c r="A27" s="89" t="s">
        <v>52</v>
      </c>
      <c r="B27" s="39">
        <v>6247.0640000000003</v>
      </c>
      <c r="C27" s="39">
        <v>5869.5990000000002</v>
      </c>
      <c r="D27" s="39">
        <v>6260.4660000000003</v>
      </c>
      <c r="E27" s="39">
        <v>8074.509</v>
      </c>
      <c r="F27" s="39">
        <v>10165.017</v>
      </c>
      <c r="G27" s="39">
        <v>9348.3289999999997</v>
      </c>
      <c r="H27" s="39">
        <v>6601.83</v>
      </c>
      <c r="I27" s="39">
        <v>6284.34</v>
      </c>
      <c r="J27" s="39">
        <v>6535.5680000000002</v>
      </c>
      <c r="K27" s="39">
        <v>7261.3109999999997</v>
      </c>
      <c r="L27" s="39">
        <v>7249.1940000000004</v>
      </c>
      <c r="M27" s="39">
        <v>6198.5339999999997</v>
      </c>
      <c r="N27" s="40">
        <v>6277.107</v>
      </c>
      <c r="O27" s="112"/>
    </row>
    <row r="28" spans="1:15" ht="23.45" customHeight="1">
      <c r="A28" s="87" t="s">
        <v>10</v>
      </c>
      <c r="B28" s="36">
        <v>1.911</v>
      </c>
      <c r="C28" s="36">
        <v>2.9009999999999998</v>
      </c>
      <c r="D28" s="36">
        <v>3.577</v>
      </c>
      <c r="E28" s="36">
        <v>11.026</v>
      </c>
      <c r="F28" s="36">
        <v>0.85399999999999998</v>
      </c>
      <c r="G28" s="36">
        <v>-3.774</v>
      </c>
      <c r="H28" s="36">
        <v>-4.7850000000000001</v>
      </c>
      <c r="I28" s="36">
        <v>3.4780000000000002</v>
      </c>
      <c r="J28" s="36">
        <v>1.754</v>
      </c>
      <c r="K28" s="36">
        <v>2.3959999999999999</v>
      </c>
      <c r="L28" s="36">
        <v>1.47</v>
      </c>
      <c r="M28" s="36">
        <v>-0.17399999999999999</v>
      </c>
      <c r="N28" s="117">
        <v>0.48099999999999998</v>
      </c>
      <c r="O28" s="112"/>
    </row>
    <row r="29" spans="1:15" ht="23.45" customHeight="1">
      <c r="A29" s="118" t="s">
        <v>46</v>
      </c>
      <c r="B29" s="119">
        <v>3740.6509999999998</v>
      </c>
      <c r="C29" s="119">
        <v>3286.0839999999998</v>
      </c>
      <c r="D29" s="119">
        <v>3571.848</v>
      </c>
      <c r="E29" s="119">
        <v>4091.1550000000002</v>
      </c>
      <c r="F29" s="119">
        <v>4453.5590000000002</v>
      </c>
      <c r="G29" s="119">
        <v>4427.777</v>
      </c>
      <c r="H29" s="119">
        <v>3509.364</v>
      </c>
      <c r="I29" s="119">
        <v>3904.5050000000001</v>
      </c>
      <c r="J29" s="119">
        <v>4263.6570000000002</v>
      </c>
      <c r="K29" s="119">
        <v>4819.4489999999996</v>
      </c>
      <c r="L29" s="119">
        <v>4707.1229999999996</v>
      </c>
      <c r="M29" s="119">
        <v>3979.1480000000001</v>
      </c>
      <c r="N29" s="120">
        <v>3637.1909999999998</v>
      </c>
      <c r="O29" s="112"/>
    </row>
    <row r="30" spans="1:15" ht="23.45" customHeight="1">
      <c r="A30" s="113" t="s">
        <v>10</v>
      </c>
      <c r="B30" s="114">
        <v>3.2210000000000001</v>
      </c>
      <c r="C30" s="114">
        <v>1.5009999999999999</v>
      </c>
      <c r="D30" s="114">
        <v>0.54200000000000004</v>
      </c>
      <c r="E30" s="114">
        <v>6.4459999999999997</v>
      </c>
      <c r="F30" s="114">
        <v>0.35099999999999998</v>
      </c>
      <c r="G30" s="114">
        <v>-1.006</v>
      </c>
      <c r="H30" s="114">
        <v>9.8000000000000004E-2</v>
      </c>
      <c r="I30" s="114">
        <v>3.5339999999999998</v>
      </c>
      <c r="J30" s="114">
        <v>1.9450000000000001</v>
      </c>
      <c r="K30" s="114">
        <v>1.427</v>
      </c>
      <c r="L30" s="114">
        <v>1.4530000000000001</v>
      </c>
      <c r="M30" s="114">
        <v>-3.6280000000000001</v>
      </c>
      <c r="N30" s="115">
        <v>-2.766</v>
      </c>
      <c r="O30" s="112"/>
    </row>
    <row r="31" spans="1:15" ht="21.75" customHeight="1">
      <c r="A31" s="96" t="s">
        <v>53</v>
      </c>
    </row>
    <row r="32" spans="1:15">
      <c r="A32" s="96"/>
    </row>
    <row r="33" spans="2:14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8" orientation="portrait" useFirstPageNumber="1" r:id="rId1"/>
  <headerFooter differentOddEven="1"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0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2" width="6.125" style="48" customWidth="1"/>
    <col min="13" max="13" width="6.25" style="48" customWidth="1"/>
    <col min="14" max="14" width="6.5" style="48" customWidth="1"/>
    <col min="15" max="16" width="9" style="48"/>
    <col min="17" max="18" width="9" style="121"/>
    <col min="19" max="20" width="10.75" style="121" bestFit="1" customWidth="1"/>
    <col min="21" max="21" width="9.25" style="121" bestFit="1" customWidth="1"/>
    <col min="22" max="22" width="9" style="121"/>
    <col min="23" max="23" width="11.875" style="121" bestFit="1" customWidth="1"/>
    <col min="24" max="24" width="12.5" style="121" bestFit="1" customWidth="1"/>
    <col min="25" max="30" width="9.25" style="121" bestFit="1" customWidth="1"/>
    <col min="31" max="16384" width="9" style="121"/>
  </cols>
  <sheetData>
    <row r="1" spans="1:16" ht="38.25" customHeight="1"/>
    <row r="2" spans="1:16" ht="38.25" customHeight="1">
      <c r="A2" s="49" t="s">
        <v>54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6" ht="18" customHeight="1">
      <c r="A3" s="51" t="s">
        <v>55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6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7</v>
      </c>
    </row>
    <row r="5" spans="1:16" ht="26.2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6" ht="26.2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P6" s="121"/>
    </row>
    <row r="7" spans="1:16" ht="26.2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P7" s="121"/>
    </row>
    <row r="8" spans="1:16" ht="26.2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P8" s="121"/>
    </row>
    <row r="9" spans="1:16" ht="26.2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P9" s="121"/>
    </row>
    <row r="10" spans="1:16" ht="26.2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P10" s="121"/>
    </row>
    <row r="11" spans="1:16" ht="26.2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P11" s="121"/>
    </row>
    <row r="12" spans="1:16" ht="26.2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P12" s="121"/>
    </row>
    <row r="13" spans="1:16" ht="26.2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P13" s="121"/>
    </row>
    <row r="14" spans="1:16" ht="26.2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P14" s="121"/>
    </row>
    <row r="15" spans="1:16" ht="26.2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P15" s="121"/>
    </row>
    <row r="16" spans="1:16" ht="26.2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P16" s="121"/>
    </row>
    <row r="17" spans="1:16" ht="26.2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P17" s="121"/>
    </row>
    <row r="18" spans="1:16" ht="26.2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P18" s="121"/>
    </row>
    <row r="19" spans="1:16" ht="26.2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P19" s="121"/>
    </row>
    <row r="20" spans="1:16" ht="26.25" customHeight="1">
      <c r="A20" s="54" t="s">
        <v>8</v>
      </c>
      <c r="B20" s="122">
        <v>2025.04</v>
      </c>
      <c r="C20" s="122">
        <v>2025.05</v>
      </c>
      <c r="D20" s="122">
        <v>2025.06</v>
      </c>
      <c r="E20" s="122">
        <v>2025.07</v>
      </c>
      <c r="F20" s="122">
        <v>2025.08</v>
      </c>
      <c r="G20" s="122">
        <v>2025.09</v>
      </c>
      <c r="H20" s="122">
        <v>2025.1</v>
      </c>
      <c r="I20" s="122">
        <v>2025.11</v>
      </c>
      <c r="J20" s="122">
        <v>2025.12</v>
      </c>
      <c r="K20" s="122">
        <v>2026.01</v>
      </c>
      <c r="L20" s="55">
        <v>2026.02</v>
      </c>
      <c r="M20" s="262">
        <v>2026.03</v>
      </c>
      <c r="N20" s="227">
        <v>2026.04</v>
      </c>
      <c r="P20" s="121"/>
    </row>
    <row r="21" spans="1:16" ht="26.25" customHeight="1">
      <c r="A21" s="123" t="s">
        <v>62</v>
      </c>
      <c r="B21" s="124">
        <v>153931</v>
      </c>
      <c r="C21" s="124">
        <v>154557</v>
      </c>
      <c r="D21" s="124">
        <v>154917</v>
      </c>
      <c r="E21" s="124">
        <v>154955</v>
      </c>
      <c r="F21" s="124">
        <v>155385</v>
      </c>
      <c r="G21" s="124">
        <v>155655</v>
      </c>
      <c r="H21" s="124">
        <v>155960</v>
      </c>
      <c r="I21" s="124">
        <v>156253</v>
      </c>
      <c r="J21" s="124">
        <v>156637</v>
      </c>
      <c r="K21" s="124">
        <v>157113</v>
      </c>
      <c r="L21" s="124">
        <v>157285</v>
      </c>
      <c r="M21" s="124">
        <v>158244</v>
      </c>
      <c r="N21" s="125">
        <v>158337</v>
      </c>
      <c r="P21" s="121"/>
    </row>
    <row r="22" spans="1:16" ht="26.25" customHeight="1">
      <c r="A22" s="65" t="s">
        <v>65</v>
      </c>
      <c r="B22" s="126">
        <v>86002</v>
      </c>
      <c r="C22" s="126">
        <v>82818</v>
      </c>
      <c r="D22" s="126">
        <v>99615</v>
      </c>
      <c r="E22" s="126">
        <v>105151</v>
      </c>
      <c r="F22" s="126">
        <v>105011</v>
      </c>
      <c r="G22" s="126">
        <v>100937</v>
      </c>
      <c r="H22" s="126">
        <v>86525</v>
      </c>
      <c r="I22" s="126">
        <v>95666</v>
      </c>
      <c r="J22" s="126">
        <v>102715</v>
      </c>
      <c r="K22" s="126">
        <v>104185</v>
      </c>
      <c r="L22" s="126">
        <v>100026</v>
      </c>
      <c r="M22" s="126">
        <v>88072</v>
      </c>
      <c r="N22" s="127">
        <v>80768</v>
      </c>
      <c r="P22" s="121"/>
    </row>
    <row r="23" spans="1:16" ht="26.25" customHeight="1">
      <c r="A23" s="128" t="s">
        <v>66</v>
      </c>
      <c r="B23" s="129">
        <v>71667</v>
      </c>
      <c r="C23" s="129">
        <v>74239</v>
      </c>
      <c r="D23" s="129">
        <v>85599</v>
      </c>
      <c r="E23" s="129">
        <v>95675</v>
      </c>
      <c r="F23" s="129">
        <v>95951</v>
      </c>
      <c r="G23" s="129">
        <v>89532</v>
      </c>
      <c r="H23" s="129">
        <v>73212</v>
      </c>
      <c r="I23" s="129">
        <v>76163</v>
      </c>
      <c r="J23" s="129">
        <v>82812</v>
      </c>
      <c r="K23" s="129">
        <v>88548</v>
      </c>
      <c r="L23" s="129">
        <v>88950</v>
      </c>
      <c r="M23" s="129">
        <v>78424</v>
      </c>
      <c r="N23" s="130">
        <v>73633</v>
      </c>
      <c r="P23" s="121"/>
    </row>
    <row r="24" spans="1:16" ht="26.25" customHeight="1">
      <c r="A24" s="128" t="s">
        <v>67</v>
      </c>
      <c r="B24" s="129">
        <v>61863.04209835278</v>
      </c>
      <c r="C24" s="129">
        <v>61031.769324697583</v>
      </c>
      <c r="D24" s="129">
        <v>65986.921445144442</v>
      </c>
      <c r="E24" s="129">
        <v>76805.329760712368</v>
      </c>
      <c r="F24" s="129">
        <v>76831.020389818543</v>
      </c>
      <c r="G24" s="129">
        <v>70457.425086701391</v>
      </c>
      <c r="H24" s="129">
        <v>60836.255979838708</v>
      </c>
      <c r="I24" s="129">
        <v>63448.074847222226</v>
      </c>
      <c r="J24" s="129">
        <v>70073.889716397854</v>
      </c>
      <c r="K24" s="129">
        <v>74125.561267204306</v>
      </c>
      <c r="L24" s="129">
        <v>68365.487112053568</v>
      </c>
      <c r="M24" s="129">
        <v>64481.383346370974</v>
      </c>
      <c r="N24" s="131">
        <v>61636.315204861108</v>
      </c>
      <c r="P24" s="121"/>
    </row>
    <row r="25" spans="1:16" ht="26.25" customHeight="1">
      <c r="A25" s="128" t="s">
        <v>68</v>
      </c>
      <c r="B25" s="129">
        <v>14335</v>
      </c>
      <c r="C25" s="129">
        <v>8579</v>
      </c>
      <c r="D25" s="129">
        <v>14016</v>
      </c>
      <c r="E25" s="129">
        <v>9476</v>
      </c>
      <c r="F25" s="129">
        <v>9060</v>
      </c>
      <c r="G25" s="129">
        <v>11405</v>
      </c>
      <c r="H25" s="129">
        <v>13313</v>
      </c>
      <c r="I25" s="129">
        <v>19503</v>
      </c>
      <c r="J25" s="129">
        <v>19903</v>
      </c>
      <c r="K25" s="129">
        <v>15637</v>
      </c>
      <c r="L25" s="129">
        <v>11076</v>
      </c>
      <c r="M25" s="129">
        <v>9648</v>
      </c>
      <c r="N25" s="130">
        <v>7135</v>
      </c>
      <c r="P25" s="121"/>
    </row>
    <row r="26" spans="1:16" ht="26.25" customHeight="1">
      <c r="A26" s="66" t="s">
        <v>69</v>
      </c>
      <c r="B26" s="132">
        <v>20.00223254775559</v>
      </c>
      <c r="C26" s="132">
        <v>11.555920742466897</v>
      </c>
      <c r="D26" s="132">
        <v>16.374023061017066</v>
      </c>
      <c r="E26" s="132">
        <v>9.9043637313822828</v>
      </c>
      <c r="F26" s="132">
        <v>9.4423195172535994</v>
      </c>
      <c r="G26" s="132">
        <v>12.738462225796363</v>
      </c>
      <c r="H26" s="132">
        <v>18.184177457247447</v>
      </c>
      <c r="I26" s="132">
        <v>25.606921996244896</v>
      </c>
      <c r="J26" s="132">
        <v>24.033956431435058</v>
      </c>
      <c r="K26" s="132">
        <v>17.65934860188824</v>
      </c>
      <c r="L26" s="132">
        <v>12.451939291736931</v>
      </c>
      <c r="M26" s="132">
        <v>12.302356421503621</v>
      </c>
      <c r="N26" s="133">
        <v>9.6899488001303773</v>
      </c>
      <c r="P26" s="121"/>
    </row>
    <row r="27" spans="1:16" ht="26.25" customHeight="1">
      <c r="A27" s="134" t="s">
        <v>71</v>
      </c>
      <c r="B27" s="135">
        <v>40.092051816611431</v>
      </c>
      <c r="C27" s="135">
        <v>39.458646490923428</v>
      </c>
      <c r="D27" s="135">
        <v>42.5846918476837</v>
      </c>
      <c r="E27" s="135">
        <v>49.453455999547892</v>
      </c>
      <c r="F27" s="135">
        <v>49.356215366062287</v>
      </c>
      <c r="G27" s="135">
        <v>45.189826518710042</v>
      </c>
      <c r="H27" s="135">
        <v>38.929403839736345</v>
      </c>
      <c r="I27" s="135">
        <v>40.543904392154836</v>
      </c>
      <c r="J27" s="135">
        <v>44.757703273864912</v>
      </c>
      <c r="K27" s="135">
        <v>47.128178011676873</v>
      </c>
      <c r="L27" s="135">
        <v>43.228971998829095</v>
      </c>
      <c r="M27" s="135">
        <v>40.737382448588747</v>
      </c>
      <c r="N27" s="136">
        <v>38.835488219473497</v>
      </c>
      <c r="P27" s="121"/>
    </row>
    <row r="28" spans="1:16" ht="18" customHeight="1">
      <c r="A28" s="96" t="s">
        <v>121</v>
      </c>
      <c r="P28" s="121"/>
    </row>
    <row r="29" spans="1:16">
      <c r="A29" s="96"/>
      <c r="P29" s="121"/>
    </row>
    <row r="30" spans="1:16">
      <c r="P30" s="121"/>
    </row>
    <row r="31" spans="1:16">
      <c r="P31" s="121"/>
    </row>
    <row r="32" spans="1:16">
      <c r="P32" s="121"/>
    </row>
    <row r="33" spans="16:16">
      <c r="P33" s="121"/>
    </row>
    <row r="34" spans="16:16">
      <c r="P34" s="121"/>
    </row>
    <row r="35" spans="16:16">
      <c r="P35" s="121"/>
    </row>
    <row r="36" spans="16:16">
      <c r="P36" s="121"/>
    </row>
    <row r="37" spans="16:16">
      <c r="P37" s="121"/>
    </row>
    <row r="38" spans="16:16">
      <c r="P38" s="121"/>
    </row>
    <row r="39" spans="16:16">
      <c r="P39" s="121"/>
    </row>
    <row r="40" spans="16:16">
      <c r="P40" s="121"/>
    </row>
    <row r="41" spans="16:16">
      <c r="P41" s="121"/>
    </row>
    <row r="42" spans="16:16">
      <c r="P42" s="121"/>
    </row>
    <row r="43" spans="16:16">
      <c r="P43" s="121"/>
    </row>
    <row r="44" spans="16:16">
      <c r="P44" s="121"/>
    </row>
    <row r="45" spans="16:16">
      <c r="P45" s="121"/>
    </row>
    <row r="46" spans="16:16">
      <c r="P46" s="121"/>
    </row>
    <row r="47" spans="16:16">
      <c r="P47" s="121"/>
    </row>
    <row r="48" spans="16:16">
      <c r="P48" s="121"/>
    </row>
    <row r="49" spans="16:16">
      <c r="P49" s="121"/>
    </row>
    <row r="50" spans="16:16">
      <c r="P50" s="121"/>
    </row>
    <row r="51" spans="16:16">
      <c r="P51" s="121"/>
    </row>
    <row r="52" spans="16:16">
      <c r="P52" s="121"/>
    </row>
    <row r="53" spans="16:16">
      <c r="P53" s="121"/>
    </row>
    <row r="54" spans="16:16">
      <c r="P54" s="121"/>
    </row>
    <row r="55" spans="16:16">
      <c r="P55" s="121"/>
    </row>
    <row r="56" spans="16:16">
      <c r="P56" s="121"/>
    </row>
    <row r="57" spans="16:16">
      <c r="P57" s="121"/>
    </row>
    <row r="58" spans="16:16">
      <c r="P58" s="121"/>
    </row>
    <row r="59" spans="16:16">
      <c r="P59" s="121"/>
    </row>
    <row r="60" spans="16:16">
      <c r="P60" s="121"/>
    </row>
    <row r="61" spans="16:16">
      <c r="P61" s="121"/>
    </row>
    <row r="62" spans="16:16">
      <c r="P62" s="121"/>
    </row>
    <row r="63" spans="16:16">
      <c r="P63" s="121"/>
    </row>
    <row r="64" spans="16:16">
      <c r="P64" s="121"/>
    </row>
    <row r="65" spans="16:16">
      <c r="P65" s="121"/>
    </row>
    <row r="66" spans="16:16">
      <c r="P66" s="121"/>
    </row>
    <row r="67" spans="16:16">
      <c r="P67" s="121"/>
    </row>
    <row r="68" spans="16:16">
      <c r="P68" s="121"/>
    </row>
    <row r="69" spans="16:16">
      <c r="P69" s="121"/>
    </row>
    <row r="70" spans="16:16">
      <c r="P70" s="121"/>
    </row>
    <row r="71" spans="16:16">
      <c r="P71" s="121"/>
    </row>
    <row r="72" spans="16:16">
      <c r="P72" s="121"/>
    </row>
    <row r="73" spans="16:16">
      <c r="P73" s="121"/>
    </row>
    <row r="74" spans="16:16">
      <c r="P74" s="121"/>
    </row>
    <row r="75" spans="16:16">
      <c r="P75" s="121"/>
    </row>
    <row r="76" spans="16:16">
      <c r="P76" s="121"/>
    </row>
    <row r="77" spans="16:16">
      <c r="P77" s="121"/>
    </row>
    <row r="78" spans="16:16">
      <c r="P78" s="121"/>
    </row>
    <row r="79" spans="16:16">
      <c r="P79" s="121"/>
    </row>
    <row r="80" spans="16:16">
      <c r="P80" s="121"/>
    </row>
    <row r="81" spans="16:16">
      <c r="P81" s="121"/>
    </row>
    <row r="82" spans="16:16">
      <c r="P82" s="121"/>
    </row>
    <row r="83" spans="16:16">
      <c r="P83" s="121"/>
    </row>
    <row r="84" spans="16:16">
      <c r="P84" s="121"/>
    </row>
    <row r="85" spans="16:16">
      <c r="P85" s="121"/>
    </row>
    <row r="86" spans="16:16">
      <c r="P86" s="121"/>
    </row>
    <row r="87" spans="16:16">
      <c r="P87" s="121"/>
    </row>
    <row r="88" spans="16:16">
      <c r="P88" s="121"/>
    </row>
    <row r="89" spans="16:16">
      <c r="P89" s="121"/>
    </row>
    <row r="90" spans="16:16">
      <c r="P90" s="121"/>
    </row>
    <row r="91" spans="16:16">
      <c r="P91" s="121"/>
    </row>
    <row r="92" spans="16:16">
      <c r="P92" s="121"/>
    </row>
    <row r="93" spans="16:16">
      <c r="P93" s="121"/>
    </row>
    <row r="94" spans="16:16">
      <c r="P94" s="121"/>
    </row>
    <row r="95" spans="16:16">
      <c r="P95" s="121"/>
    </row>
    <row r="96" spans="16:16">
      <c r="P96" s="121"/>
    </row>
    <row r="97" spans="16:16">
      <c r="P97" s="121"/>
    </row>
    <row r="98" spans="16:16">
      <c r="P98" s="121"/>
    </row>
    <row r="99" spans="16:16">
      <c r="P99" s="121"/>
    </row>
    <row r="100" spans="16:16">
      <c r="P100" s="121"/>
    </row>
    <row r="101" spans="16:16">
      <c r="P101" s="121"/>
    </row>
    <row r="102" spans="16:16">
      <c r="P102" s="121"/>
    </row>
    <row r="103" spans="16:16">
      <c r="P103" s="121"/>
    </row>
    <row r="104" spans="16:16">
      <c r="P104" s="121"/>
    </row>
    <row r="105" spans="16:16">
      <c r="P105" s="121"/>
    </row>
    <row r="106" spans="16:16">
      <c r="P106" s="121"/>
    </row>
    <row r="107" spans="16:16">
      <c r="P107" s="121"/>
    </row>
    <row r="108" spans="16:16">
      <c r="P108" s="121"/>
    </row>
    <row r="109" spans="16:16">
      <c r="P109" s="121"/>
    </row>
    <row r="110" spans="16:16">
      <c r="P110" s="121"/>
    </row>
    <row r="111" spans="16:16">
      <c r="P111" s="121"/>
    </row>
    <row r="112" spans="16:16">
      <c r="P112" s="121"/>
    </row>
    <row r="113" spans="16:16">
      <c r="P113" s="121"/>
    </row>
    <row r="114" spans="16:16">
      <c r="P114" s="121"/>
    </row>
    <row r="115" spans="16:16">
      <c r="P115" s="121"/>
    </row>
    <row r="116" spans="16:16">
      <c r="P116" s="121"/>
    </row>
    <row r="117" spans="16:16">
      <c r="P117" s="121"/>
    </row>
    <row r="118" spans="16:16">
      <c r="P118" s="121"/>
    </row>
    <row r="119" spans="16:16">
      <c r="P119" s="121"/>
    </row>
    <row r="120" spans="16:16">
      <c r="P120" s="121"/>
    </row>
    <row r="121" spans="16:16">
      <c r="P121" s="121"/>
    </row>
    <row r="122" spans="16:16">
      <c r="P122" s="121"/>
    </row>
    <row r="123" spans="16:16">
      <c r="P123" s="121"/>
    </row>
    <row r="124" spans="16:16">
      <c r="P124" s="121"/>
    </row>
    <row r="125" spans="16:16">
      <c r="P125" s="121"/>
    </row>
    <row r="126" spans="16:16">
      <c r="P126" s="121"/>
    </row>
    <row r="127" spans="16:16">
      <c r="P127" s="121"/>
    </row>
    <row r="128" spans="16:16">
      <c r="P128" s="121"/>
    </row>
    <row r="129" spans="16:16">
      <c r="P129" s="121"/>
    </row>
    <row r="130" spans="16:16">
      <c r="P130" s="121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1" firstPageNumber="9" orientation="portrait" useFirstPageNumber="1" r:id="rId1"/>
  <headerFooter differentOddEven="1"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AA41"/>
  <sheetViews>
    <sheetView view="pageBreakPreview" zoomScale="115" zoomScaleNormal="100" zoomScaleSheetLayoutView="115" workbookViewId="0">
      <selection activeCell="I7" sqref="I7"/>
    </sheetView>
  </sheetViews>
  <sheetFormatPr defaultColWidth="9" defaultRowHeight="16.5"/>
  <cols>
    <col min="1" max="1" width="1.375" style="48" customWidth="1"/>
    <col min="2" max="2" width="8.625" style="48" customWidth="1"/>
    <col min="3" max="3" width="7.875" style="48" customWidth="1"/>
    <col min="4" max="11" width="8.625" style="48" customWidth="1"/>
    <col min="12" max="12" width="9" style="48"/>
    <col min="13" max="13" width="11.875" style="48" customWidth="1"/>
    <col min="14" max="14" width="12" style="48" customWidth="1"/>
    <col min="15" max="15" width="11.75" style="48" customWidth="1"/>
    <col min="16" max="16" width="12" style="48" customWidth="1"/>
    <col min="17" max="17" width="15.25" style="48" bestFit="1" customWidth="1"/>
    <col min="18" max="19" width="7.625" style="48" customWidth="1"/>
    <col min="20" max="21" width="9.375" style="48" customWidth="1"/>
    <col min="22" max="27" width="7.625" style="48" customWidth="1"/>
    <col min="28" max="28" width="7.625" style="121" customWidth="1"/>
    <col min="29" max="16384" width="9" style="121"/>
  </cols>
  <sheetData>
    <row r="1" spans="1:27" ht="38.25" customHeight="1"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</row>
    <row r="2" spans="1:27" ht="38.25" customHeight="1">
      <c r="A2" s="100" t="s">
        <v>72</v>
      </c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ht="18" customHeight="1">
      <c r="A3" s="137" t="s">
        <v>73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</row>
    <row r="4" spans="1:27" ht="21" customHeight="1"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</row>
    <row r="5" spans="1:27" ht="30" customHeight="1">
      <c r="A5" s="252" t="s">
        <v>74</v>
      </c>
      <c r="B5" s="253"/>
      <c r="C5" s="254"/>
      <c r="D5" s="252" t="s">
        <v>75</v>
      </c>
      <c r="E5" s="253"/>
      <c r="F5" s="253"/>
      <c r="G5" s="254"/>
      <c r="H5" s="258" t="s">
        <v>76</v>
      </c>
      <c r="I5" s="253"/>
      <c r="J5" s="253"/>
      <c r="K5" s="254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 spans="1:27" ht="30" customHeight="1">
      <c r="A6" s="255"/>
      <c r="B6" s="256"/>
      <c r="C6" s="257"/>
      <c r="D6" s="138">
        <v>2025.04</v>
      </c>
      <c r="E6" s="139">
        <v>2026.04</v>
      </c>
      <c r="F6" s="140" t="s">
        <v>78</v>
      </c>
      <c r="G6" s="141" t="s">
        <v>79</v>
      </c>
      <c r="H6" s="142" t="s">
        <v>139</v>
      </c>
      <c r="I6" s="140" t="s">
        <v>140</v>
      </c>
      <c r="J6" s="140" t="s">
        <v>78</v>
      </c>
      <c r="K6" s="141" t="s">
        <v>79</v>
      </c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</row>
    <row r="7" spans="1:27" ht="30" customHeight="1">
      <c r="A7" s="259" t="s">
        <v>80</v>
      </c>
      <c r="B7" s="260"/>
      <c r="C7" s="143" t="s">
        <v>81</v>
      </c>
      <c r="D7" s="144">
        <v>154302.51</v>
      </c>
      <c r="E7" s="145">
        <v>158711.318</v>
      </c>
      <c r="F7" s="145">
        <v>4410.1039999999921</v>
      </c>
      <c r="G7" s="146">
        <v>2.8580896059305787E-2</v>
      </c>
      <c r="H7" s="147">
        <v>154302.51</v>
      </c>
      <c r="I7" s="145">
        <v>158711.318</v>
      </c>
      <c r="J7" s="145">
        <v>4410.1039999999921</v>
      </c>
      <c r="K7" s="146">
        <v>2.8580896059305787E-2</v>
      </c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</row>
    <row r="8" spans="1:27" ht="30" customHeight="1">
      <c r="A8" s="261" t="s">
        <v>82</v>
      </c>
      <c r="B8" s="245"/>
      <c r="C8" s="148" t="s">
        <v>83</v>
      </c>
      <c r="D8" s="149">
        <v>44541.39</v>
      </c>
      <c r="E8" s="206">
        <v>44378.146999999997</v>
      </c>
      <c r="F8" s="206">
        <v>-163.24300000000221</v>
      </c>
      <c r="G8" s="212">
        <v>-3.6649731856145985E-3</v>
      </c>
      <c r="H8" s="152">
        <v>194616.2667073</v>
      </c>
      <c r="I8" s="204">
        <v>193443.32107919999</v>
      </c>
      <c r="J8" s="206">
        <v>-1172.9456281000166</v>
      </c>
      <c r="K8" s="212">
        <v>-6.0269660288166434E-3</v>
      </c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</row>
    <row r="9" spans="1:27" ht="30" customHeight="1">
      <c r="A9" s="244" t="s">
        <v>85</v>
      </c>
      <c r="B9" s="245"/>
      <c r="C9" s="148" t="s">
        <v>83</v>
      </c>
      <c r="D9" s="149">
        <v>43063.591173000001</v>
      </c>
      <c r="E9" s="206">
        <v>42502.736222</v>
      </c>
      <c r="F9" s="206">
        <v>-560.85495100000117</v>
      </c>
      <c r="G9" s="212">
        <v>-1.302387784490314E-2</v>
      </c>
      <c r="H9" s="152">
        <v>187803.37580000001</v>
      </c>
      <c r="I9" s="204">
        <v>185585.51650999999</v>
      </c>
      <c r="J9" s="206">
        <v>-2217.8592900000222</v>
      </c>
      <c r="K9" s="212">
        <v>-1.1809475098902998E-2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</row>
    <row r="10" spans="1:27" ht="30" customHeight="1">
      <c r="A10" s="154"/>
      <c r="B10" s="195" t="s">
        <v>124</v>
      </c>
      <c r="C10" s="148" t="s">
        <v>86</v>
      </c>
      <c r="D10" s="155">
        <v>127.456</v>
      </c>
      <c r="E10" s="207">
        <v>125.60599999999999</v>
      </c>
      <c r="F10" s="207">
        <v>-1.8500000000000085</v>
      </c>
      <c r="G10" s="212">
        <v>-1.4514812955059067E-2</v>
      </c>
      <c r="H10" s="156">
        <v>128.56899999999999</v>
      </c>
      <c r="I10" s="205">
        <v>125.026</v>
      </c>
      <c r="J10" s="207">
        <v>-3.5429999999999922</v>
      </c>
      <c r="K10" s="212">
        <v>-2.7557187191313556E-2</v>
      </c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</row>
    <row r="11" spans="1:27" ht="30" customHeight="1">
      <c r="A11" s="194"/>
      <c r="B11" s="195" t="s">
        <v>125</v>
      </c>
      <c r="C11" s="148" t="s">
        <v>123</v>
      </c>
      <c r="D11" s="155">
        <v>141.411</v>
      </c>
      <c r="E11" s="207">
        <v>135.59899999999999</v>
      </c>
      <c r="F11" s="207">
        <v>-5.8120000000000118</v>
      </c>
      <c r="G11" s="212">
        <v>-4.1100055865526813E-2</v>
      </c>
      <c r="H11" s="156">
        <v>135.09899999999999</v>
      </c>
      <c r="I11" s="205">
        <v>135.38</v>
      </c>
      <c r="J11" s="207">
        <v>0.28100000000000591</v>
      </c>
      <c r="K11" s="212">
        <v>2.0799561802826516E-3</v>
      </c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</row>
    <row r="12" spans="1:27" ht="30" customHeight="1">
      <c r="A12" s="244" t="s">
        <v>87</v>
      </c>
      <c r="B12" s="245"/>
      <c r="C12" s="148" t="s">
        <v>83</v>
      </c>
      <c r="D12" s="149">
        <v>43116.89</v>
      </c>
      <c r="E12" s="150">
        <v>42728.381999999998</v>
      </c>
      <c r="F12" s="232">
        <v>-388.50800000000163</v>
      </c>
      <c r="G12" s="151">
        <v>-9.010575669998501E-3</v>
      </c>
      <c r="H12" s="152">
        <v>184135.13833799999</v>
      </c>
      <c r="I12" s="153">
        <v>182470.41738900001</v>
      </c>
      <c r="J12" s="196">
        <v>-1664.7209489999805</v>
      </c>
      <c r="K12" s="151">
        <v>-9.0407565010443836E-3</v>
      </c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 spans="1:27" ht="31.5" customHeight="1">
      <c r="A13" s="157"/>
      <c r="B13" s="158" t="s">
        <v>77</v>
      </c>
      <c r="C13" s="141" t="s">
        <v>86</v>
      </c>
      <c r="D13" s="159">
        <v>159.31100000000001</v>
      </c>
      <c r="E13" s="160">
        <v>159.52699999999999</v>
      </c>
      <c r="F13" s="160">
        <v>0.21599999999997976</v>
      </c>
      <c r="G13" s="161">
        <v>1.3558385798845011E-3</v>
      </c>
      <c r="H13" s="162">
        <v>167.11799999999999</v>
      </c>
      <c r="I13" s="163">
        <v>167.864</v>
      </c>
      <c r="J13" s="160">
        <v>0.74600000000000932</v>
      </c>
      <c r="K13" s="161">
        <v>4.4639117270432226E-3</v>
      </c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</row>
    <row r="14" spans="1:27" ht="18" customHeight="1">
      <c r="A14" s="96"/>
      <c r="B14" s="96"/>
      <c r="C14" s="164"/>
      <c r="D14" s="165"/>
      <c r="E14" s="165"/>
      <c r="F14" s="166"/>
      <c r="G14" s="167"/>
      <c r="H14" s="166"/>
      <c r="I14" s="166"/>
      <c r="J14" s="166"/>
      <c r="K14" s="167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 spans="1:27" ht="30" customHeight="1">
      <c r="A15" s="248" t="s">
        <v>88</v>
      </c>
      <c r="B15" s="249"/>
      <c r="C15" s="168" t="s">
        <v>81</v>
      </c>
      <c r="D15" s="169">
        <v>71667</v>
      </c>
      <c r="E15" s="170">
        <v>73633</v>
      </c>
      <c r="F15" s="145">
        <v>1966</v>
      </c>
      <c r="G15" s="146">
        <v>2.7432430546834665E-2</v>
      </c>
      <c r="H15" s="147">
        <v>90705</v>
      </c>
      <c r="I15" s="145">
        <v>88950</v>
      </c>
      <c r="J15" s="145">
        <v>-1755</v>
      </c>
      <c r="K15" s="146">
        <v>-1.9348437241607407E-2</v>
      </c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</row>
    <row r="16" spans="1:27" ht="30" customHeight="1">
      <c r="A16" s="244" t="s">
        <v>89</v>
      </c>
      <c r="B16" s="245"/>
      <c r="C16" s="148" t="s">
        <v>81</v>
      </c>
      <c r="D16" s="171">
        <v>61863.04209835278</v>
      </c>
      <c r="E16" s="208">
        <v>61636.315204861108</v>
      </c>
      <c r="F16" s="206">
        <v>-226.72689349167194</v>
      </c>
      <c r="G16" s="212">
        <v>-3.6649813168128857E-3</v>
      </c>
      <c r="H16" s="149">
        <v>69479.10944280184</v>
      </c>
      <c r="I16" s="210">
        <v>69009.029441896288</v>
      </c>
      <c r="J16" s="206">
        <v>-470.08000090555288</v>
      </c>
      <c r="K16" s="212">
        <v>-6.7657747008479253E-3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</row>
    <row r="17" spans="1:27" ht="30" customHeight="1">
      <c r="A17" s="172"/>
      <c r="B17" s="173" t="s">
        <v>90</v>
      </c>
      <c r="C17" s="148" t="s">
        <v>91</v>
      </c>
      <c r="D17" s="174">
        <v>20.00223254775559</v>
      </c>
      <c r="E17" s="221">
        <v>9.6899488001303773</v>
      </c>
      <c r="F17" s="222">
        <v>-10.312283747625212</v>
      </c>
      <c r="G17" s="151">
        <v>-0.51555663714060429</v>
      </c>
      <c r="H17" s="155">
        <v>22.968965327159474</v>
      </c>
      <c r="I17" s="223">
        <v>12.451939291736931</v>
      </c>
      <c r="J17" s="222">
        <v>-10.517026035422543</v>
      </c>
      <c r="K17" s="151">
        <v>-0.45787983418594685</v>
      </c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</row>
    <row r="18" spans="1:27" ht="30" customHeight="1">
      <c r="A18" s="172"/>
      <c r="B18" s="173" t="s">
        <v>92</v>
      </c>
      <c r="C18" s="148" t="s">
        <v>91</v>
      </c>
      <c r="D18" s="174">
        <v>76.684759343648594</v>
      </c>
      <c r="E18" s="209">
        <v>82.221344933755134</v>
      </c>
      <c r="F18" s="207">
        <v>5.5365855901065402</v>
      </c>
      <c r="G18" s="212">
        <v>7.2199295368397184E-2</v>
      </c>
      <c r="H18" s="155">
        <v>76.598985108650936</v>
      </c>
      <c r="I18" s="211">
        <v>77.581820620456767</v>
      </c>
      <c r="J18" s="207">
        <v>0.98283551180583117</v>
      </c>
      <c r="K18" s="212">
        <v>1.2830920806740972E-2</v>
      </c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 spans="1:27" ht="30" customHeight="1">
      <c r="A19" s="175"/>
      <c r="B19" s="173" t="s">
        <v>93</v>
      </c>
      <c r="C19" s="148" t="s">
        <v>91</v>
      </c>
      <c r="D19" s="174">
        <v>42.412072825576701</v>
      </c>
      <c r="E19" s="209">
        <v>40.737309292489179</v>
      </c>
      <c r="F19" s="207">
        <v>-1.6747635330875212</v>
      </c>
      <c r="G19" s="212">
        <v>-3.9487896287812442E-2</v>
      </c>
      <c r="H19" s="155">
        <v>45.140602789241676</v>
      </c>
      <c r="I19" s="211">
        <v>43.59781194022208</v>
      </c>
      <c r="J19" s="207">
        <v>-1.5427908490195961</v>
      </c>
      <c r="K19" s="212">
        <v>-3.4177453416445916E-2</v>
      </c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</row>
    <row r="20" spans="1:27" ht="30" customHeight="1">
      <c r="A20" s="242" t="s">
        <v>84</v>
      </c>
      <c r="B20" s="243"/>
      <c r="C20" s="141" t="s">
        <v>94</v>
      </c>
      <c r="D20" s="176">
        <v>25354.753000000001</v>
      </c>
      <c r="E20" s="177">
        <v>25486.789000000001</v>
      </c>
      <c r="F20" s="178">
        <v>132.03600000000006</v>
      </c>
      <c r="G20" s="161">
        <v>5.2075443211771792E-3</v>
      </c>
      <c r="H20" s="179">
        <v>25354.753000000001</v>
      </c>
      <c r="I20" s="180">
        <v>25486.789000000001</v>
      </c>
      <c r="J20" s="180">
        <v>132.03600000000006</v>
      </c>
      <c r="K20" s="161">
        <v>5.2075443211771792E-3</v>
      </c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</row>
    <row r="21" spans="1:27" ht="17.100000000000001" customHeight="1">
      <c r="B21" s="181"/>
      <c r="C21" s="182"/>
      <c r="D21" s="183"/>
      <c r="E21" s="183"/>
      <c r="F21" s="183"/>
      <c r="G21" s="183"/>
      <c r="H21" s="183"/>
      <c r="I21" s="183"/>
      <c r="J21" s="183"/>
      <c r="K21" s="183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</row>
    <row r="22" spans="1:27" ht="30" customHeight="1">
      <c r="A22" s="184" t="s">
        <v>95</v>
      </c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</row>
    <row r="23" spans="1:27" ht="30" customHeight="1">
      <c r="A23" s="246" t="s">
        <v>96</v>
      </c>
      <c r="B23" s="247"/>
      <c r="C23" s="185" t="s">
        <v>97</v>
      </c>
      <c r="D23" s="186" t="s">
        <v>98</v>
      </c>
      <c r="E23" s="186" t="s">
        <v>99</v>
      </c>
      <c r="F23" s="186" t="s">
        <v>100</v>
      </c>
      <c r="G23" s="186" t="s">
        <v>101</v>
      </c>
      <c r="H23" s="186" t="s">
        <v>102</v>
      </c>
      <c r="I23" s="187" t="s">
        <v>103</v>
      </c>
      <c r="J23" s="187" t="s">
        <v>104</v>
      </c>
      <c r="K23" s="188" t="s">
        <v>105</v>
      </c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1:27" ht="30" customHeight="1">
      <c r="A24" s="189"/>
      <c r="B24" s="190" t="s">
        <v>106</v>
      </c>
      <c r="C24" s="213">
        <v>96.492000000000004</v>
      </c>
      <c r="D24" s="228">
        <v>132.42400000000001</v>
      </c>
      <c r="E24" s="234">
        <v>0.503</v>
      </c>
      <c r="F24" s="228">
        <v>376.315</v>
      </c>
      <c r="G24" s="214">
        <v>148.19782155169301</v>
      </c>
      <c r="H24" s="214">
        <v>130.62134744855592</v>
      </c>
      <c r="I24" s="214">
        <v>172.18100000000001</v>
      </c>
      <c r="J24" s="215">
        <v>121.65253804976376</v>
      </c>
      <c r="K24" s="216">
        <v>238.73196426339877</v>
      </c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1:27" ht="29.25" customHeight="1">
      <c r="A25" s="191"/>
      <c r="B25" s="192" t="s">
        <v>114</v>
      </c>
      <c r="C25" s="217">
        <v>92.882999999999996</v>
      </c>
      <c r="D25" s="229">
        <v>130.28700000000001</v>
      </c>
      <c r="E25" s="233">
        <v>369.88600000000002</v>
      </c>
      <c r="F25" s="229">
        <v>475.07900000000001</v>
      </c>
      <c r="G25" s="218">
        <v>148.83548619144585</v>
      </c>
      <c r="H25" s="218">
        <v>130.67491999999999</v>
      </c>
      <c r="I25" s="218">
        <v>195.62100000000001</v>
      </c>
      <c r="J25" s="219">
        <v>114.39581985984803</v>
      </c>
      <c r="K25" s="220">
        <v>200.40087488703543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1:27" ht="10.5" customHeight="1">
      <c r="A26" s="224"/>
      <c r="B26" s="224"/>
      <c r="C26" s="225"/>
      <c r="D26" s="225"/>
      <c r="E26" s="225"/>
      <c r="F26" s="225"/>
      <c r="G26" s="225"/>
      <c r="H26" s="225"/>
      <c r="I26" s="225"/>
      <c r="J26" s="226"/>
      <c r="K26" s="225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1:27" ht="11.25" customHeight="1">
      <c r="A27" s="98" t="s">
        <v>126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</row>
    <row r="28" spans="1:27" ht="14.25" customHeight="1">
      <c r="A28" s="98" t="s">
        <v>128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1:27"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1:27"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1:27"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1:27"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13:27"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</row>
    <row r="34" spans="13:27"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 spans="13:27"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13:27"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13:27"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13:27"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 spans="13:27"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13:27"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</row>
    <row r="41" spans="13:27"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</row>
  </sheetData>
  <mergeCells count="11">
    <mergeCell ref="A5:C6"/>
    <mergeCell ref="D5:G5"/>
    <mergeCell ref="H5:K5"/>
    <mergeCell ref="A7:B7"/>
    <mergeCell ref="A8:B8"/>
    <mergeCell ref="A9:B9"/>
    <mergeCell ref="A23:B23"/>
    <mergeCell ref="A12:B12"/>
    <mergeCell ref="A15:B15"/>
    <mergeCell ref="A16:B16"/>
    <mergeCell ref="A20:B20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0" orientation="portrait" useFirstPageNumber="1" r:id="rId1"/>
  <headerFooter differentOddEven="1"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4585-35BB-4426-9B09-5C1C7D6B84E7}">
  <sheetPr>
    <tabColor rgb="FFFF0000"/>
  </sheetPr>
  <dimension ref="C1:F14"/>
  <sheetViews>
    <sheetView view="pageBreakPreview" zoomScale="60" zoomScaleNormal="100" workbookViewId="0"/>
  </sheetViews>
  <sheetFormatPr defaultColWidth="10" defaultRowHeight="16.5"/>
  <cols>
    <col min="1" max="2" width="10" style="263"/>
    <col min="3" max="3" width="6" style="263" customWidth="1"/>
    <col min="4" max="4" width="7.125" style="263" customWidth="1"/>
    <col min="5" max="5" width="19" style="263" customWidth="1"/>
    <col min="6" max="6" width="33.875" style="263" customWidth="1"/>
    <col min="7" max="16384" width="10" style="263"/>
  </cols>
  <sheetData>
    <row r="1" spans="3:6" ht="206.25" customHeight="1"/>
    <row r="2" spans="3:6" ht="7.5" customHeight="1">
      <c r="C2" s="264" t="s">
        <v>0</v>
      </c>
      <c r="D2" s="264" t="s">
        <v>0</v>
      </c>
      <c r="E2" s="265" t="s">
        <v>0</v>
      </c>
      <c r="F2" s="266" t="s">
        <v>0</v>
      </c>
    </row>
    <row r="3" spans="3:6" ht="8.25" customHeight="1"/>
    <row r="4" spans="3:6" ht="39">
      <c r="D4" s="267" t="s">
        <v>141</v>
      </c>
    </row>
    <row r="6" spans="3:6" ht="30" customHeight="1">
      <c r="E6" s="268" t="s">
        <v>142</v>
      </c>
    </row>
    <row r="7" spans="3:6" ht="9.9499999999999993" customHeight="1">
      <c r="E7" s="268"/>
    </row>
    <row r="8" spans="3:6" ht="30" customHeight="1">
      <c r="E8" s="268" t="s">
        <v>143</v>
      </c>
    </row>
    <row r="9" spans="3:6" ht="9.9499999999999993" customHeight="1">
      <c r="E9" s="269"/>
    </row>
    <row r="10" spans="3:6" ht="30" customHeight="1">
      <c r="E10" s="268" t="s">
        <v>144</v>
      </c>
    </row>
    <row r="11" spans="3:6" ht="9.9499999999999993" customHeight="1">
      <c r="E11" s="269"/>
    </row>
    <row r="12" spans="3:6" ht="30" customHeight="1">
      <c r="E12" s="268" t="s">
        <v>145</v>
      </c>
    </row>
    <row r="13" spans="3:6" ht="9.9499999999999993" customHeight="1">
      <c r="E13" s="269"/>
    </row>
    <row r="14" spans="3:6" ht="30" customHeight="1">
      <c r="E14" s="268" t="s">
        <v>146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1" orientation="portrait" useFirstPageNumber="1" r:id="rId1"/>
  <headerFooter differentOddEven="1" scaleWithDoc="0" alignWithMargins="0">
    <firstFooter>&amp;R&amp;P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FE2A-2692-4662-9CF0-F63BA7BDBC24}">
  <sheetPr>
    <tabColor theme="8"/>
  </sheetPr>
  <dimension ref="A1:AG34"/>
  <sheetViews>
    <sheetView showGridLines="0" view="pageBreakPreview" zoomScale="115" zoomScaleNormal="100" zoomScaleSheetLayoutView="11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6.5" style="287" customWidth="1"/>
    <col min="2" max="3" width="5.375" style="287" customWidth="1"/>
    <col min="4" max="4" width="6" style="287" customWidth="1"/>
    <col min="5" max="6" width="5.375" style="287" customWidth="1"/>
    <col min="7" max="8" width="6" style="287" customWidth="1"/>
    <col min="9" max="9" width="5.375" style="287" customWidth="1"/>
    <col min="10" max="10" width="6" style="287" customWidth="1"/>
    <col min="11" max="11" width="5.375" style="287" customWidth="1"/>
    <col min="12" max="12" width="4.5" style="287" customWidth="1"/>
    <col min="13" max="13" width="6" style="287" customWidth="1"/>
    <col min="14" max="16" width="5.375" style="287" customWidth="1"/>
    <col min="17" max="17" width="4.875" style="287" customWidth="1"/>
    <col min="18" max="19" width="6" style="287" customWidth="1"/>
    <col min="20" max="20" width="4.875" style="287" customWidth="1"/>
    <col min="21" max="21" width="6" style="287" customWidth="1"/>
    <col min="22" max="23" width="5.375" style="287" customWidth="1"/>
    <col min="24" max="24" width="6" style="287" customWidth="1"/>
    <col min="25" max="26" width="5.375" style="287" customWidth="1"/>
    <col min="27" max="28" width="6" style="287" customWidth="1"/>
    <col min="29" max="29" width="4.875" style="287" customWidth="1"/>
    <col min="30" max="31" width="6" style="287" customWidth="1"/>
    <col min="32" max="32" width="4.875" style="287" customWidth="1"/>
    <col min="33" max="33" width="6.75" style="353" customWidth="1"/>
    <col min="34" max="16384" width="7.875" style="287"/>
  </cols>
  <sheetData>
    <row r="1" spans="1:33" s="273" customFormat="1" ht="20.25">
      <c r="A1" s="270" t="s">
        <v>147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2"/>
      <c r="AE1" s="272"/>
      <c r="AF1" s="272"/>
      <c r="AG1" s="272"/>
    </row>
    <row r="2" spans="1:33" s="276" customFormat="1" ht="17.25">
      <c r="A2" s="274" t="s">
        <v>148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5"/>
      <c r="N2" s="274"/>
      <c r="O2" s="275"/>
      <c r="P2" s="275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2"/>
      <c r="AE2" s="272"/>
      <c r="AF2" s="272"/>
      <c r="AG2" s="272"/>
    </row>
    <row r="3" spans="1:33" s="273" customFormat="1" ht="15" customHeight="1">
      <c r="A3" s="272"/>
      <c r="B3" s="272"/>
      <c r="C3" s="272"/>
      <c r="D3" s="277"/>
      <c r="E3" s="277"/>
      <c r="F3" s="272"/>
      <c r="G3" s="272"/>
      <c r="H3" s="278"/>
      <c r="I3" s="279"/>
      <c r="J3" s="272"/>
      <c r="K3" s="272"/>
      <c r="L3" s="272"/>
      <c r="M3" s="279"/>
      <c r="N3" s="280"/>
      <c r="O3" s="280"/>
      <c r="P3" s="1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81"/>
      <c r="AB3" s="281"/>
      <c r="AC3" s="281"/>
      <c r="AD3" s="271"/>
      <c r="AE3" s="281"/>
      <c r="AF3" s="281"/>
      <c r="AG3" s="282" t="s">
        <v>149</v>
      </c>
    </row>
    <row r="4" spans="1:33" ht="20.100000000000001" customHeight="1">
      <c r="A4" s="283" t="s">
        <v>56</v>
      </c>
      <c r="B4" s="284" t="s">
        <v>150</v>
      </c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5"/>
      <c r="N4" s="286" t="s">
        <v>151</v>
      </c>
      <c r="O4" s="284"/>
      <c r="P4" s="284"/>
      <c r="Q4" s="284"/>
      <c r="R4" s="284" t="s">
        <v>152</v>
      </c>
      <c r="S4" s="284"/>
      <c r="T4" s="284"/>
      <c r="U4" s="285"/>
      <c r="V4" s="284" t="s">
        <v>153</v>
      </c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5"/>
    </row>
    <row r="5" spans="1:33" ht="20.100000000000001" customHeight="1">
      <c r="A5" s="288"/>
      <c r="B5" s="289" t="s">
        <v>154</v>
      </c>
      <c r="C5" s="290" t="s">
        <v>155</v>
      </c>
      <c r="D5" s="291"/>
      <c r="E5" s="291"/>
      <c r="F5" s="291"/>
      <c r="G5" s="292"/>
      <c r="H5" s="293" t="s">
        <v>156</v>
      </c>
      <c r="I5" s="294" t="s">
        <v>157</v>
      </c>
      <c r="J5" s="294" t="s">
        <v>12</v>
      </c>
      <c r="K5" s="295" t="s">
        <v>158</v>
      </c>
      <c r="L5" s="295" t="s">
        <v>159</v>
      </c>
      <c r="M5" s="296" t="s">
        <v>160</v>
      </c>
      <c r="N5" s="289" t="s">
        <v>161</v>
      </c>
      <c r="O5" s="297" t="s">
        <v>162</v>
      </c>
      <c r="P5" s="298"/>
      <c r="Q5" s="299"/>
      <c r="R5" s="293" t="s">
        <v>163</v>
      </c>
      <c r="S5" s="295" t="s">
        <v>158</v>
      </c>
      <c r="T5" s="295" t="s">
        <v>159</v>
      </c>
      <c r="U5" s="296" t="s">
        <v>160</v>
      </c>
      <c r="V5" s="289" t="s">
        <v>154</v>
      </c>
      <c r="W5" s="290" t="s">
        <v>164</v>
      </c>
      <c r="X5" s="291"/>
      <c r="Y5" s="291"/>
      <c r="Z5" s="291"/>
      <c r="AA5" s="292"/>
      <c r="AB5" s="294" t="s">
        <v>163</v>
      </c>
      <c r="AC5" s="294" t="s">
        <v>157</v>
      </c>
      <c r="AD5" s="293" t="s">
        <v>12</v>
      </c>
      <c r="AE5" s="295" t="s">
        <v>158</v>
      </c>
      <c r="AF5" s="295" t="s">
        <v>159</v>
      </c>
      <c r="AG5" s="296" t="s">
        <v>160</v>
      </c>
    </row>
    <row r="6" spans="1:33" ht="20.100000000000001" customHeight="1">
      <c r="A6" s="300"/>
      <c r="B6" s="301"/>
      <c r="C6" s="302" t="s">
        <v>108</v>
      </c>
      <c r="D6" s="302" t="s">
        <v>107</v>
      </c>
      <c r="E6" s="302" t="s">
        <v>165</v>
      </c>
      <c r="F6" s="302" t="s">
        <v>166</v>
      </c>
      <c r="G6" s="302" t="s">
        <v>167</v>
      </c>
      <c r="H6" s="303"/>
      <c r="I6" s="304"/>
      <c r="J6" s="304"/>
      <c r="K6" s="303"/>
      <c r="L6" s="305"/>
      <c r="M6" s="306"/>
      <c r="N6" s="301"/>
      <c r="O6" s="302" t="s">
        <v>107</v>
      </c>
      <c r="P6" s="302" t="s">
        <v>165</v>
      </c>
      <c r="Q6" s="302" t="s">
        <v>166</v>
      </c>
      <c r="R6" s="303"/>
      <c r="S6" s="303"/>
      <c r="T6" s="305"/>
      <c r="U6" s="306"/>
      <c r="V6" s="301"/>
      <c r="W6" s="302" t="s">
        <v>108</v>
      </c>
      <c r="X6" s="302" t="s">
        <v>107</v>
      </c>
      <c r="Y6" s="302" t="s">
        <v>165</v>
      </c>
      <c r="Z6" s="302" t="s">
        <v>168</v>
      </c>
      <c r="AA6" s="302" t="s">
        <v>160</v>
      </c>
      <c r="AB6" s="304"/>
      <c r="AC6" s="304"/>
      <c r="AD6" s="303"/>
      <c r="AE6" s="303"/>
      <c r="AF6" s="305"/>
      <c r="AG6" s="306"/>
    </row>
    <row r="7" spans="1:33" ht="24.95" customHeight="1">
      <c r="A7" s="307">
        <v>2015</v>
      </c>
      <c r="B7" s="308">
        <v>5344.7269999999999</v>
      </c>
      <c r="C7" s="309">
        <v>1125</v>
      </c>
      <c r="D7" s="309">
        <v>25148.6</v>
      </c>
      <c r="E7" s="309">
        <v>2950</v>
      </c>
      <c r="F7" s="309">
        <v>387.5</v>
      </c>
      <c r="G7" s="309">
        <v>29611.1</v>
      </c>
      <c r="H7" s="309">
        <v>16018.352000000001</v>
      </c>
      <c r="I7" s="309">
        <v>329.69</v>
      </c>
      <c r="J7" s="309">
        <v>21715.683000000001</v>
      </c>
      <c r="K7" s="309">
        <v>262.55900000000003</v>
      </c>
      <c r="L7" s="310" t="s">
        <v>133</v>
      </c>
      <c r="M7" s="311">
        <v>73282.111000000004</v>
      </c>
      <c r="N7" s="308">
        <v>1125.982</v>
      </c>
      <c r="O7" s="309" t="s">
        <v>133</v>
      </c>
      <c r="P7" s="312">
        <v>4829.5789999999997</v>
      </c>
      <c r="Q7" s="309" t="s">
        <v>133</v>
      </c>
      <c r="R7" s="309">
        <v>13024.28</v>
      </c>
      <c r="S7" s="309">
        <v>5386.808</v>
      </c>
      <c r="T7" s="313" t="s">
        <v>133</v>
      </c>
      <c r="U7" s="311">
        <v>24366.649000000001</v>
      </c>
      <c r="V7" s="312">
        <v>6470.7089999999998</v>
      </c>
      <c r="W7" s="309">
        <v>1125</v>
      </c>
      <c r="X7" s="309">
        <v>25148.6</v>
      </c>
      <c r="Y7" s="309">
        <v>7779.5789999999997</v>
      </c>
      <c r="Z7" s="309">
        <v>387.5</v>
      </c>
      <c r="AA7" s="309">
        <v>34440.678999999996</v>
      </c>
      <c r="AB7" s="309">
        <v>29042.632000000001</v>
      </c>
      <c r="AC7" s="309">
        <v>329.69</v>
      </c>
      <c r="AD7" s="309">
        <v>21715.683000000001</v>
      </c>
      <c r="AE7" s="309">
        <v>5649.3670000000002</v>
      </c>
      <c r="AF7" s="313" t="s">
        <v>133</v>
      </c>
      <c r="AG7" s="311">
        <v>97648.76</v>
      </c>
    </row>
    <row r="8" spans="1:33" ht="24.95" customHeight="1">
      <c r="A8" s="307">
        <v>2016</v>
      </c>
      <c r="B8" s="312">
        <v>5349.7269999999999</v>
      </c>
      <c r="C8" s="312">
        <v>1125</v>
      </c>
      <c r="D8" s="312">
        <v>29420.799999999999</v>
      </c>
      <c r="E8" s="312">
        <v>2950</v>
      </c>
      <c r="F8" s="312">
        <v>250</v>
      </c>
      <c r="G8" s="312">
        <v>33745.800000000003</v>
      </c>
      <c r="H8" s="312">
        <v>16018.352000000001</v>
      </c>
      <c r="I8" s="312">
        <v>329.44</v>
      </c>
      <c r="J8" s="312">
        <v>23115.683000000001</v>
      </c>
      <c r="K8" s="312">
        <v>657.54200000000003</v>
      </c>
      <c r="L8" s="310" t="s">
        <v>133</v>
      </c>
      <c r="M8" s="311">
        <v>79216.543999999994</v>
      </c>
      <c r="N8" s="312">
        <v>1135.4839999999999</v>
      </c>
      <c r="O8" s="309">
        <v>1489.2239999999999</v>
      </c>
      <c r="P8" s="312">
        <v>278.7</v>
      </c>
      <c r="Q8" s="309">
        <v>241.81</v>
      </c>
      <c r="R8" s="309">
        <v>16684.249</v>
      </c>
      <c r="S8" s="312">
        <v>6819.5460000000003</v>
      </c>
      <c r="T8" s="314" t="s">
        <v>133</v>
      </c>
      <c r="U8" s="311">
        <v>26649.012999999999</v>
      </c>
      <c r="V8" s="308">
        <v>6485.2110000000002</v>
      </c>
      <c r="W8" s="312">
        <v>1125</v>
      </c>
      <c r="X8" s="312">
        <v>30910.024000000001</v>
      </c>
      <c r="Y8" s="312">
        <v>3228.7</v>
      </c>
      <c r="Z8" s="312">
        <v>491.81</v>
      </c>
      <c r="AA8" s="312">
        <v>35755.534</v>
      </c>
      <c r="AB8" s="312">
        <v>32702.600999999999</v>
      </c>
      <c r="AC8" s="312">
        <v>329.44</v>
      </c>
      <c r="AD8" s="312">
        <v>23115.683000000001</v>
      </c>
      <c r="AE8" s="312">
        <v>7477.0879999999997</v>
      </c>
      <c r="AF8" s="313" t="s">
        <v>133</v>
      </c>
      <c r="AG8" s="311">
        <v>105865.557</v>
      </c>
    </row>
    <row r="9" spans="1:33" ht="24.95" customHeight="1">
      <c r="A9" s="307">
        <v>2017</v>
      </c>
      <c r="B9" s="312">
        <v>5351.4769999999999</v>
      </c>
      <c r="C9" s="309">
        <v>600</v>
      </c>
      <c r="D9" s="309">
        <v>33524.578000000001</v>
      </c>
      <c r="E9" s="309">
        <v>2950</v>
      </c>
      <c r="F9" s="309" t="s">
        <v>133</v>
      </c>
      <c r="G9" s="309">
        <v>37074.578000000001</v>
      </c>
      <c r="H9" s="309">
        <v>16018.352000000001</v>
      </c>
      <c r="I9" s="309">
        <v>339.47</v>
      </c>
      <c r="J9" s="309">
        <v>22528.683000000001</v>
      </c>
      <c r="K9" s="309">
        <v>819.93</v>
      </c>
      <c r="L9" s="310" t="s">
        <v>133</v>
      </c>
      <c r="M9" s="311">
        <v>82132.490000000005</v>
      </c>
      <c r="N9" s="308">
        <v>1137.979</v>
      </c>
      <c r="O9" s="309">
        <v>2584.8240000000001</v>
      </c>
      <c r="P9" s="312">
        <v>278.7</v>
      </c>
      <c r="Q9" s="309">
        <v>196.3</v>
      </c>
      <c r="R9" s="309">
        <v>22210.355</v>
      </c>
      <c r="S9" s="309">
        <v>8366.9920000000002</v>
      </c>
      <c r="T9" s="313" t="s">
        <v>133</v>
      </c>
      <c r="U9" s="311">
        <v>34775.15</v>
      </c>
      <c r="V9" s="312">
        <v>6489.4560000000001</v>
      </c>
      <c r="W9" s="309">
        <v>600</v>
      </c>
      <c r="X9" s="309">
        <v>36109.402000000002</v>
      </c>
      <c r="Y9" s="309">
        <v>3228.7</v>
      </c>
      <c r="Z9" s="309">
        <v>196.3</v>
      </c>
      <c r="AA9" s="309">
        <v>40134.402000000002</v>
      </c>
      <c r="AB9" s="309">
        <v>38228.707000000002</v>
      </c>
      <c r="AC9" s="309">
        <v>339.47</v>
      </c>
      <c r="AD9" s="309">
        <v>22528.683000000001</v>
      </c>
      <c r="AE9" s="309">
        <v>9186.9230000000007</v>
      </c>
      <c r="AF9" s="313" t="s">
        <v>133</v>
      </c>
      <c r="AG9" s="311">
        <v>116907.641</v>
      </c>
    </row>
    <row r="10" spans="1:33" ht="24.95" customHeight="1">
      <c r="A10" s="307">
        <v>2018</v>
      </c>
      <c r="B10" s="312">
        <v>5351.6319999999996</v>
      </c>
      <c r="C10" s="309">
        <v>600</v>
      </c>
      <c r="D10" s="309">
        <v>33617.612999999998</v>
      </c>
      <c r="E10" s="309">
        <v>2950</v>
      </c>
      <c r="F10" s="309" t="s">
        <v>133</v>
      </c>
      <c r="G10" s="309">
        <v>37167.612999999998</v>
      </c>
      <c r="H10" s="309">
        <v>15725.798000000001</v>
      </c>
      <c r="I10" s="309">
        <v>339.47</v>
      </c>
      <c r="J10" s="309">
        <v>21850</v>
      </c>
      <c r="K10" s="309">
        <v>927.91200000000003</v>
      </c>
      <c r="L10" s="310" t="s">
        <v>133</v>
      </c>
      <c r="M10" s="311">
        <v>81362.425000000003</v>
      </c>
      <c r="N10" s="308">
        <v>1138.778</v>
      </c>
      <c r="O10" s="309">
        <v>2752.7240000000002</v>
      </c>
      <c r="P10" s="312">
        <v>259.3</v>
      </c>
      <c r="Q10" s="309">
        <v>196.3</v>
      </c>
      <c r="R10" s="309">
        <v>22687.235000000001</v>
      </c>
      <c r="S10" s="309">
        <v>10694.897000000001</v>
      </c>
      <c r="T10" s="313" t="s">
        <v>133</v>
      </c>
      <c r="U10" s="311">
        <v>37729.233999999997</v>
      </c>
      <c r="V10" s="312">
        <v>6490.41</v>
      </c>
      <c r="W10" s="309">
        <v>600</v>
      </c>
      <c r="X10" s="309">
        <v>36370.337</v>
      </c>
      <c r="Y10" s="309">
        <v>3209.3</v>
      </c>
      <c r="Z10" s="309">
        <v>196.3</v>
      </c>
      <c r="AA10" s="309">
        <v>40375.936999999998</v>
      </c>
      <c r="AB10" s="309">
        <v>38413.033000000003</v>
      </c>
      <c r="AC10" s="309">
        <v>339.47</v>
      </c>
      <c r="AD10" s="309">
        <v>21850</v>
      </c>
      <c r="AE10" s="309">
        <v>11622.808999999999</v>
      </c>
      <c r="AF10" s="313" t="s">
        <v>133</v>
      </c>
      <c r="AG10" s="311">
        <v>119091.66</v>
      </c>
    </row>
    <row r="11" spans="1:33" ht="24.95" customHeight="1">
      <c r="A11" s="307">
        <v>2019</v>
      </c>
      <c r="B11" s="312">
        <v>5351.6570000000002</v>
      </c>
      <c r="C11" s="309">
        <v>600</v>
      </c>
      <c r="D11" s="309">
        <v>33710.658000000003</v>
      </c>
      <c r="E11" s="309">
        <v>2600</v>
      </c>
      <c r="F11" s="309" t="s">
        <v>133</v>
      </c>
      <c r="G11" s="309">
        <v>36910.658000000003</v>
      </c>
      <c r="H11" s="309">
        <v>16484.788</v>
      </c>
      <c r="I11" s="309">
        <v>340.61700000000002</v>
      </c>
      <c r="J11" s="309">
        <v>23250</v>
      </c>
      <c r="K11" s="309">
        <v>1334.6210000000001</v>
      </c>
      <c r="L11" s="310" t="s">
        <v>133</v>
      </c>
      <c r="M11" s="311">
        <v>83672.341</v>
      </c>
      <c r="N11" s="308">
        <v>1156.4459999999999</v>
      </c>
      <c r="O11" s="309">
        <v>2692.7240000000002</v>
      </c>
      <c r="P11" s="312">
        <v>259.3</v>
      </c>
      <c r="Q11" s="309">
        <v>196.3</v>
      </c>
      <c r="R11" s="309">
        <v>23533.834999999999</v>
      </c>
      <c r="S11" s="309">
        <v>12914.932000000001</v>
      </c>
      <c r="T11" s="313">
        <v>911.79</v>
      </c>
      <c r="U11" s="311">
        <v>41665.326999999997</v>
      </c>
      <c r="V11" s="312">
        <v>6508.1030000000001</v>
      </c>
      <c r="W11" s="309">
        <v>600</v>
      </c>
      <c r="X11" s="309">
        <v>36403.381999999998</v>
      </c>
      <c r="Y11" s="309">
        <v>2859.3</v>
      </c>
      <c r="Z11" s="309">
        <v>196.3</v>
      </c>
      <c r="AA11" s="309">
        <v>40058.982000000004</v>
      </c>
      <c r="AB11" s="309">
        <v>40018.623</v>
      </c>
      <c r="AC11" s="309">
        <v>340.61700000000002</v>
      </c>
      <c r="AD11" s="309">
        <v>23250</v>
      </c>
      <c r="AE11" s="309">
        <v>14249.553</v>
      </c>
      <c r="AF11" s="313">
        <v>911.79</v>
      </c>
      <c r="AG11" s="311">
        <v>125337.66899999999</v>
      </c>
    </row>
    <row r="12" spans="1:33" ht="24.95" customHeight="1">
      <c r="A12" s="307">
        <v>2020</v>
      </c>
      <c r="B12" s="315">
        <v>5351.8069999999998</v>
      </c>
      <c r="C12" s="316">
        <v>400</v>
      </c>
      <c r="D12" s="316">
        <v>33760.658000000003</v>
      </c>
      <c r="E12" s="316">
        <v>1200</v>
      </c>
      <c r="F12" s="317">
        <v>1400</v>
      </c>
      <c r="G12" s="316">
        <v>36760.658000000003</v>
      </c>
      <c r="H12" s="316">
        <v>16651.677</v>
      </c>
      <c r="I12" s="316">
        <v>175.68</v>
      </c>
      <c r="J12" s="316">
        <v>23250</v>
      </c>
      <c r="K12" s="316">
        <v>1653.874</v>
      </c>
      <c r="L12" s="310">
        <v>10</v>
      </c>
      <c r="M12" s="318">
        <v>83853.695999999996</v>
      </c>
      <c r="N12" s="315">
        <v>1153.961</v>
      </c>
      <c r="O12" s="309">
        <v>2692.7240000000002</v>
      </c>
      <c r="P12" s="319">
        <v>259.3</v>
      </c>
      <c r="Q12" s="309">
        <v>196.3</v>
      </c>
      <c r="R12" s="316">
        <v>23533.834999999999</v>
      </c>
      <c r="S12" s="316">
        <v>17085.253000000001</v>
      </c>
      <c r="T12" s="313">
        <v>416.20400000000001</v>
      </c>
      <c r="U12" s="320">
        <v>45337.578000000001</v>
      </c>
      <c r="V12" s="315">
        <v>6505.768</v>
      </c>
      <c r="W12" s="316">
        <v>400</v>
      </c>
      <c r="X12" s="316">
        <v>36453.381999999998</v>
      </c>
      <c r="Y12" s="316">
        <v>1459.3</v>
      </c>
      <c r="Z12" s="316">
        <v>1596.3</v>
      </c>
      <c r="AA12" s="316">
        <v>39908.982000000004</v>
      </c>
      <c r="AB12" s="316">
        <v>40185.512000000002</v>
      </c>
      <c r="AC12" s="316">
        <v>175.68</v>
      </c>
      <c r="AD12" s="316">
        <v>23250</v>
      </c>
      <c r="AE12" s="316">
        <v>18739.127</v>
      </c>
      <c r="AF12" s="313">
        <v>426.20400000000001</v>
      </c>
      <c r="AG12" s="318">
        <v>129191.273</v>
      </c>
    </row>
    <row r="13" spans="1:33" ht="24.95" customHeight="1">
      <c r="A13" s="307">
        <v>2021</v>
      </c>
      <c r="B13" s="315">
        <v>5358.5929999999998</v>
      </c>
      <c r="C13" s="316">
        <v>400</v>
      </c>
      <c r="D13" s="316">
        <v>32158.657999999999</v>
      </c>
      <c r="E13" s="316">
        <v>1200</v>
      </c>
      <c r="F13" s="317">
        <v>1400</v>
      </c>
      <c r="G13" s="316">
        <v>35158.658000000003</v>
      </c>
      <c r="H13" s="316">
        <v>16651.677</v>
      </c>
      <c r="I13" s="316">
        <v>176.81</v>
      </c>
      <c r="J13" s="316">
        <v>23250</v>
      </c>
      <c r="K13" s="316">
        <v>1853.539</v>
      </c>
      <c r="L13" s="310">
        <v>10</v>
      </c>
      <c r="M13" s="318">
        <v>82459.277000000002</v>
      </c>
      <c r="N13" s="315">
        <v>1182.742</v>
      </c>
      <c r="O13" s="309">
        <v>4779.2240000000002</v>
      </c>
      <c r="P13" s="319">
        <v>171.3</v>
      </c>
      <c r="Q13" s="309">
        <v>196.3</v>
      </c>
      <c r="R13" s="316">
        <v>23565.525000000001</v>
      </c>
      <c r="S13" s="316">
        <v>21160.623</v>
      </c>
      <c r="T13" s="313">
        <v>504.78399999999999</v>
      </c>
      <c r="U13" s="320">
        <v>51560.498</v>
      </c>
      <c r="V13" s="315">
        <v>6541.335</v>
      </c>
      <c r="W13" s="316">
        <v>400</v>
      </c>
      <c r="X13" s="316">
        <v>36937.881999999998</v>
      </c>
      <c r="Y13" s="316">
        <v>1371.3</v>
      </c>
      <c r="Z13" s="316">
        <v>1596.3</v>
      </c>
      <c r="AA13" s="316">
        <v>40305.482000000004</v>
      </c>
      <c r="AB13" s="316">
        <v>40217.201999999997</v>
      </c>
      <c r="AC13" s="316">
        <v>176.81</v>
      </c>
      <c r="AD13" s="316">
        <v>23250</v>
      </c>
      <c r="AE13" s="316">
        <v>23014.162</v>
      </c>
      <c r="AF13" s="313">
        <v>514.78399999999999</v>
      </c>
      <c r="AG13" s="318">
        <v>134019.77499999999</v>
      </c>
    </row>
    <row r="14" spans="1:33" ht="24.95" customHeight="1">
      <c r="A14" s="321">
        <v>2022</v>
      </c>
      <c r="B14" s="322">
        <v>5351.0950000000003</v>
      </c>
      <c r="C14" s="323">
        <v>400</v>
      </c>
      <c r="D14" s="323">
        <v>32158.657999999999</v>
      </c>
      <c r="E14" s="310" t="s">
        <v>133</v>
      </c>
      <c r="F14" s="310">
        <v>1400</v>
      </c>
      <c r="G14" s="323">
        <v>33958.658000000003</v>
      </c>
      <c r="H14" s="323">
        <v>16651.677</v>
      </c>
      <c r="I14" s="323">
        <v>136.81</v>
      </c>
      <c r="J14" s="323">
        <v>24650</v>
      </c>
      <c r="K14" s="323">
        <v>1965.0450000000001</v>
      </c>
      <c r="L14" s="310">
        <v>10</v>
      </c>
      <c r="M14" s="324">
        <v>82723.285000000003</v>
      </c>
      <c r="N14" s="322">
        <v>1162.028</v>
      </c>
      <c r="O14" s="323">
        <v>5569.2240000000002</v>
      </c>
      <c r="P14" s="325">
        <v>171.3</v>
      </c>
      <c r="Q14" s="323">
        <v>196.3</v>
      </c>
      <c r="R14" s="323">
        <v>23565.525000000001</v>
      </c>
      <c r="S14" s="323">
        <v>24360.498</v>
      </c>
      <c r="T14" s="313">
        <v>446.59500000000003</v>
      </c>
      <c r="U14" s="324">
        <v>55471.47</v>
      </c>
      <c r="V14" s="322">
        <v>6513.1229999999996</v>
      </c>
      <c r="W14" s="323">
        <v>400</v>
      </c>
      <c r="X14" s="323">
        <v>37727.881999999998</v>
      </c>
      <c r="Y14" s="323">
        <v>171.3</v>
      </c>
      <c r="Z14" s="323">
        <v>1596.3</v>
      </c>
      <c r="AA14" s="323">
        <v>39895.482000000004</v>
      </c>
      <c r="AB14" s="323">
        <v>40217.201999999997</v>
      </c>
      <c r="AC14" s="323">
        <v>136.81</v>
      </c>
      <c r="AD14" s="323">
        <v>24650</v>
      </c>
      <c r="AE14" s="323">
        <v>26325.542000000001</v>
      </c>
      <c r="AF14" s="313">
        <v>456.59500000000003</v>
      </c>
      <c r="AG14" s="324">
        <v>138194.755</v>
      </c>
    </row>
    <row r="15" spans="1:33" ht="24.95" customHeight="1">
      <c r="A15" s="321">
        <v>2023</v>
      </c>
      <c r="B15" s="322">
        <v>5350.1949999999997</v>
      </c>
      <c r="C15" s="323">
        <v>400</v>
      </c>
      <c r="D15" s="323">
        <v>32158.657999999999</v>
      </c>
      <c r="E15" s="310" t="s">
        <v>133</v>
      </c>
      <c r="F15" s="309">
        <v>1400</v>
      </c>
      <c r="G15" s="323">
        <v>33958.658000000003</v>
      </c>
      <c r="H15" s="323">
        <v>17002.136999999999</v>
      </c>
      <c r="I15" s="323">
        <v>136.55000000000001</v>
      </c>
      <c r="J15" s="323">
        <v>24650</v>
      </c>
      <c r="K15" s="323">
        <v>2127.5079999999998</v>
      </c>
      <c r="L15" s="310">
        <v>10</v>
      </c>
      <c r="M15" s="324">
        <v>83235.047999999995</v>
      </c>
      <c r="N15" s="322">
        <v>1166.8009999999999</v>
      </c>
      <c r="O15" s="323">
        <v>6609.2240000000002</v>
      </c>
      <c r="P15" s="325">
        <v>108.7</v>
      </c>
      <c r="Q15" s="323">
        <v>196.3</v>
      </c>
      <c r="R15" s="323">
        <v>25204.897000000001</v>
      </c>
      <c r="S15" s="323">
        <v>27451.003000000001</v>
      </c>
      <c r="T15" s="313">
        <v>448.935</v>
      </c>
      <c r="U15" s="326">
        <v>61185.86</v>
      </c>
      <c r="V15" s="322">
        <v>6516.9960000000001</v>
      </c>
      <c r="W15" s="323">
        <v>400</v>
      </c>
      <c r="X15" s="323">
        <v>38767.881999999998</v>
      </c>
      <c r="Y15" s="323">
        <v>108.7</v>
      </c>
      <c r="Z15" s="323">
        <v>1596.3</v>
      </c>
      <c r="AA15" s="323">
        <v>40872.881999999998</v>
      </c>
      <c r="AB15" s="323">
        <v>42207.034</v>
      </c>
      <c r="AC15" s="323">
        <v>136.55000000000001</v>
      </c>
      <c r="AD15" s="323">
        <v>24650</v>
      </c>
      <c r="AE15" s="323">
        <v>29578.510999999999</v>
      </c>
      <c r="AF15" s="313">
        <v>458.935</v>
      </c>
      <c r="AG15" s="324">
        <v>144420.908</v>
      </c>
    </row>
    <row r="16" spans="1:33" ht="24.95" customHeight="1">
      <c r="A16" s="327">
        <v>2024</v>
      </c>
      <c r="B16" s="322">
        <v>5350.1949999999997</v>
      </c>
      <c r="C16" s="323">
        <v>400</v>
      </c>
      <c r="D16" s="323">
        <v>32158.657999999999</v>
      </c>
      <c r="E16" s="310" t="s">
        <v>133</v>
      </c>
      <c r="F16" s="309">
        <v>1400</v>
      </c>
      <c r="G16" s="323">
        <v>33958.658000000003</v>
      </c>
      <c r="H16" s="323">
        <v>17611.859</v>
      </c>
      <c r="I16" s="323">
        <v>96.7</v>
      </c>
      <c r="J16" s="323">
        <v>26050</v>
      </c>
      <c r="K16" s="323">
        <v>2346.4949999999999</v>
      </c>
      <c r="L16" s="310">
        <v>10</v>
      </c>
      <c r="M16" s="324">
        <v>85423.907000000007</v>
      </c>
      <c r="N16" s="322">
        <v>1164.7909999999999</v>
      </c>
      <c r="O16" s="323">
        <v>7659.2240000000002</v>
      </c>
      <c r="P16" s="325">
        <v>65.2</v>
      </c>
      <c r="Q16" s="323">
        <v>196.3</v>
      </c>
      <c r="R16" s="323">
        <v>27591.496999999999</v>
      </c>
      <c r="S16" s="323">
        <v>30531.181</v>
      </c>
      <c r="T16" s="309">
        <v>439.375</v>
      </c>
      <c r="U16" s="326">
        <v>67647.567999999999</v>
      </c>
      <c r="V16" s="322">
        <v>6514.9859999999999</v>
      </c>
      <c r="W16" s="323">
        <v>400</v>
      </c>
      <c r="X16" s="323">
        <v>39817.881999999998</v>
      </c>
      <c r="Y16" s="323">
        <v>65.2</v>
      </c>
      <c r="Z16" s="323">
        <v>1596.3</v>
      </c>
      <c r="AA16" s="323">
        <v>41879.381999999998</v>
      </c>
      <c r="AB16" s="323">
        <v>45203.356</v>
      </c>
      <c r="AC16" s="323">
        <v>96.7</v>
      </c>
      <c r="AD16" s="323">
        <v>26050</v>
      </c>
      <c r="AE16" s="323">
        <v>32877.675999999999</v>
      </c>
      <c r="AF16" s="309">
        <v>449.375</v>
      </c>
      <c r="AG16" s="324">
        <v>153071.476</v>
      </c>
    </row>
    <row r="17" spans="1:33" ht="24.95" customHeight="1">
      <c r="A17" s="327">
        <v>2025</v>
      </c>
      <c r="B17" s="322">
        <v>5350.24</v>
      </c>
      <c r="C17" s="323">
        <v>400</v>
      </c>
      <c r="D17" s="323">
        <v>31658.657999999999</v>
      </c>
      <c r="E17" s="310" t="s">
        <v>133</v>
      </c>
      <c r="F17" s="309" t="s">
        <v>133</v>
      </c>
      <c r="G17" s="323">
        <v>32058.657999999999</v>
      </c>
      <c r="H17" s="323">
        <v>17611.859</v>
      </c>
      <c r="I17" s="323">
        <v>96.7</v>
      </c>
      <c r="J17" s="323">
        <v>26050</v>
      </c>
      <c r="K17" s="323">
        <v>2377.6239999999998</v>
      </c>
      <c r="L17" s="326">
        <v>10</v>
      </c>
      <c r="M17" s="324">
        <v>83555.081000000006</v>
      </c>
      <c r="N17" s="322">
        <v>1165.204</v>
      </c>
      <c r="O17" s="323">
        <v>8708.0190000000002</v>
      </c>
      <c r="P17" s="325">
        <v>65.2</v>
      </c>
      <c r="Q17" s="323">
        <v>196.3</v>
      </c>
      <c r="R17" s="323">
        <v>27861.496999999999</v>
      </c>
      <c r="S17" s="323">
        <v>34554.07</v>
      </c>
      <c r="T17" s="309">
        <v>457.375</v>
      </c>
      <c r="U17" s="326">
        <v>73007.665999999997</v>
      </c>
      <c r="V17" s="322">
        <v>6515.4440000000004</v>
      </c>
      <c r="W17" s="323">
        <v>400</v>
      </c>
      <c r="X17" s="323">
        <v>40366.677000000003</v>
      </c>
      <c r="Y17" s="323">
        <v>65.2</v>
      </c>
      <c r="Z17" s="323">
        <v>196.3</v>
      </c>
      <c r="AA17" s="323">
        <v>41028.177000000003</v>
      </c>
      <c r="AB17" s="323">
        <v>45473.356</v>
      </c>
      <c r="AC17" s="323">
        <v>96.7</v>
      </c>
      <c r="AD17" s="323">
        <v>26050</v>
      </c>
      <c r="AE17" s="323">
        <v>36931.695</v>
      </c>
      <c r="AF17" s="309">
        <v>467.375</v>
      </c>
      <c r="AG17" s="324">
        <v>156562.747</v>
      </c>
    </row>
    <row r="18" spans="1:33" ht="24.95" customHeight="1">
      <c r="A18" s="328">
        <v>2025.04</v>
      </c>
      <c r="B18" s="329">
        <v>5350.1949999999997</v>
      </c>
      <c r="C18" s="330">
        <v>400</v>
      </c>
      <c r="D18" s="330">
        <v>32158.657999999999</v>
      </c>
      <c r="E18" s="331" t="s">
        <v>133</v>
      </c>
      <c r="F18" s="332" t="s">
        <v>133</v>
      </c>
      <c r="G18" s="330">
        <v>32558.657999999999</v>
      </c>
      <c r="H18" s="330">
        <v>17611.859</v>
      </c>
      <c r="I18" s="330">
        <v>96.7</v>
      </c>
      <c r="J18" s="330">
        <v>26050</v>
      </c>
      <c r="K18" s="330">
        <v>2355.2950000000001</v>
      </c>
      <c r="L18" s="333">
        <v>10</v>
      </c>
      <c r="M18" s="334">
        <v>84032.706999999995</v>
      </c>
      <c r="N18" s="329">
        <v>1164.136</v>
      </c>
      <c r="O18" s="330">
        <v>8709.2240000000002</v>
      </c>
      <c r="P18" s="335">
        <v>65.2</v>
      </c>
      <c r="Q18" s="330">
        <v>196.3</v>
      </c>
      <c r="R18" s="330">
        <v>27861.496999999999</v>
      </c>
      <c r="S18" s="330">
        <v>31834.57</v>
      </c>
      <c r="T18" s="332">
        <v>438.875</v>
      </c>
      <c r="U18" s="333">
        <v>70269.801999999996</v>
      </c>
      <c r="V18" s="329">
        <v>6514.3310000000001</v>
      </c>
      <c r="W18" s="330">
        <v>400</v>
      </c>
      <c r="X18" s="330">
        <v>40867.881999999998</v>
      </c>
      <c r="Y18" s="330">
        <v>65.2</v>
      </c>
      <c r="Z18" s="330">
        <v>196.3</v>
      </c>
      <c r="AA18" s="330">
        <v>41529.381999999998</v>
      </c>
      <c r="AB18" s="330">
        <v>45473.356</v>
      </c>
      <c r="AC18" s="330">
        <v>96.7</v>
      </c>
      <c r="AD18" s="330">
        <v>26050</v>
      </c>
      <c r="AE18" s="330">
        <v>34189.864999999998</v>
      </c>
      <c r="AF18" s="332">
        <v>448.875</v>
      </c>
      <c r="AG18" s="334">
        <v>154302.51</v>
      </c>
    </row>
    <row r="19" spans="1:33" ht="24.95" customHeight="1">
      <c r="A19" s="336">
        <v>2025.05</v>
      </c>
      <c r="B19" s="322">
        <v>5350.24</v>
      </c>
      <c r="C19" s="323">
        <v>400</v>
      </c>
      <c r="D19" s="323">
        <v>32158.657999999999</v>
      </c>
      <c r="E19" s="310" t="s">
        <v>133</v>
      </c>
      <c r="F19" s="309" t="s">
        <v>133</v>
      </c>
      <c r="G19" s="323">
        <v>32558.657999999999</v>
      </c>
      <c r="H19" s="323">
        <v>17611.859</v>
      </c>
      <c r="I19" s="323">
        <v>96.7</v>
      </c>
      <c r="J19" s="323">
        <v>26050</v>
      </c>
      <c r="K19" s="323">
        <v>2355.962</v>
      </c>
      <c r="L19" s="326">
        <v>10</v>
      </c>
      <c r="M19" s="324">
        <v>84033.418999999994</v>
      </c>
      <c r="N19" s="322">
        <v>1164.1659999999999</v>
      </c>
      <c r="O19" s="323">
        <v>8709.2240000000002</v>
      </c>
      <c r="P19" s="325">
        <v>65.2</v>
      </c>
      <c r="Q19" s="323">
        <v>196.3</v>
      </c>
      <c r="R19" s="323">
        <v>27861.496999999999</v>
      </c>
      <c r="S19" s="323">
        <v>32203.558000000001</v>
      </c>
      <c r="T19" s="309">
        <v>439.375</v>
      </c>
      <c r="U19" s="326">
        <v>70639.320000000007</v>
      </c>
      <c r="V19" s="322">
        <v>6514.4059999999999</v>
      </c>
      <c r="W19" s="323">
        <v>400</v>
      </c>
      <c r="X19" s="323">
        <v>40867.881999999998</v>
      </c>
      <c r="Y19" s="323">
        <v>65.2</v>
      </c>
      <c r="Z19" s="323">
        <v>196.3</v>
      </c>
      <c r="AA19" s="323">
        <v>41529.381999999998</v>
      </c>
      <c r="AB19" s="323">
        <v>45473.356</v>
      </c>
      <c r="AC19" s="323">
        <v>96.7</v>
      </c>
      <c r="AD19" s="323">
        <v>26050</v>
      </c>
      <c r="AE19" s="323">
        <v>34559.519999999997</v>
      </c>
      <c r="AF19" s="309">
        <v>449.375</v>
      </c>
      <c r="AG19" s="324">
        <v>154672.739</v>
      </c>
    </row>
    <row r="20" spans="1:33" ht="24.95" customHeight="1">
      <c r="A20" s="336">
        <v>2025.06</v>
      </c>
      <c r="B20" s="322">
        <v>5350.24</v>
      </c>
      <c r="C20" s="323">
        <v>400</v>
      </c>
      <c r="D20" s="323">
        <v>32158.657999999999</v>
      </c>
      <c r="E20" s="310" t="s">
        <v>133</v>
      </c>
      <c r="F20" s="309" t="s">
        <v>133</v>
      </c>
      <c r="G20" s="323">
        <v>32558.657999999999</v>
      </c>
      <c r="H20" s="323">
        <v>17611.859</v>
      </c>
      <c r="I20" s="323">
        <v>96.7</v>
      </c>
      <c r="J20" s="323">
        <v>26050</v>
      </c>
      <c r="K20" s="323">
        <v>2356.4229999999998</v>
      </c>
      <c r="L20" s="326">
        <v>10</v>
      </c>
      <c r="M20" s="324">
        <v>84033.88</v>
      </c>
      <c r="N20" s="322">
        <v>1164.9159999999999</v>
      </c>
      <c r="O20" s="323">
        <v>8709.2240000000002</v>
      </c>
      <c r="P20" s="325">
        <v>65.2</v>
      </c>
      <c r="Q20" s="323">
        <v>196.3</v>
      </c>
      <c r="R20" s="323">
        <v>27861.496999999999</v>
      </c>
      <c r="S20" s="323">
        <v>32484.167000000001</v>
      </c>
      <c r="T20" s="309">
        <v>439.375</v>
      </c>
      <c r="U20" s="326">
        <v>70920.679000000004</v>
      </c>
      <c r="V20" s="322">
        <v>6515.1559999999999</v>
      </c>
      <c r="W20" s="323">
        <v>400</v>
      </c>
      <c r="X20" s="323">
        <v>40867.881999999998</v>
      </c>
      <c r="Y20" s="323">
        <v>65.2</v>
      </c>
      <c r="Z20" s="323">
        <v>196.3</v>
      </c>
      <c r="AA20" s="323">
        <v>41529.381999999998</v>
      </c>
      <c r="AB20" s="323">
        <v>45473.356</v>
      </c>
      <c r="AC20" s="323">
        <v>96.7</v>
      </c>
      <c r="AD20" s="323">
        <v>26050</v>
      </c>
      <c r="AE20" s="323">
        <v>34840.589999999997</v>
      </c>
      <c r="AF20" s="309">
        <v>449.375</v>
      </c>
      <c r="AG20" s="324">
        <v>154954.55900000001</v>
      </c>
    </row>
    <row r="21" spans="1:33" ht="24.95" customHeight="1">
      <c r="A21" s="336">
        <v>2025.07</v>
      </c>
      <c r="B21" s="322">
        <v>5350.24</v>
      </c>
      <c r="C21" s="323">
        <v>400</v>
      </c>
      <c r="D21" s="323">
        <v>32158.657999999999</v>
      </c>
      <c r="E21" s="310" t="s">
        <v>133</v>
      </c>
      <c r="F21" s="309" t="s">
        <v>133</v>
      </c>
      <c r="G21" s="323">
        <v>32558.657999999999</v>
      </c>
      <c r="H21" s="323">
        <v>17611.859</v>
      </c>
      <c r="I21" s="323">
        <v>96.7</v>
      </c>
      <c r="J21" s="323">
        <v>26050</v>
      </c>
      <c r="K21" s="323">
        <v>2361.1</v>
      </c>
      <c r="L21" s="326">
        <v>10</v>
      </c>
      <c r="M21" s="324">
        <v>84038.557000000001</v>
      </c>
      <c r="N21" s="322">
        <v>1164.9000000000001</v>
      </c>
      <c r="O21" s="323">
        <v>8709.2240000000002</v>
      </c>
      <c r="P21" s="325">
        <v>65.2</v>
      </c>
      <c r="Q21" s="323">
        <v>196.3</v>
      </c>
      <c r="R21" s="323">
        <v>27861.496999999999</v>
      </c>
      <c r="S21" s="323">
        <v>32833.262999999999</v>
      </c>
      <c r="T21" s="309">
        <v>439.375</v>
      </c>
      <c r="U21" s="326">
        <v>71269.759000000005</v>
      </c>
      <c r="V21" s="322">
        <v>6515.14</v>
      </c>
      <c r="W21" s="323">
        <v>400</v>
      </c>
      <c r="X21" s="323">
        <v>40867.881999999998</v>
      </c>
      <c r="Y21" s="323">
        <v>65.2</v>
      </c>
      <c r="Z21" s="323">
        <v>196.3</v>
      </c>
      <c r="AA21" s="323">
        <v>41529.381999999998</v>
      </c>
      <c r="AB21" s="323">
        <v>45473.356</v>
      </c>
      <c r="AC21" s="323">
        <v>96.7</v>
      </c>
      <c r="AD21" s="323">
        <v>26050</v>
      </c>
      <c r="AE21" s="323">
        <v>35194.362999999998</v>
      </c>
      <c r="AF21" s="309">
        <v>449.375</v>
      </c>
      <c r="AG21" s="324">
        <v>155308.31599999999</v>
      </c>
    </row>
    <row r="22" spans="1:33" ht="24.95" customHeight="1">
      <c r="A22" s="336">
        <v>2025.08</v>
      </c>
      <c r="B22" s="322">
        <v>5350.24</v>
      </c>
      <c r="C22" s="323">
        <v>400</v>
      </c>
      <c r="D22" s="323">
        <v>32158.657999999999</v>
      </c>
      <c r="E22" s="310" t="s">
        <v>133</v>
      </c>
      <c r="F22" s="309" t="s">
        <v>133</v>
      </c>
      <c r="G22" s="323">
        <v>32558.657999999999</v>
      </c>
      <c r="H22" s="323">
        <v>17611.859</v>
      </c>
      <c r="I22" s="323">
        <v>96.7</v>
      </c>
      <c r="J22" s="323">
        <v>26050</v>
      </c>
      <c r="K22" s="323">
        <v>2362.105</v>
      </c>
      <c r="L22" s="326">
        <v>10</v>
      </c>
      <c r="M22" s="324">
        <v>84039.562000000005</v>
      </c>
      <c r="N22" s="322">
        <v>1165.2260000000001</v>
      </c>
      <c r="O22" s="323">
        <v>8708.0190000000002</v>
      </c>
      <c r="P22" s="325">
        <v>65.2</v>
      </c>
      <c r="Q22" s="323">
        <v>196.3</v>
      </c>
      <c r="R22" s="323">
        <v>27861.496999999999</v>
      </c>
      <c r="S22" s="323">
        <v>33191.173999999999</v>
      </c>
      <c r="T22" s="309">
        <v>439.375</v>
      </c>
      <c r="U22" s="326">
        <v>71626.790999999997</v>
      </c>
      <c r="V22" s="322">
        <v>6515.4660000000003</v>
      </c>
      <c r="W22" s="323">
        <v>400</v>
      </c>
      <c r="X22" s="323">
        <v>40866.677000000003</v>
      </c>
      <c r="Y22" s="323">
        <v>65.2</v>
      </c>
      <c r="Z22" s="323">
        <v>196.3</v>
      </c>
      <c r="AA22" s="323">
        <v>41528.177000000003</v>
      </c>
      <c r="AB22" s="323">
        <v>45473.356</v>
      </c>
      <c r="AC22" s="323">
        <v>96.7</v>
      </c>
      <c r="AD22" s="323">
        <v>26050</v>
      </c>
      <c r="AE22" s="323">
        <v>35553.279000000002</v>
      </c>
      <c r="AF22" s="309">
        <v>449.375</v>
      </c>
      <c r="AG22" s="324">
        <v>155666.353</v>
      </c>
    </row>
    <row r="23" spans="1:33" ht="24.95" customHeight="1">
      <c r="A23" s="336">
        <v>2025.09</v>
      </c>
      <c r="B23" s="325">
        <v>5350.24</v>
      </c>
      <c r="C23" s="323">
        <v>400</v>
      </c>
      <c r="D23" s="323">
        <v>32158.657999999999</v>
      </c>
      <c r="E23" s="310" t="s">
        <v>133</v>
      </c>
      <c r="F23" s="309" t="s">
        <v>133</v>
      </c>
      <c r="G23" s="323">
        <v>32558.657999999999</v>
      </c>
      <c r="H23" s="323">
        <v>17611.859</v>
      </c>
      <c r="I23" s="323">
        <v>96.7</v>
      </c>
      <c r="J23" s="323">
        <v>26050</v>
      </c>
      <c r="K23" s="323">
        <v>2364.721</v>
      </c>
      <c r="L23" s="326">
        <v>10</v>
      </c>
      <c r="M23" s="324">
        <v>84042.178</v>
      </c>
      <c r="N23" s="322">
        <v>1165.2260000000001</v>
      </c>
      <c r="O23" s="323">
        <v>8708.0190000000002</v>
      </c>
      <c r="P23" s="325">
        <v>65.2</v>
      </c>
      <c r="Q23" s="323">
        <v>196.3</v>
      </c>
      <c r="R23" s="323">
        <v>27861.496999999999</v>
      </c>
      <c r="S23" s="323">
        <v>33436.555999999997</v>
      </c>
      <c r="T23" s="309">
        <v>439.375</v>
      </c>
      <c r="U23" s="326">
        <v>71872.173999999999</v>
      </c>
      <c r="V23" s="322">
        <v>6515.4660000000003</v>
      </c>
      <c r="W23" s="323">
        <v>400</v>
      </c>
      <c r="X23" s="323">
        <v>40866.677000000003</v>
      </c>
      <c r="Y23" s="323">
        <v>65.2</v>
      </c>
      <c r="Z23" s="323">
        <v>196.3</v>
      </c>
      <c r="AA23" s="323">
        <v>41528.177000000003</v>
      </c>
      <c r="AB23" s="323">
        <v>45473.356</v>
      </c>
      <c r="AC23" s="323">
        <v>96.7</v>
      </c>
      <c r="AD23" s="323">
        <v>26050</v>
      </c>
      <c r="AE23" s="323">
        <v>35801.277000000002</v>
      </c>
      <c r="AF23" s="309">
        <v>449.375</v>
      </c>
      <c r="AG23" s="324">
        <v>155914.35200000001</v>
      </c>
    </row>
    <row r="24" spans="1:33" ht="24.95" customHeight="1">
      <c r="A24" s="336">
        <v>2025.1</v>
      </c>
      <c r="B24" s="325">
        <v>5350.24</v>
      </c>
      <c r="C24" s="323">
        <v>400</v>
      </c>
      <c r="D24" s="323">
        <v>32158.657999999999</v>
      </c>
      <c r="E24" s="310" t="s">
        <v>133</v>
      </c>
      <c r="F24" s="309" t="s">
        <v>133</v>
      </c>
      <c r="G24" s="323">
        <v>32558.657999999999</v>
      </c>
      <c r="H24" s="323">
        <v>17611.859</v>
      </c>
      <c r="I24" s="323">
        <v>96.7</v>
      </c>
      <c r="J24" s="323">
        <v>26050</v>
      </c>
      <c r="K24" s="323">
        <v>2366.123</v>
      </c>
      <c r="L24" s="326">
        <v>10</v>
      </c>
      <c r="M24" s="324">
        <v>84043.58</v>
      </c>
      <c r="N24" s="322">
        <v>1165.2260000000001</v>
      </c>
      <c r="O24" s="323">
        <v>8708.0190000000002</v>
      </c>
      <c r="P24" s="325">
        <v>65.2</v>
      </c>
      <c r="Q24" s="323">
        <v>196.3</v>
      </c>
      <c r="R24" s="323">
        <v>27861.496999999999</v>
      </c>
      <c r="S24" s="323">
        <v>33788.082000000002</v>
      </c>
      <c r="T24" s="309">
        <v>445.375</v>
      </c>
      <c r="U24" s="324">
        <v>72229.698999999993</v>
      </c>
      <c r="V24" s="325">
        <v>6515.4660000000003</v>
      </c>
      <c r="W24" s="323">
        <v>400</v>
      </c>
      <c r="X24" s="323">
        <v>40866.677000000003</v>
      </c>
      <c r="Y24" s="323">
        <v>65.2</v>
      </c>
      <c r="Z24" s="323">
        <v>196.3</v>
      </c>
      <c r="AA24" s="323">
        <v>41528.177000000003</v>
      </c>
      <c r="AB24" s="323">
        <v>45473.356</v>
      </c>
      <c r="AC24" s="323">
        <v>96.7</v>
      </c>
      <c r="AD24" s="323">
        <v>26050</v>
      </c>
      <c r="AE24" s="323">
        <v>36154.205000000002</v>
      </c>
      <c r="AF24" s="309">
        <v>455.375</v>
      </c>
      <c r="AG24" s="324">
        <v>156273.27900000001</v>
      </c>
    </row>
    <row r="25" spans="1:33" ht="24.95" customHeight="1">
      <c r="A25" s="336">
        <v>2025.11</v>
      </c>
      <c r="B25" s="325">
        <v>5350.24</v>
      </c>
      <c r="C25" s="323">
        <v>400</v>
      </c>
      <c r="D25" s="323">
        <v>32158.657999999999</v>
      </c>
      <c r="E25" s="310" t="s">
        <v>133</v>
      </c>
      <c r="F25" s="309" t="s">
        <v>133</v>
      </c>
      <c r="G25" s="323">
        <v>32558.657999999999</v>
      </c>
      <c r="H25" s="323">
        <v>17611.859</v>
      </c>
      <c r="I25" s="323">
        <v>96.7</v>
      </c>
      <c r="J25" s="323">
        <v>26050</v>
      </c>
      <c r="K25" s="323">
        <v>2366.8229999999999</v>
      </c>
      <c r="L25" s="326">
        <v>10</v>
      </c>
      <c r="M25" s="324">
        <v>84044.28</v>
      </c>
      <c r="N25" s="322">
        <v>1165.2260000000001</v>
      </c>
      <c r="O25" s="323">
        <v>8708.0190000000002</v>
      </c>
      <c r="P25" s="325">
        <v>65.2</v>
      </c>
      <c r="Q25" s="323">
        <v>196.3</v>
      </c>
      <c r="R25" s="323">
        <v>27861.496999999999</v>
      </c>
      <c r="S25" s="323">
        <v>34006.368999999999</v>
      </c>
      <c r="T25" s="309">
        <v>445.375</v>
      </c>
      <c r="U25" s="324">
        <v>72447.986999999994</v>
      </c>
      <c r="V25" s="325">
        <v>6515.4660000000003</v>
      </c>
      <c r="W25" s="323">
        <v>400</v>
      </c>
      <c r="X25" s="323">
        <v>40866.677000000003</v>
      </c>
      <c r="Y25" s="323">
        <v>65.2</v>
      </c>
      <c r="Z25" s="323">
        <v>196.3</v>
      </c>
      <c r="AA25" s="323">
        <v>41528.177000000003</v>
      </c>
      <c r="AB25" s="323">
        <v>45473.356</v>
      </c>
      <c r="AC25" s="323">
        <v>96.7</v>
      </c>
      <c r="AD25" s="323">
        <v>26050</v>
      </c>
      <c r="AE25" s="323">
        <v>36373.192000000003</v>
      </c>
      <c r="AF25" s="309">
        <v>455.375</v>
      </c>
      <c r="AG25" s="324">
        <v>156492.266</v>
      </c>
    </row>
    <row r="26" spans="1:33" ht="24.95" customHeight="1">
      <c r="A26" s="336">
        <v>2025.12</v>
      </c>
      <c r="B26" s="325">
        <v>5350.24</v>
      </c>
      <c r="C26" s="323">
        <v>400</v>
      </c>
      <c r="D26" s="323">
        <v>31658.657999999999</v>
      </c>
      <c r="E26" s="310" t="s">
        <v>133</v>
      </c>
      <c r="F26" s="309" t="s">
        <v>133</v>
      </c>
      <c r="G26" s="323">
        <v>32058.657999999999</v>
      </c>
      <c r="H26" s="323">
        <v>17611.859</v>
      </c>
      <c r="I26" s="323">
        <v>96.7</v>
      </c>
      <c r="J26" s="323">
        <v>26050</v>
      </c>
      <c r="K26" s="323">
        <v>2377.6239999999998</v>
      </c>
      <c r="L26" s="326">
        <v>10</v>
      </c>
      <c r="M26" s="324">
        <v>83555.081000000006</v>
      </c>
      <c r="N26" s="322">
        <v>1165.204</v>
      </c>
      <c r="O26" s="323">
        <v>8708.0190000000002</v>
      </c>
      <c r="P26" s="325">
        <v>65.2</v>
      </c>
      <c r="Q26" s="323">
        <v>196.3</v>
      </c>
      <c r="R26" s="323">
        <v>27861.496999999999</v>
      </c>
      <c r="S26" s="323">
        <v>34554.07</v>
      </c>
      <c r="T26" s="309">
        <v>457.375</v>
      </c>
      <c r="U26" s="324">
        <v>73007.665999999997</v>
      </c>
      <c r="V26" s="325">
        <v>6515.4440000000004</v>
      </c>
      <c r="W26" s="323">
        <v>400</v>
      </c>
      <c r="X26" s="323">
        <v>40366.677000000003</v>
      </c>
      <c r="Y26" s="323">
        <v>65.2</v>
      </c>
      <c r="Z26" s="323">
        <v>196.3</v>
      </c>
      <c r="AA26" s="323">
        <v>41028.177000000003</v>
      </c>
      <c r="AB26" s="323">
        <v>45473.356</v>
      </c>
      <c r="AC26" s="323">
        <v>96.7</v>
      </c>
      <c r="AD26" s="323">
        <v>26050</v>
      </c>
      <c r="AE26" s="323">
        <v>36931.695</v>
      </c>
      <c r="AF26" s="309">
        <v>467.375</v>
      </c>
      <c r="AG26" s="324">
        <v>156562.747</v>
      </c>
    </row>
    <row r="27" spans="1:33" ht="24.95" customHeight="1">
      <c r="A27" s="337">
        <v>2026.01</v>
      </c>
      <c r="B27" s="335">
        <v>5350.24</v>
      </c>
      <c r="C27" s="330">
        <v>400</v>
      </c>
      <c r="D27" s="330">
        <v>31658.657999999999</v>
      </c>
      <c r="E27" s="331" t="s">
        <v>133</v>
      </c>
      <c r="F27" s="332" t="s">
        <v>133</v>
      </c>
      <c r="G27" s="330">
        <v>32058.657999999999</v>
      </c>
      <c r="H27" s="330">
        <v>17611.859</v>
      </c>
      <c r="I27" s="330">
        <v>96.7</v>
      </c>
      <c r="J27" s="330">
        <v>26050</v>
      </c>
      <c r="K27" s="330">
        <v>2383.9189999999999</v>
      </c>
      <c r="L27" s="333">
        <v>10</v>
      </c>
      <c r="M27" s="334">
        <v>83561.376000000004</v>
      </c>
      <c r="N27" s="329">
        <v>1165.3040000000001</v>
      </c>
      <c r="O27" s="330">
        <v>8708.0190000000002</v>
      </c>
      <c r="P27" s="335">
        <v>65.2</v>
      </c>
      <c r="Q27" s="330">
        <v>196.3</v>
      </c>
      <c r="R27" s="330">
        <v>27861.496999999999</v>
      </c>
      <c r="S27" s="330">
        <v>35230.061999999998</v>
      </c>
      <c r="T27" s="332">
        <v>497.255</v>
      </c>
      <c r="U27" s="334">
        <v>73723.638000000006</v>
      </c>
      <c r="V27" s="335">
        <v>6515.5439999999999</v>
      </c>
      <c r="W27" s="330">
        <v>400</v>
      </c>
      <c r="X27" s="330">
        <v>40366.677000000003</v>
      </c>
      <c r="Y27" s="330">
        <v>65.2</v>
      </c>
      <c r="Z27" s="330">
        <v>196.3</v>
      </c>
      <c r="AA27" s="330">
        <v>41028.177000000003</v>
      </c>
      <c r="AB27" s="330">
        <v>45473.356</v>
      </c>
      <c r="AC27" s="330">
        <v>96.7</v>
      </c>
      <c r="AD27" s="330">
        <v>26050</v>
      </c>
      <c r="AE27" s="330">
        <v>37613.981</v>
      </c>
      <c r="AF27" s="332">
        <v>507.255</v>
      </c>
      <c r="AG27" s="334">
        <v>157285.014</v>
      </c>
    </row>
    <row r="28" spans="1:33" ht="24.95" customHeight="1">
      <c r="A28" s="336">
        <v>2026.02</v>
      </c>
      <c r="B28" s="325">
        <v>5350.24</v>
      </c>
      <c r="C28" s="323">
        <v>400</v>
      </c>
      <c r="D28" s="323">
        <v>31658.657999999999</v>
      </c>
      <c r="E28" s="310" t="s">
        <v>133</v>
      </c>
      <c r="F28" s="309" t="s">
        <v>133</v>
      </c>
      <c r="G28" s="323">
        <v>32058.657999999999</v>
      </c>
      <c r="H28" s="323">
        <v>18113.258999999998</v>
      </c>
      <c r="I28" s="323">
        <v>96.7</v>
      </c>
      <c r="J28" s="323">
        <v>26050</v>
      </c>
      <c r="K28" s="323">
        <v>2383.299</v>
      </c>
      <c r="L28" s="326">
        <v>10</v>
      </c>
      <c r="M28" s="324">
        <v>84062.156000000003</v>
      </c>
      <c r="N28" s="322">
        <v>1165.3040000000001</v>
      </c>
      <c r="O28" s="323">
        <v>8708.0190000000002</v>
      </c>
      <c r="P28" s="325">
        <v>65.2</v>
      </c>
      <c r="Q28" s="323">
        <v>196.3</v>
      </c>
      <c r="R28" s="323">
        <v>27861.496999999999</v>
      </c>
      <c r="S28" s="323">
        <v>35591.65</v>
      </c>
      <c r="T28" s="309">
        <v>497.255</v>
      </c>
      <c r="U28" s="324">
        <v>74085.225000000006</v>
      </c>
      <c r="V28" s="325">
        <v>6515.5439999999999</v>
      </c>
      <c r="W28" s="323">
        <v>400</v>
      </c>
      <c r="X28" s="323">
        <v>40366.677000000003</v>
      </c>
      <c r="Y28" s="323">
        <v>65.2</v>
      </c>
      <c r="Z28" s="323">
        <v>196.3</v>
      </c>
      <c r="AA28" s="323">
        <v>41028.177000000003</v>
      </c>
      <c r="AB28" s="323">
        <v>45974.756000000001</v>
      </c>
      <c r="AC28" s="323">
        <v>96.7</v>
      </c>
      <c r="AD28" s="323">
        <v>26050</v>
      </c>
      <c r="AE28" s="323">
        <v>37974.949000000001</v>
      </c>
      <c r="AF28" s="309">
        <v>507.255</v>
      </c>
      <c r="AG28" s="324">
        <v>158147.38099999999</v>
      </c>
    </row>
    <row r="29" spans="1:33" ht="24.95" customHeight="1">
      <c r="A29" s="336">
        <v>2026.03</v>
      </c>
      <c r="B29" s="325">
        <v>5350.24</v>
      </c>
      <c r="C29" s="323">
        <v>400</v>
      </c>
      <c r="D29" s="323">
        <v>31658.657999999999</v>
      </c>
      <c r="E29" s="310" t="s">
        <v>133</v>
      </c>
      <c r="F29" s="309" t="s">
        <v>133</v>
      </c>
      <c r="G29" s="323">
        <v>32058.657999999999</v>
      </c>
      <c r="H29" s="323">
        <v>18113.258999999998</v>
      </c>
      <c r="I29" s="323">
        <v>96.7</v>
      </c>
      <c r="J29" s="323">
        <v>26050</v>
      </c>
      <c r="K29" s="323">
        <v>2386.1669999999999</v>
      </c>
      <c r="L29" s="326">
        <v>10</v>
      </c>
      <c r="M29" s="324">
        <v>84065.024000000005</v>
      </c>
      <c r="N29" s="322">
        <v>1165.4390000000001</v>
      </c>
      <c r="O29" s="323">
        <v>8708.0190000000002</v>
      </c>
      <c r="P29" s="325">
        <v>65.2</v>
      </c>
      <c r="Q29" s="323">
        <v>196.3</v>
      </c>
      <c r="R29" s="323">
        <v>27861.496999999999</v>
      </c>
      <c r="S29" s="323">
        <v>35702.798999999999</v>
      </c>
      <c r="T29" s="309">
        <v>521.255</v>
      </c>
      <c r="U29" s="324">
        <v>74220.509999999995</v>
      </c>
      <c r="V29" s="325">
        <v>6515.6790000000001</v>
      </c>
      <c r="W29" s="323">
        <v>400</v>
      </c>
      <c r="X29" s="323">
        <v>40366.677000000003</v>
      </c>
      <c r="Y29" s="323">
        <v>65.2</v>
      </c>
      <c r="Z29" s="323">
        <v>196.3</v>
      </c>
      <c r="AA29" s="323">
        <v>41028.177000000003</v>
      </c>
      <c r="AB29" s="323">
        <v>45974.756000000001</v>
      </c>
      <c r="AC29" s="323">
        <v>96.7</v>
      </c>
      <c r="AD29" s="323">
        <v>26050</v>
      </c>
      <c r="AE29" s="323">
        <v>38088.966</v>
      </c>
      <c r="AF29" s="309">
        <v>531.255</v>
      </c>
      <c r="AG29" s="324">
        <v>158285.53400000001</v>
      </c>
    </row>
    <row r="30" spans="1:33" ht="24.95" customHeight="1">
      <c r="A30" s="338">
        <v>2026.04</v>
      </c>
      <c r="B30" s="339">
        <v>5350.24</v>
      </c>
      <c r="C30" s="340">
        <v>400</v>
      </c>
      <c r="D30" s="340">
        <v>31658.657999999999</v>
      </c>
      <c r="E30" s="341" t="s">
        <v>133</v>
      </c>
      <c r="F30" s="342" t="s">
        <v>133</v>
      </c>
      <c r="G30" s="340">
        <v>32058.657999999999</v>
      </c>
      <c r="H30" s="340">
        <v>18113.258999999998</v>
      </c>
      <c r="I30" s="340">
        <v>96.7</v>
      </c>
      <c r="J30" s="340">
        <v>26050</v>
      </c>
      <c r="K30" s="340">
        <v>2397.63</v>
      </c>
      <c r="L30" s="343">
        <v>10</v>
      </c>
      <c r="M30" s="344">
        <v>84076.486999999994</v>
      </c>
      <c r="N30" s="345">
        <v>1165.4259999999999</v>
      </c>
      <c r="O30" s="340">
        <v>8708.0190000000002</v>
      </c>
      <c r="P30" s="339">
        <v>65.2</v>
      </c>
      <c r="Q30" s="340">
        <v>196.3</v>
      </c>
      <c r="R30" s="340">
        <v>27861.496999999999</v>
      </c>
      <c r="S30" s="340">
        <v>36117.133999999998</v>
      </c>
      <c r="T30" s="342">
        <v>521.255</v>
      </c>
      <c r="U30" s="344">
        <v>74634.831000000006</v>
      </c>
      <c r="V30" s="339">
        <v>6515.6660000000002</v>
      </c>
      <c r="W30" s="340">
        <v>400</v>
      </c>
      <c r="X30" s="340">
        <v>40366.677000000003</v>
      </c>
      <c r="Y30" s="340">
        <v>65.2</v>
      </c>
      <c r="Z30" s="340">
        <v>196.3</v>
      </c>
      <c r="AA30" s="340">
        <v>41028.177000000003</v>
      </c>
      <c r="AB30" s="340">
        <v>45974.756000000001</v>
      </c>
      <c r="AC30" s="340">
        <v>96.7</v>
      </c>
      <c r="AD30" s="340">
        <v>26050</v>
      </c>
      <c r="AE30" s="340">
        <v>38514.764000000003</v>
      </c>
      <c r="AF30" s="342">
        <v>531.255</v>
      </c>
      <c r="AG30" s="344">
        <v>158711.318</v>
      </c>
    </row>
    <row r="31" spans="1:33" s="273" customFormat="1" ht="12.75" customHeight="1">
      <c r="A31" s="346" t="s">
        <v>169</v>
      </c>
      <c r="B31" s="347"/>
      <c r="C31" s="347"/>
      <c r="D31" s="347"/>
      <c r="E31" s="347"/>
      <c r="F31" s="347"/>
      <c r="G31" s="347"/>
      <c r="H31" s="347"/>
      <c r="I31" s="347"/>
      <c r="J31" s="271"/>
      <c r="K31" s="271"/>
      <c r="L31" s="271"/>
      <c r="M31" s="347"/>
      <c r="N31" s="272"/>
      <c r="O31" s="272"/>
      <c r="P31" s="272"/>
      <c r="Q31" s="346"/>
      <c r="R31" s="346"/>
      <c r="S31" s="272"/>
      <c r="T31" s="272"/>
      <c r="U31" s="272"/>
      <c r="V31" s="348"/>
      <c r="W31" s="272"/>
      <c r="X31" s="272"/>
      <c r="Y31" s="271"/>
      <c r="Z31" s="349"/>
      <c r="AA31" s="272"/>
      <c r="AB31" s="271"/>
      <c r="AC31" s="271"/>
      <c r="AD31" s="271"/>
      <c r="AE31" s="271"/>
      <c r="AF31" s="271"/>
      <c r="AG31" s="350"/>
    </row>
    <row r="32" spans="1:33" s="273" customFormat="1" ht="12.75" customHeight="1">
      <c r="A32" s="346" t="s">
        <v>170</v>
      </c>
      <c r="B32" s="347"/>
      <c r="C32" s="347"/>
      <c r="D32" s="347"/>
      <c r="E32" s="347"/>
      <c r="F32" s="347"/>
      <c r="G32" s="347"/>
      <c r="H32" s="347"/>
      <c r="I32" s="347"/>
      <c r="J32" s="271"/>
      <c r="K32" s="271"/>
      <c r="L32" s="271"/>
      <c r="M32" s="347"/>
      <c r="N32" s="272"/>
      <c r="O32" s="272"/>
      <c r="P32" s="272"/>
      <c r="Q32" s="346"/>
      <c r="R32" s="271"/>
      <c r="S32" s="272"/>
      <c r="T32" s="272"/>
      <c r="U32" s="272"/>
      <c r="V32" s="348"/>
      <c r="W32" s="272"/>
      <c r="X32" s="272"/>
      <c r="Y32" s="271"/>
      <c r="Z32" s="349"/>
      <c r="AA32" s="272"/>
      <c r="AB32" s="271"/>
      <c r="AC32" s="271"/>
      <c r="AD32" s="271"/>
      <c r="AE32" s="271"/>
      <c r="AF32" s="271"/>
      <c r="AG32" s="350"/>
    </row>
    <row r="33" spans="1:30" s="351" customFormat="1" ht="12.75" customHeight="1">
      <c r="A33" s="346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AD33" s="13"/>
    </row>
    <row r="34" spans="1:30" s="351" customFormat="1" ht="12.75" customHeight="1">
      <c r="A34" s="346"/>
      <c r="B34" s="352"/>
      <c r="C34" s="352"/>
      <c r="D34" s="352"/>
      <c r="E34" s="352"/>
      <c r="F34" s="352"/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2"/>
    </row>
  </sheetData>
  <mergeCells count="28">
    <mergeCell ref="AB5:AB6"/>
    <mergeCell ref="AC5:AC6"/>
    <mergeCell ref="AD5:AD6"/>
    <mergeCell ref="AE5:AE6"/>
    <mergeCell ref="AF5:AF6"/>
    <mergeCell ref="AG5:AG6"/>
    <mergeCell ref="R5:R6"/>
    <mergeCell ref="S5:S6"/>
    <mergeCell ref="T5:T6"/>
    <mergeCell ref="U5:U6"/>
    <mergeCell ref="V5:V6"/>
    <mergeCell ref="W5:AA5"/>
    <mergeCell ref="J5:J6"/>
    <mergeCell ref="K5:K6"/>
    <mergeCell ref="L5:L6"/>
    <mergeCell ref="M5:M6"/>
    <mergeCell ref="N5:N6"/>
    <mergeCell ref="O5:Q5"/>
    <mergeCell ref="N3:O3"/>
    <mergeCell ref="A4:A6"/>
    <mergeCell ref="B4:M4"/>
    <mergeCell ref="N4:Q4"/>
    <mergeCell ref="R4:U4"/>
    <mergeCell ref="V4:AG4"/>
    <mergeCell ref="B5:B6"/>
    <mergeCell ref="C5:G5"/>
    <mergeCell ref="H5:H6"/>
    <mergeCell ref="I5:I6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12" fitToWidth="0" fitToHeight="0" orientation="portrait" useFirstPageNumber="1" r:id="rId1"/>
  <headerFooter differentOddEven="1" scaleWithDoc="0" alignWithMargins="0">
    <firstFooter>&amp;R&amp;P</firstFooter>
  </headerFooter>
  <colBreaks count="1" manualBreakCount="1">
    <brk id="17" max="3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CCBF-1C0C-4335-A60C-49B199A999E4}">
  <sheetPr>
    <tabColor theme="8"/>
  </sheetPr>
  <dimension ref="A1:AB39"/>
  <sheetViews>
    <sheetView showGridLines="0" view="pageBreakPreview" zoomScaleNormal="100" zoomScaleSheetLayoutView="100" workbookViewId="0"/>
  </sheetViews>
  <sheetFormatPr defaultColWidth="7.875" defaultRowHeight="16.5"/>
  <cols>
    <col min="1" max="1" width="12.125" style="201" customWidth="1"/>
    <col min="2" max="5" width="9.375" style="201" customWidth="1"/>
    <col min="6" max="6" width="8.75" style="201" customWidth="1"/>
    <col min="7" max="12" width="9.375" style="201" customWidth="1"/>
    <col min="13" max="13" width="9.875" style="201" customWidth="1"/>
    <col min="14" max="14" width="9.375" style="201" customWidth="1"/>
    <col min="15" max="15" width="9.5" style="201" customWidth="1"/>
    <col min="16" max="18" width="9.375" style="201" customWidth="1"/>
    <col min="19" max="19" width="9.625" style="201" customWidth="1"/>
    <col min="20" max="20" width="12.125" style="201" customWidth="1"/>
    <col min="21" max="16384" width="7.875" style="201"/>
  </cols>
  <sheetData>
    <row r="1" spans="1:20" ht="23.1" customHeight="1">
      <c r="A1" s="354" t="s">
        <v>171</v>
      </c>
    </row>
    <row r="2" spans="1:20" s="355" customFormat="1" ht="23.1" customHeight="1">
      <c r="A2" s="355" t="s">
        <v>172</v>
      </c>
      <c r="L2" s="356"/>
      <c r="N2" s="356"/>
      <c r="O2" s="356"/>
    </row>
    <row r="3" spans="1:20" ht="20.100000000000001" customHeight="1">
      <c r="A3" s="357" t="s">
        <v>173</v>
      </c>
      <c r="S3" s="358"/>
      <c r="T3" s="358" t="s">
        <v>174</v>
      </c>
    </row>
    <row r="4" spans="1:20" ht="24" customHeight="1">
      <c r="A4" s="359" t="s">
        <v>175</v>
      </c>
      <c r="B4" s="360" t="s">
        <v>176</v>
      </c>
      <c r="C4" s="360"/>
      <c r="D4" s="360"/>
      <c r="E4" s="361"/>
      <c r="F4" s="362" t="s">
        <v>177</v>
      </c>
      <c r="G4" s="360"/>
      <c r="H4" s="360"/>
      <c r="I4" s="360"/>
      <c r="J4" s="361"/>
      <c r="K4" s="362" t="s">
        <v>178</v>
      </c>
      <c r="L4" s="360"/>
      <c r="M4" s="361"/>
      <c r="N4" s="363" t="s">
        <v>179</v>
      </c>
      <c r="O4" s="363" t="s">
        <v>12</v>
      </c>
      <c r="P4" s="363" t="s">
        <v>180</v>
      </c>
      <c r="Q4" s="364" t="s">
        <v>158</v>
      </c>
      <c r="R4" s="364" t="s">
        <v>112</v>
      </c>
      <c r="S4" s="365" t="s">
        <v>181</v>
      </c>
      <c r="T4" s="366" t="s">
        <v>182</v>
      </c>
    </row>
    <row r="5" spans="1:20" ht="24" customHeight="1">
      <c r="A5" s="367"/>
      <c r="B5" s="368" t="s">
        <v>183</v>
      </c>
      <c r="C5" s="369" t="s">
        <v>184</v>
      </c>
      <c r="D5" s="369" t="s">
        <v>185</v>
      </c>
      <c r="E5" s="369" t="s">
        <v>160</v>
      </c>
      <c r="F5" s="369" t="s">
        <v>108</v>
      </c>
      <c r="G5" s="369" t="s">
        <v>107</v>
      </c>
      <c r="H5" s="369" t="s">
        <v>186</v>
      </c>
      <c r="I5" s="369" t="s">
        <v>187</v>
      </c>
      <c r="J5" s="369" t="s">
        <v>160</v>
      </c>
      <c r="K5" s="369" t="s">
        <v>187</v>
      </c>
      <c r="L5" s="369" t="s">
        <v>188</v>
      </c>
      <c r="M5" s="369" t="s">
        <v>160</v>
      </c>
      <c r="N5" s="370"/>
      <c r="O5" s="370"/>
      <c r="P5" s="370"/>
      <c r="Q5" s="370"/>
      <c r="R5" s="371"/>
      <c r="S5" s="372"/>
      <c r="T5" s="373"/>
    </row>
    <row r="6" spans="1:20" ht="21" customHeight="1">
      <c r="A6" s="374" t="s">
        <v>184</v>
      </c>
      <c r="B6" s="375" t="s">
        <v>133</v>
      </c>
      <c r="C6" s="376">
        <v>4700000</v>
      </c>
      <c r="D6" s="376" t="s">
        <v>133</v>
      </c>
      <c r="E6" s="376">
        <v>4700000</v>
      </c>
      <c r="F6" s="376" t="s">
        <v>133</v>
      </c>
      <c r="G6" s="376" t="s">
        <v>133</v>
      </c>
      <c r="H6" s="376" t="s">
        <v>133</v>
      </c>
      <c r="I6" s="376" t="s">
        <v>133</v>
      </c>
      <c r="J6" s="376" t="s">
        <v>133</v>
      </c>
      <c r="K6" s="376" t="s">
        <v>133</v>
      </c>
      <c r="L6" s="376" t="s">
        <v>133</v>
      </c>
      <c r="M6" s="376" t="s">
        <v>133</v>
      </c>
      <c r="N6" s="376" t="s">
        <v>133</v>
      </c>
      <c r="O6" s="376" t="s">
        <v>133</v>
      </c>
      <c r="P6" s="376" t="s">
        <v>133</v>
      </c>
      <c r="Q6" s="377" t="s">
        <v>133</v>
      </c>
      <c r="R6" s="378" t="s">
        <v>133</v>
      </c>
      <c r="S6" s="378">
        <v>4700000</v>
      </c>
      <c r="T6" s="374" t="s">
        <v>184</v>
      </c>
    </row>
    <row r="7" spans="1:20" ht="21" customHeight="1">
      <c r="A7" s="379" t="s">
        <v>99</v>
      </c>
      <c r="B7" s="380" t="s">
        <v>133</v>
      </c>
      <c r="C7" s="381" t="s">
        <v>133</v>
      </c>
      <c r="D7" s="381" t="s">
        <v>133</v>
      </c>
      <c r="E7" s="381" t="s">
        <v>133</v>
      </c>
      <c r="F7" s="381">
        <v>360000</v>
      </c>
      <c r="G7" s="381" t="s">
        <v>133</v>
      </c>
      <c r="H7" s="381" t="s">
        <v>133</v>
      </c>
      <c r="I7" s="381" t="s">
        <v>133</v>
      </c>
      <c r="J7" s="381">
        <v>360000</v>
      </c>
      <c r="K7" s="381" t="s">
        <v>133</v>
      </c>
      <c r="L7" s="381" t="s">
        <v>133</v>
      </c>
      <c r="M7" s="381" t="s">
        <v>133</v>
      </c>
      <c r="N7" s="381" t="s">
        <v>133</v>
      </c>
      <c r="O7" s="381" t="s">
        <v>133</v>
      </c>
      <c r="P7" s="381" t="s">
        <v>133</v>
      </c>
      <c r="Q7" s="382" t="s">
        <v>133</v>
      </c>
      <c r="R7" s="383" t="s">
        <v>133</v>
      </c>
      <c r="S7" s="383">
        <v>360000</v>
      </c>
      <c r="T7" s="379" t="s">
        <v>99</v>
      </c>
    </row>
    <row r="8" spans="1:20" ht="21" customHeight="1">
      <c r="A8" s="379" t="s">
        <v>98</v>
      </c>
      <c r="B8" s="380" t="s">
        <v>133</v>
      </c>
      <c r="C8" s="381" t="s">
        <v>133</v>
      </c>
      <c r="D8" s="381" t="s">
        <v>133</v>
      </c>
      <c r="E8" s="381" t="s">
        <v>133</v>
      </c>
      <c r="F8" s="381" t="s">
        <v>133</v>
      </c>
      <c r="G8" s="381">
        <v>38687528</v>
      </c>
      <c r="H8" s="381" t="s">
        <v>133</v>
      </c>
      <c r="I8" s="381" t="s">
        <v>133</v>
      </c>
      <c r="J8" s="381">
        <v>38687528</v>
      </c>
      <c r="K8" s="381" t="s">
        <v>133</v>
      </c>
      <c r="L8" s="381" t="s">
        <v>133</v>
      </c>
      <c r="M8" s="381" t="s">
        <v>133</v>
      </c>
      <c r="N8" s="381" t="s">
        <v>133</v>
      </c>
      <c r="O8" s="381" t="s">
        <v>133</v>
      </c>
      <c r="P8" s="381">
        <v>1001139.5</v>
      </c>
      <c r="Q8" s="382" t="s">
        <v>133</v>
      </c>
      <c r="R8" s="383" t="s">
        <v>133</v>
      </c>
      <c r="S8" s="383">
        <v>39688667.5</v>
      </c>
      <c r="T8" s="379" t="s">
        <v>98</v>
      </c>
    </row>
    <row r="9" spans="1:20" ht="21" customHeight="1">
      <c r="A9" s="379" t="s">
        <v>188</v>
      </c>
      <c r="B9" s="380" t="s">
        <v>133</v>
      </c>
      <c r="C9" s="381" t="s">
        <v>133</v>
      </c>
      <c r="D9" s="381" t="s">
        <v>133</v>
      </c>
      <c r="E9" s="381" t="s">
        <v>133</v>
      </c>
      <c r="F9" s="381" t="s">
        <v>133</v>
      </c>
      <c r="G9" s="381">
        <v>0</v>
      </c>
      <c r="H9" s="381" t="s">
        <v>133</v>
      </c>
      <c r="I9" s="381" t="s">
        <v>133</v>
      </c>
      <c r="J9" s="381">
        <v>0</v>
      </c>
      <c r="K9" s="381">
        <v>0</v>
      </c>
      <c r="L9" s="381">
        <v>465800</v>
      </c>
      <c r="M9" s="381">
        <v>465800</v>
      </c>
      <c r="N9" s="381">
        <v>96700</v>
      </c>
      <c r="O9" s="381" t="s">
        <v>133</v>
      </c>
      <c r="P9" s="381">
        <v>65200</v>
      </c>
      <c r="Q9" s="382" t="s">
        <v>133</v>
      </c>
      <c r="R9" s="383" t="s">
        <v>133</v>
      </c>
      <c r="S9" s="383">
        <v>627700</v>
      </c>
      <c r="T9" s="379" t="s">
        <v>188</v>
      </c>
    </row>
    <row r="10" spans="1:20" ht="21" customHeight="1">
      <c r="A10" s="379" t="s">
        <v>187</v>
      </c>
      <c r="B10" s="380" t="s">
        <v>133</v>
      </c>
      <c r="C10" s="381" t="s">
        <v>133</v>
      </c>
      <c r="D10" s="381" t="s">
        <v>133</v>
      </c>
      <c r="E10" s="381" t="s">
        <v>133</v>
      </c>
      <c r="F10" s="381" t="s">
        <v>133</v>
      </c>
      <c r="G10" s="381" t="s">
        <v>133</v>
      </c>
      <c r="H10" s="381" t="s">
        <v>133</v>
      </c>
      <c r="I10" s="381" t="s">
        <v>133</v>
      </c>
      <c r="J10" s="381" t="s">
        <v>133</v>
      </c>
      <c r="K10" s="381">
        <v>36157167</v>
      </c>
      <c r="L10" s="381" t="s">
        <v>133</v>
      </c>
      <c r="M10" s="381">
        <v>36157167</v>
      </c>
      <c r="N10" s="381" t="s">
        <v>133</v>
      </c>
      <c r="O10" s="381" t="s">
        <v>133</v>
      </c>
      <c r="P10" s="381">
        <v>9548089</v>
      </c>
      <c r="Q10" s="382" t="s">
        <v>133</v>
      </c>
      <c r="R10" s="383" t="s">
        <v>133</v>
      </c>
      <c r="S10" s="383">
        <v>45705256</v>
      </c>
      <c r="T10" s="379" t="s">
        <v>187</v>
      </c>
    </row>
    <row r="11" spans="1:20" ht="21" customHeight="1">
      <c r="A11" s="379" t="s">
        <v>12</v>
      </c>
      <c r="B11" s="380" t="s">
        <v>133</v>
      </c>
      <c r="C11" s="381" t="s">
        <v>133</v>
      </c>
      <c r="D11" s="381" t="s">
        <v>133</v>
      </c>
      <c r="E11" s="381" t="s">
        <v>133</v>
      </c>
      <c r="F11" s="381" t="s">
        <v>133</v>
      </c>
      <c r="G11" s="381" t="s">
        <v>133</v>
      </c>
      <c r="H11" s="381" t="s">
        <v>133</v>
      </c>
      <c r="I11" s="381" t="s">
        <v>133</v>
      </c>
      <c r="J11" s="381" t="s">
        <v>133</v>
      </c>
      <c r="K11" s="381" t="s">
        <v>133</v>
      </c>
      <c r="L11" s="381" t="s">
        <v>133</v>
      </c>
      <c r="M11" s="381" t="s">
        <v>133</v>
      </c>
      <c r="N11" s="381" t="s">
        <v>133</v>
      </c>
      <c r="O11" s="381">
        <v>26050000</v>
      </c>
      <c r="P11" s="381" t="s">
        <v>133</v>
      </c>
      <c r="Q11" s="382" t="s">
        <v>133</v>
      </c>
      <c r="R11" s="383" t="s">
        <v>133</v>
      </c>
      <c r="S11" s="383">
        <v>26050000</v>
      </c>
      <c r="T11" s="379" t="s">
        <v>12</v>
      </c>
    </row>
    <row r="12" spans="1:20" ht="21" customHeight="1">
      <c r="A12" s="379" t="s">
        <v>112</v>
      </c>
      <c r="B12" s="380" t="s">
        <v>133</v>
      </c>
      <c r="C12" s="381" t="s">
        <v>133</v>
      </c>
      <c r="D12" s="381" t="s">
        <v>133</v>
      </c>
      <c r="E12" s="381" t="s">
        <v>133</v>
      </c>
      <c r="F12" s="381" t="s">
        <v>133</v>
      </c>
      <c r="G12" s="381">
        <v>0</v>
      </c>
      <c r="H12" s="381" t="s">
        <v>133</v>
      </c>
      <c r="I12" s="381" t="s">
        <v>133</v>
      </c>
      <c r="J12" s="381">
        <v>0</v>
      </c>
      <c r="K12" s="381">
        <v>0</v>
      </c>
      <c r="L12" s="381" t="s">
        <v>133</v>
      </c>
      <c r="M12" s="381">
        <v>0</v>
      </c>
      <c r="N12" s="381" t="s">
        <v>133</v>
      </c>
      <c r="O12" s="381" t="s">
        <v>133</v>
      </c>
      <c r="P12" s="381">
        <v>88000</v>
      </c>
      <c r="Q12" s="382" t="s">
        <v>133</v>
      </c>
      <c r="R12" s="383">
        <v>443255</v>
      </c>
      <c r="S12" s="383">
        <v>531255</v>
      </c>
      <c r="T12" s="379" t="s">
        <v>112</v>
      </c>
    </row>
    <row r="13" spans="1:20" ht="21" customHeight="1">
      <c r="A13" s="384" t="s">
        <v>189</v>
      </c>
      <c r="B13" s="385" t="s">
        <v>133</v>
      </c>
      <c r="C13" s="386">
        <v>4700000</v>
      </c>
      <c r="D13" s="386" t="s">
        <v>133</v>
      </c>
      <c r="E13" s="386">
        <v>4700000</v>
      </c>
      <c r="F13" s="386">
        <v>360000</v>
      </c>
      <c r="G13" s="386">
        <v>38687528</v>
      </c>
      <c r="H13" s="386" t="s">
        <v>133</v>
      </c>
      <c r="I13" s="386" t="s">
        <v>133</v>
      </c>
      <c r="J13" s="386">
        <v>39047528</v>
      </c>
      <c r="K13" s="386">
        <v>36157167</v>
      </c>
      <c r="L13" s="386">
        <v>465800</v>
      </c>
      <c r="M13" s="386">
        <v>36622967</v>
      </c>
      <c r="N13" s="386">
        <v>96700</v>
      </c>
      <c r="O13" s="386">
        <v>26050000</v>
      </c>
      <c r="P13" s="386">
        <v>10702428.5</v>
      </c>
      <c r="Q13" s="387" t="s">
        <v>133</v>
      </c>
      <c r="R13" s="388">
        <v>443255</v>
      </c>
      <c r="S13" s="388">
        <v>117662878.5</v>
      </c>
      <c r="T13" s="384" t="s">
        <v>189</v>
      </c>
    </row>
    <row r="14" spans="1:20" ht="21" customHeight="1">
      <c r="A14" s="379" t="s">
        <v>176</v>
      </c>
      <c r="B14" s="380">
        <v>1599980</v>
      </c>
      <c r="C14" s="381" t="s">
        <v>133</v>
      </c>
      <c r="D14" s="381">
        <v>215686.39999999999</v>
      </c>
      <c r="E14" s="381">
        <v>1815666.4</v>
      </c>
      <c r="F14" s="381" t="s">
        <v>133</v>
      </c>
      <c r="G14" s="381" t="s">
        <v>133</v>
      </c>
      <c r="H14" s="381" t="s">
        <v>133</v>
      </c>
      <c r="I14" s="381" t="s">
        <v>133</v>
      </c>
      <c r="J14" s="381" t="s">
        <v>133</v>
      </c>
      <c r="K14" s="381" t="s">
        <v>133</v>
      </c>
      <c r="L14" s="381" t="s">
        <v>133</v>
      </c>
      <c r="M14" s="381" t="s">
        <v>133</v>
      </c>
      <c r="N14" s="381" t="s">
        <v>133</v>
      </c>
      <c r="O14" s="381" t="s">
        <v>133</v>
      </c>
      <c r="P14" s="381" t="s">
        <v>133</v>
      </c>
      <c r="Q14" s="382" t="s">
        <v>133</v>
      </c>
      <c r="R14" s="383" t="s">
        <v>133</v>
      </c>
      <c r="S14" s="383">
        <v>1815666.4</v>
      </c>
      <c r="T14" s="379" t="s">
        <v>176</v>
      </c>
    </row>
    <row r="15" spans="1:20" ht="21" customHeight="1">
      <c r="A15" s="379" t="s">
        <v>190</v>
      </c>
      <c r="B15" s="380" t="s">
        <v>133</v>
      </c>
      <c r="C15" s="381" t="s">
        <v>133</v>
      </c>
      <c r="D15" s="381" t="s">
        <v>133</v>
      </c>
      <c r="E15" s="381" t="s">
        <v>133</v>
      </c>
      <c r="F15" s="381" t="s">
        <v>133</v>
      </c>
      <c r="G15" s="381" t="s">
        <v>133</v>
      </c>
      <c r="H15" s="381" t="s">
        <v>133</v>
      </c>
      <c r="I15" s="381" t="s">
        <v>133</v>
      </c>
      <c r="J15" s="381" t="s">
        <v>133</v>
      </c>
      <c r="K15" s="381" t="s">
        <v>133</v>
      </c>
      <c r="L15" s="381" t="s">
        <v>133</v>
      </c>
      <c r="M15" s="381" t="s">
        <v>133</v>
      </c>
      <c r="N15" s="381" t="s">
        <v>133</v>
      </c>
      <c r="O15" s="381" t="s">
        <v>133</v>
      </c>
      <c r="P15" s="381" t="s">
        <v>133</v>
      </c>
      <c r="Q15" s="382">
        <v>32145289.138</v>
      </c>
      <c r="R15" s="383" t="s">
        <v>133</v>
      </c>
      <c r="S15" s="383">
        <v>32145289.138</v>
      </c>
      <c r="T15" s="379" t="s">
        <v>190</v>
      </c>
    </row>
    <row r="16" spans="1:20" ht="21" customHeight="1">
      <c r="A16" s="379" t="s">
        <v>191</v>
      </c>
      <c r="B16" s="380" t="s">
        <v>133</v>
      </c>
      <c r="C16" s="381" t="s">
        <v>133</v>
      </c>
      <c r="D16" s="381" t="s">
        <v>133</v>
      </c>
      <c r="E16" s="381" t="s">
        <v>133</v>
      </c>
      <c r="F16" s="381" t="s">
        <v>133</v>
      </c>
      <c r="G16" s="381" t="s">
        <v>133</v>
      </c>
      <c r="H16" s="381" t="s">
        <v>133</v>
      </c>
      <c r="I16" s="381" t="s">
        <v>133</v>
      </c>
      <c r="J16" s="381" t="s">
        <v>133</v>
      </c>
      <c r="K16" s="381" t="s">
        <v>133</v>
      </c>
      <c r="L16" s="381" t="s">
        <v>133</v>
      </c>
      <c r="M16" s="381" t="s">
        <v>133</v>
      </c>
      <c r="N16" s="381" t="s">
        <v>133</v>
      </c>
      <c r="O16" s="381" t="s">
        <v>133</v>
      </c>
      <c r="P16" s="381" t="s">
        <v>133</v>
      </c>
      <c r="Q16" s="382">
        <v>2470471.7000000002</v>
      </c>
      <c r="R16" s="383" t="s">
        <v>133</v>
      </c>
      <c r="S16" s="383">
        <v>2470471.7000000002</v>
      </c>
      <c r="T16" s="379" t="s">
        <v>191</v>
      </c>
    </row>
    <row r="17" spans="1:28" ht="21" customHeight="1">
      <c r="A17" s="379" t="s">
        <v>192</v>
      </c>
      <c r="B17" s="380" t="s">
        <v>133</v>
      </c>
      <c r="C17" s="381" t="s">
        <v>133</v>
      </c>
      <c r="D17" s="381" t="s">
        <v>133</v>
      </c>
      <c r="E17" s="381" t="s">
        <v>133</v>
      </c>
      <c r="F17" s="381" t="s">
        <v>133</v>
      </c>
      <c r="G17" s="381" t="s">
        <v>133</v>
      </c>
      <c r="H17" s="381" t="s">
        <v>133</v>
      </c>
      <c r="I17" s="381" t="s">
        <v>133</v>
      </c>
      <c r="J17" s="381" t="s">
        <v>133</v>
      </c>
      <c r="K17" s="381" t="s">
        <v>133</v>
      </c>
      <c r="L17" s="381" t="s">
        <v>133</v>
      </c>
      <c r="M17" s="381" t="s">
        <v>133</v>
      </c>
      <c r="N17" s="381" t="s">
        <v>133</v>
      </c>
      <c r="O17" s="381" t="s">
        <v>133</v>
      </c>
      <c r="P17" s="381" t="s">
        <v>133</v>
      </c>
      <c r="Q17" s="382">
        <v>254580</v>
      </c>
      <c r="R17" s="383" t="s">
        <v>133</v>
      </c>
      <c r="S17" s="383">
        <v>254580</v>
      </c>
      <c r="T17" s="379" t="s">
        <v>192</v>
      </c>
    </row>
    <row r="18" spans="1:28" ht="21" customHeight="1">
      <c r="A18" s="379" t="s">
        <v>193</v>
      </c>
      <c r="B18" s="380" t="s">
        <v>133</v>
      </c>
      <c r="C18" s="381" t="s">
        <v>133</v>
      </c>
      <c r="D18" s="381" t="s">
        <v>133</v>
      </c>
      <c r="E18" s="381" t="s">
        <v>133</v>
      </c>
      <c r="F18" s="381">
        <v>40000</v>
      </c>
      <c r="G18" s="381">
        <v>421130</v>
      </c>
      <c r="H18" s="381" t="s">
        <v>133</v>
      </c>
      <c r="I18" s="381" t="s">
        <v>133</v>
      </c>
      <c r="J18" s="381">
        <v>461130</v>
      </c>
      <c r="K18" s="381" t="s">
        <v>133</v>
      </c>
      <c r="L18" s="381" t="s">
        <v>133</v>
      </c>
      <c r="M18" s="381" t="s">
        <v>133</v>
      </c>
      <c r="N18" s="381" t="s">
        <v>133</v>
      </c>
      <c r="O18" s="381" t="s">
        <v>133</v>
      </c>
      <c r="P18" s="381">
        <v>256879.5</v>
      </c>
      <c r="Q18" s="382">
        <v>1843421.2</v>
      </c>
      <c r="R18" s="383" t="s">
        <v>133</v>
      </c>
      <c r="S18" s="383">
        <v>2561430.7000000002</v>
      </c>
      <c r="T18" s="379" t="s">
        <v>193</v>
      </c>
    </row>
    <row r="19" spans="1:28" ht="21" customHeight="1">
      <c r="A19" s="379" t="s">
        <v>194</v>
      </c>
      <c r="B19" s="380" t="s">
        <v>133</v>
      </c>
      <c r="C19" s="381" t="s">
        <v>133</v>
      </c>
      <c r="D19" s="381" t="s">
        <v>133</v>
      </c>
      <c r="E19" s="381" t="s">
        <v>133</v>
      </c>
      <c r="F19" s="381" t="s">
        <v>133</v>
      </c>
      <c r="G19" s="381" t="s">
        <v>133</v>
      </c>
      <c r="H19" s="381" t="s">
        <v>133</v>
      </c>
      <c r="I19" s="381" t="s">
        <v>133</v>
      </c>
      <c r="J19" s="381" t="s">
        <v>133</v>
      </c>
      <c r="K19" s="381" t="s">
        <v>133</v>
      </c>
      <c r="L19" s="381" t="s">
        <v>133</v>
      </c>
      <c r="M19" s="381" t="s">
        <v>133</v>
      </c>
      <c r="N19" s="381" t="s">
        <v>133</v>
      </c>
      <c r="O19" s="381" t="s">
        <v>133</v>
      </c>
      <c r="P19" s="381" t="s">
        <v>133</v>
      </c>
      <c r="Q19" s="382">
        <v>1454672</v>
      </c>
      <c r="R19" s="383" t="s">
        <v>133</v>
      </c>
      <c r="S19" s="383">
        <v>1454672</v>
      </c>
      <c r="T19" s="379" t="s">
        <v>194</v>
      </c>
    </row>
    <row r="20" spans="1:28" ht="21" customHeight="1">
      <c r="A20" s="379" t="s">
        <v>195</v>
      </c>
      <c r="B20" s="380" t="s">
        <v>133</v>
      </c>
      <c r="C20" s="381" t="s">
        <v>133</v>
      </c>
      <c r="D20" s="381" t="s">
        <v>133</v>
      </c>
      <c r="E20" s="381" t="s">
        <v>133</v>
      </c>
      <c r="F20" s="381" t="s">
        <v>133</v>
      </c>
      <c r="G20" s="381" t="s">
        <v>133</v>
      </c>
      <c r="H20" s="381" t="s">
        <v>133</v>
      </c>
      <c r="I20" s="381" t="s">
        <v>133</v>
      </c>
      <c r="J20" s="381" t="s">
        <v>133</v>
      </c>
      <c r="K20" s="381" t="s">
        <v>133</v>
      </c>
      <c r="L20" s="381" t="s">
        <v>133</v>
      </c>
      <c r="M20" s="381" t="s">
        <v>133</v>
      </c>
      <c r="N20" s="381" t="s">
        <v>133</v>
      </c>
      <c r="O20" s="381" t="s">
        <v>133</v>
      </c>
      <c r="P20" s="381" t="s">
        <v>133</v>
      </c>
      <c r="Q20" s="382">
        <v>346330</v>
      </c>
      <c r="R20" s="383" t="s">
        <v>133</v>
      </c>
      <c r="S20" s="383">
        <v>346330</v>
      </c>
      <c r="T20" s="379" t="s">
        <v>195</v>
      </c>
    </row>
    <row r="21" spans="1:28" ht="21" customHeight="1">
      <c r="A21" s="389" t="s">
        <v>196</v>
      </c>
      <c r="B21" s="390">
        <v>1599980</v>
      </c>
      <c r="C21" s="391" t="s">
        <v>133</v>
      </c>
      <c r="D21" s="391">
        <v>215686.39999999999</v>
      </c>
      <c r="E21" s="391">
        <v>1815666.4</v>
      </c>
      <c r="F21" s="391">
        <v>40000</v>
      </c>
      <c r="G21" s="391">
        <v>421130</v>
      </c>
      <c r="H21" s="391" t="s">
        <v>133</v>
      </c>
      <c r="I21" s="391" t="s">
        <v>133</v>
      </c>
      <c r="J21" s="391">
        <v>461130</v>
      </c>
      <c r="K21" s="391" t="s">
        <v>133</v>
      </c>
      <c r="L21" s="391" t="s">
        <v>133</v>
      </c>
      <c r="M21" s="391" t="s">
        <v>133</v>
      </c>
      <c r="N21" s="391" t="s">
        <v>133</v>
      </c>
      <c r="O21" s="391" t="s">
        <v>133</v>
      </c>
      <c r="P21" s="391">
        <v>256879.5</v>
      </c>
      <c r="Q21" s="392">
        <v>38514764.038000003</v>
      </c>
      <c r="R21" s="393" t="s">
        <v>133</v>
      </c>
      <c r="S21" s="393">
        <v>41048439.938000001</v>
      </c>
      <c r="T21" s="389" t="s">
        <v>196</v>
      </c>
    </row>
    <row r="22" spans="1:28" ht="21" customHeight="1">
      <c r="A22" s="394" t="s">
        <v>197</v>
      </c>
      <c r="B22" s="395">
        <v>1599980</v>
      </c>
      <c r="C22" s="396">
        <v>4700000</v>
      </c>
      <c r="D22" s="396">
        <v>215686.39999999999</v>
      </c>
      <c r="E22" s="396">
        <v>6515666.4000000004</v>
      </c>
      <c r="F22" s="396">
        <v>400000</v>
      </c>
      <c r="G22" s="396">
        <v>39108658</v>
      </c>
      <c r="H22" s="396" t="s">
        <v>133</v>
      </c>
      <c r="I22" s="396" t="s">
        <v>133</v>
      </c>
      <c r="J22" s="396">
        <v>39508658</v>
      </c>
      <c r="K22" s="396">
        <v>36157167</v>
      </c>
      <c r="L22" s="396">
        <v>465800</v>
      </c>
      <c r="M22" s="396">
        <v>36622967</v>
      </c>
      <c r="N22" s="396">
        <v>96700</v>
      </c>
      <c r="O22" s="396">
        <v>26050000</v>
      </c>
      <c r="P22" s="396">
        <v>10959308</v>
      </c>
      <c r="Q22" s="396">
        <v>38514764.038000003</v>
      </c>
      <c r="R22" s="395">
        <v>443255</v>
      </c>
      <c r="S22" s="395">
        <v>158711318.43799999</v>
      </c>
      <c r="T22" s="394" t="s">
        <v>197</v>
      </c>
    </row>
    <row r="23" spans="1:28" ht="12" customHeight="1">
      <c r="A23" s="397"/>
      <c r="B23" s="397"/>
      <c r="C23" s="397"/>
      <c r="D23" s="397"/>
      <c r="E23" s="397"/>
      <c r="F23" s="397"/>
      <c r="G23" s="397"/>
      <c r="H23" s="397"/>
      <c r="I23" s="397"/>
      <c r="J23" s="397"/>
      <c r="K23" s="397"/>
      <c r="L23" s="397"/>
      <c r="M23" s="397"/>
      <c r="N23" s="397"/>
      <c r="O23" s="397"/>
      <c r="P23" s="397"/>
      <c r="Q23" s="397"/>
      <c r="R23" s="397"/>
      <c r="S23" s="397"/>
    </row>
    <row r="24" spans="1:28" ht="20.100000000000001" customHeight="1">
      <c r="A24" s="357" t="s">
        <v>198</v>
      </c>
      <c r="B24" s="398"/>
      <c r="C24" s="398"/>
      <c r="D24" s="398"/>
      <c r="E24" s="398"/>
      <c r="F24" s="398"/>
      <c r="G24" s="398"/>
      <c r="H24" s="399"/>
      <c r="I24" s="399" t="s">
        <v>199</v>
      </c>
      <c r="J24" s="398"/>
      <c r="K24" s="357" t="s">
        <v>1483</v>
      </c>
      <c r="L24" s="400"/>
      <c r="M24" s="400"/>
      <c r="N24" s="400"/>
      <c r="O24" s="400"/>
      <c r="P24" s="400"/>
      <c r="Q24" s="400"/>
      <c r="R24" s="400"/>
      <c r="S24" s="400"/>
      <c r="T24" s="400"/>
    </row>
    <row r="25" spans="1:28" ht="20.100000000000001" customHeight="1">
      <c r="A25" s="401" t="s">
        <v>200</v>
      </c>
      <c r="B25" s="402" t="s">
        <v>12</v>
      </c>
      <c r="C25" s="402" t="s">
        <v>201</v>
      </c>
      <c r="D25" s="402" t="s">
        <v>187</v>
      </c>
      <c r="E25" s="402" t="s">
        <v>202</v>
      </c>
      <c r="F25" s="402" t="s">
        <v>188</v>
      </c>
      <c r="G25" s="402" t="s">
        <v>184</v>
      </c>
      <c r="H25" s="403" t="s">
        <v>203</v>
      </c>
      <c r="I25" s="403" t="s">
        <v>197</v>
      </c>
      <c r="J25" s="398"/>
      <c r="K25" s="404" t="s">
        <v>1484</v>
      </c>
      <c r="L25" s="405"/>
      <c r="M25" s="406">
        <v>40766677</v>
      </c>
      <c r="N25" s="405"/>
      <c r="O25" s="405"/>
      <c r="P25" s="405"/>
      <c r="Q25" s="405"/>
      <c r="R25" s="405"/>
      <c r="S25" s="398"/>
      <c r="T25" s="400"/>
      <c r="V25" s="407"/>
      <c r="W25" s="407"/>
      <c r="X25" s="407"/>
      <c r="Y25" s="407"/>
      <c r="Z25" s="407"/>
      <c r="AA25" s="407"/>
      <c r="AB25" s="407"/>
    </row>
    <row r="26" spans="1:28" ht="20.100000000000001" customHeight="1">
      <c r="A26" s="408" t="s">
        <v>204</v>
      </c>
      <c r="B26" s="409">
        <v>26050000</v>
      </c>
      <c r="C26" s="409">
        <v>40766677</v>
      </c>
      <c r="D26" s="409">
        <v>45705256</v>
      </c>
      <c r="E26" s="409">
        <v>40330430.438000001</v>
      </c>
      <c r="F26" s="409">
        <v>627700</v>
      </c>
      <c r="G26" s="409">
        <v>4700000</v>
      </c>
      <c r="H26" s="410">
        <v>531255</v>
      </c>
      <c r="I26" s="410">
        <v>158711318.43799999</v>
      </c>
      <c r="J26" s="398"/>
      <c r="K26" s="411" t="s">
        <v>1485</v>
      </c>
      <c r="L26" s="412">
        <v>400000</v>
      </c>
      <c r="M26" s="413" t="s">
        <v>1486</v>
      </c>
      <c r="N26" s="412">
        <v>39108658</v>
      </c>
      <c r="O26" s="414" t="s">
        <v>1487</v>
      </c>
      <c r="P26" s="412">
        <v>1001139.5</v>
      </c>
      <c r="Q26" s="415" t="s">
        <v>1488</v>
      </c>
      <c r="R26" s="412">
        <v>256879.5</v>
      </c>
      <c r="S26" s="398"/>
      <c r="T26" s="400"/>
      <c r="V26" s="407"/>
      <c r="W26" s="407"/>
      <c r="X26" s="407"/>
      <c r="Y26" s="407"/>
      <c r="Z26" s="407"/>
      <c r="AA26" s="407"/>
      <c r="AB26" s="407"/>
    </row>
    <row r="27" spans="1:28" ht="20.100000000000001" customHeight="1">
      <c r="A27" s="416" t="s">
        <v>207</v>
      </c>
      <c r="B27" s="417">
        <v>16.413399999999999</v>
      </c>
      <c r="C27" s="417">
        <v>25.6861</v>
      </c>
      <c r="D27" s="417">
        <v>28.797699999999999</v>
      </c>
      <c r="E27" s="417">
        <v>25.411200000000001</v>
      </c>
      <c r="F27" s="417">
        <v>0.39550000000000002</v>
      </c>
      <c r="G27" s="417">
        <v>2.9613999999999998</v>
      </c>
      <c r="H27" s="418">
        <v>0.3347</v>
      </c>
      <c r="I27" s="418">
        <v>100</v>
      </c>
      <c r="J27" s="398"/>
      <c r="K27" s="404" t="s">
        <v>1489</v>
      </c>
      <c r="L27" s="405"/>
      <c r="M27" s="406">
        <v>45705256</v>
      </c>
      <c r="N27" s="405"/>
      <c r="O27" s="405"/>
      <c r="P27" s="405"/>
      <c r="Q27" s="405"/>
      <c r="R27" s="405"/>
      <c r="S27" s="398"/>
      <c r="T27" s="400"/>
      <c r="V27" s="407"/>
      <c r="W27" s="407"/>
      <c r="X27" s="407"/>
      <c r="Y27" s="407"/>
      <c r="Z27" s="407"/>
      <c r="AA27" s="407"/>
      <c r="AB27" s="407"/>
    </row>
    <row r="28" spans="1:28" ht="20.100000000000001" customHeight="1">
      <c r="A28" s="419" t="s">
        <v>208</v>
      </c>
      <c r="B28" s="398"/>
      <c r="C28" s="398"/>
      <c r="D28" s="398"/>
      <c r="E28" s="398"/>
      <c r="F28" s="398"/>
      <c r="G28" s="398"/>
      <c r="H28" s="398"/>
      <c r="I28" s="399"/>
      <c r="J28" s="399" t="s">
        <v>199</v>
      </c>
      <c r="K28" s="420" t="s">
        <v>1490</v>
      </c>
      <c r="L28" s="412">
        <v>0</v>
      </c>
      <c r="M28" s="413" t="s">
        <v>1491</v>
      </c>
      <c r="N28" s="412">
        <v>36157167</v>
      </c>
      <c r="O28" s="414" t="s">
        <v>1492</v>
      </c>
      <c r="P28" s="412">
        <v>9548089</v>
      </c>
      <c r="Q28" s="405"/>
      <c r="R28" s="405"/>
      <c r="S28" s="398"/>
      <c r="T28" s="400"/>
    </row>
    <row r="29" spans="1:28" ht="20.100000000000001" customHeight="1">
      <c r="A29" s="401" t="s">
        <v>200</v>
      </c>
      <c r="B29" s="402" t="s">
        <v>12</v>
      </c>
      <c r="C29" s="402" t="s">
        <v>201</v>
      </c>
      <c r="D29" s="402" t="s">
        <v>187</v>
      </c>
      <c r="E29" s="402" t="s">
        <v>202</v>
      </c>
      <c r="F29" s="402" t="s">
        <v>188</v>
      </c>
      <c r="G29" s="402" t="s">
        <v>184</v>
      </c>
      <c r="H29" s="402" t="s">
        <v>180</v>
      </c>
      <c r="I29" s="403" t="s">
        <v>203</v>
      </c>
      <c r="J29" s="403" t="s">
        <v>197</v>
      </c>
      <c r="K29" s="404" t="s">
        <v>1493</v>
      </c>
      <c r="L29" s="405"/>
      <c r="M29" s="406">
        <v>40330430.438000001</v>
      </c>
      <c r="N29" s="405"/>
      <c r="O29" s="405"/>
      <c r="P29" s="405"/>
      <c r="Q29" s="405"/>
      <c r="R29" s="405"/>
      <c r="S29" s="398"/>
      <c r="T29" s="400"/>
    </row>
    <row r="30" spans="1:28" ht="20.100000000000001" customHeight="1">
      <c r="A30" s="408" t="s">
        <v>204</v>
      </c>
      <c r="B30" s="421">
        <v>26050000</v>
      </c>
      <c r="C30" s="421">
        <v>39508658</v>
      </c>
      <c r="D30" s="421">
        <v>36157167</v>
      </c>
      <c r="E30" s="421">
        <v>40330430.438000001</v>
      </c>
      <c r="F30" s="421">
        <v>562500</v>
      </c>
      <c r="G30" s="421">
        <v>4700000</v>
      </c>
      <c r="H30" s="421">
        <v>10959308</v>
      </c>
      <c r="I30" s="422">
        <v>443255</v>
      </c>
      <c r="J30" s="410">
        <v>158711318.43799999</v>
      </c>
      <c r="K30" s="420" t="s">
        <v>1494</v>
      </c>
      <c r="L30" s="412">
        <v>1815666.4</v>
      </c>
      <c r="M30" s="413" t="s">
        <v>1495</v>
      </c>
      <c r="N30" s="412">
        <v>38514764.038000003</v>
      </c>
      <c r="Q30" s="405"/>
      <c r="R30" s="405"/>
      <c r="S30" s="398"/>
      <c r="T30" s="400"/>
    </row>
    <row r="31" spans="1:28" ht="20.100000000000001" customHeight="1">
      <c r="A31" s="416" t="s">
        <v>207</v>
      </c>
      <c r="B31" s="417">
        <v>16.413399999999999</v>
      </c>
      <c r="C31" s="417">
        <v>24.8934</v>
      </c>
      <c r="D31" s="417">
        <v>22.781700000000001</v>
      </c>
      <c r="E31" s="417">
        <v>25.411200000000001</v>
      </c>
      <c r="F31" s="417">
        <v>0.35439999999999999</v>
      </c>
      <c r="G31" s="417">
        <v>2.9613999999999998</v>
      </c>
      <c r="H31" s="417">
        <v>6.9051999999999998</v>
      </c>
      <c r="I31" s="418">
        <v>0.27929999999999999</v>
      </c>
      <c r="J31" s="418">
        <v>100</v>
      </c>
      <c r="K31" s="404" t="s">
        <v>1496</v>
      </c>
      <c r="L31" s="405"/>
      <c r="M31" s="406">
        <v>627700</v>
      </c>
      <c r="N31" s="405"/>
      <c r="O31" s="405"/>
      <c r="P31" s="405"/>
      <c r="Q31" s="405"/>
      <c r="R31" s="405"/>
      <c r="S31" s="398"/>
      <c r="T31" s="400"/>
    </row>
    <row r="32" spans="1:28" ht="15.95" customHeight="1">
      <c r="A32" s="405"/>
      <c r="B32" s="423"/>
      <c r="C32" s="423"/>
      <c r="D32" s="423"/>
      <c r="E32" s="423"/>
      <c r="F32" s="423"/>
      <c r="G32" s="423"/>
      <c r="H32" s="423"/>
      <c r="I32" s="423"/>
      <c r="J32" s="423"/>
      <c r="K32" s="420" t="s">
        <v>1497</v>
      </c>
      <c r="L32" s="412">
        <v>0</v>
      </c>
      <c r="M32" s="413" t="s">
        <v>1498</v>
      </c>
      <c r="N32" s="412">
        <v>465800</v>
      </c>
      <c r="O32" s="424" t="s">
        <v>1499</v>
      </c>
      <c r="P32" s="412">
        <v>96700</v>
      </c>
      <c r="Q32" s="425" t="s">
        <v>1500</v>
      </c>
      <c r="R32" s="412">
        <v>65200</v>
      </c>
      <c r="S32" s="398"/>
      <c r="T32" s="400"/>
    </row>
    <row r="33" spans="1:20" ht="20.100000000000001" customHeight="1">
      <c r="A33" s="357" t="s">
        <v>215</v>
      </c>
      <c r="B33" s="398"/>
      <c r="C33" s="398"/>
      <c r="D33" s="398"/>
      <c r="E33" s="398"/>
      <c r="F33" s="398"/>
      <c r="G33" s="398"/>
      <c r="H33" s="399"/>
      <c r="I33" s="399" t="s">
        <v>199</v>
      </c>
      <c r="J33" s="423"/>
      <c r="K33" s="404"/>
      <c r="L33" s="405"/>
      <c r="M33" s="406"/>
      <c r="N33" s="405"/>
      <c r="O33" s="405"/>
      <c r="P33" s="405"/>
      <c r="Q33" s="405"/>
      <c r="R33" s="405"/>
      <c r="S33" s="398"/>
      <c r="T33" s="400"/>
    </row>
    <row r="34" spans="1:20" ht="20.100000000000001" customHeight="1">
      <c r="A34" s="401" t="s">
        <v>200</v>
      </c>
      <c r="B34" s="402" t="s">
        <v>12</v>
      </c>
      <c r="C34" s="402" t="s">
        <v>201</v>
      </c>
      <c r="D34" s="402" t="s">
        <v>187</v>
      </c>
      <c r="E34" s="402" t="s">
        <v>202</v>
      </c>
      <c r="F34" s="402" t="s">
        <v>188</v>
      </c>
      <c r="G34" s="402" t="s">
        <v>184</v>
      </c>
      <c r="H34" s="403" t="s">
        <v>203</v>
      </c>
      <c r="I34" s="403" t="s">
        <v>197</v>
      </c>
      <c r="J34" s="423"/>
      <c r="K34" s="357" t="s">
        <v>215</v>
      </c>
      <c r="L34" s="405"/>
      <c r="M34" s="406"/>
      <c r="N34" s="405"/>
      <c r="O34" s="405"/>
      <c r="P34" s="405"/>
      <c r="Q34" s="405"/>
      <c r="R34" s="405"/>
      <c r="S34" s="398"/>
      <c r="T34" s="400"/>
    </row>
    <row r="35" spans="1:20" ht="20.100000000000001" customHeight="1">
      <c r="A35" s="408" t="s">
        <v>204</v>
      </c>
      <c r="B35" s="409">
        <v>26050000</v>
      </c>
      <c r="C35" s="409">
        <v>40048667.5</v>
      </c>
      <c r="D35" s="409">
        <v>45705256</v>
      </c>
      <c r="E35" s="409">
        <v>41048439.938000001</v>
      </c>
      <c r="F35" s="409">
        <v>627700</v>
      </c>
      <c r="G35" s="409">
        <v>4700000</v>
      </c>
      <c r="H35" s="410">
        <v>531255</v>
      </c>
      <c r="I35" s="410">
        <v>158711318.43799999</v>
      </c>
      <c r="J35" s="423"/>
      <c r="K35" s="426" t="s">
        <v>216</v>
      </c>
      <c r="L35" s="405"/>
      <c r="M35" s="406"/>
      <c r="N35" s="405"/>
      <c r="O35" s="405"/>
      <c r="P35" s="405"/>
      <c r="Q35" s="405"/>
      <c r="R35" s="405"/>
      <c r="S35" s="398"/>
      <c r="T35" s="400"/>
    </row>
    <row r="36" spans="1:20" ht="20.100000000000001" customHeight="1">
      <c r="A36" s="416" t="s">
        <v>207</v>
      </c>
      <c r="B36" s="417">
        <v>16.413</v>
      </c>
      <c r="C36" s="417">
        <v>25.234000000000002</v>
      </c>
      <c r="D36" s="417">
        <v>28.797999999999998</v>
      </c>
      <c r="E36" s="417">
        <v>25.864000000000001</v>
      </c>
      <c r="F36" s="417">
        <v>0.39500000000000002</v>
      </c>
      <c r="G36" s="417">
        <v>2.9609999999999999</v>
      </c>
      <c r="H36" s="418">
        <v>0.33500000000000002</v>
      </c>
      <c r="I36" s="418">
        <v>100</v>
      </c>
      <c r="J36" s="423"/>
      <c r="K36" s="404"/>
      <c r="L36" s="405"/>
      <c r="M36" s="406"/>
      <c r="N36" s="405"/>
      <c r="O36" s="405"/>
      <c r="P36" s="405"/>
      <c r="Q36" s="405"/>
      <c r="R36" s="405"/>
      <c r="S36" s="398"/>
      <c r="T36" s="400"/>
    </row>
    <row r="37" spans="1:20" ht="15" customHeight="1">
      <c r="A37" s="413" t="s">
        <v>217</v>
      </c>
      <c r="B37" s="400"/>
      <c r="C37" s="400"/>
      <c r="D37" s="400"/>
      <c r="E37" s="400"/>
      <c r="F37" s="400"/>
      <c r="G37" s="400"/>
      <c r="H37" s="400"/>
      <c r="I37" s="400"/>
      <c r="J37" s="400"/>
      <c r="S37" s="427"/>
      <c r="T37" s="400"/>
    </row>
    <row r="38" spans="1:20" ht="15" customHeight="1">
      <c r="A38" s="413" t="s">
        <v>170</v>
      </c>
      <c r="B38" s="400"/>
      <c r="C38" s="400"/>
      <c r="D38" s="400"/>
      <c r="E38" s="400"/>
      <c r="F38" s="400"/>
      <c r="G38" s="400"/>
      <c r="H38" s="400"/>
      <c r="I38" s="400"/>
      <c r="J38" s="400"/>
      <c r="K38" s="400"/>
      <c r="L38" s="400"/>
      <c r="M38" s="400"/>
      <c r="N38" s="427"/>
      <c r="O38" s="400"/>
      <c r="P38" s="400"/>
      <c r="Q38" s="400"/>
      <c r="R38" s="400"/>
      <c r="S38" s="400"/>
      <c r="T38" s="400"/>
    </row>
    <row r="39" spans="1:20" ht="15" customHeight="1">
      <c r="A39" s="413" t="s">
        <v>218</v>
      </c>
    </row>
  </sheetData>
  <mergeCells count="12">
    <mergeCell ref="P4:P5"/>
    <mergeCell ref="Q4:Q5"/>
    <mergeCell ref="R4:R5"/>
    <mergeCell ref="S4:S5"/>
    <mergeCell ref="T4:T5"/>
    <mergeCell ref="V25:AB27"/>
    <mergeCell ref="A4:A5"/>
    <mergeCell ref="B4:E4"/>
    <mergeCell ref="F4:J4"/>
    <mergeCell ref="K4:M4"/>
    <mergeCell ref="N4:N5"/>
    <mergeCell ref="O4:O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12" orientation="portrait" useFirstPageNumber="1" r:id="rId1"/>
  <headerFooter differentOddEven="1" scaleWithDoc="0" alignWithMargins="0">
    <firstFooter>&amp;R&amp;P</firstFooter>
  </headerFooter>
  <colBreaks count="1" manualBreakCount="1">
    <brk id="10" max="38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50C2-224F-4EC8-B0DC-2EEAE8DA00CF}">
  <sheetPr>
    <tabColor theme="8"/>
  </sheetPr>
  <dimension ref="A1:X76"/>
  <sheetViews>
    <sheetView showGridLines="0" view="pageBreakPreview" zoomScale="115" zoomScaleNormal="100" zoomScaleSheetLayoutView="115" workbookViewId="0"/>
  </sheetViews>
  <sheetFormatPr defaultColWidth="10" defaultRowHeight="16.5"/>
  <cols>
    <col min="1" max="1" width="3.125" style="12" customWidth="1"/>
    <col min="2" max="2" width="9.25" style="598" customWidth="1"/>
    <col min="3" max="3" width="9.5" style="599" customWidth="1"/>
    <col min="4" max="4" width="9.5" style="598" customWidth="1"/>
    <col min="5" max="5" width="9.5" style="599" customWidth="1"/>
    <col min="6" max="6" width="9.5" style="598" customWidth="1"/>
    <col min="7" max="7" width="9.25" style="599" customWidth="1"/>
    <col min="8" max="8" width="9.5" style="598" customWidth="1"/>
    <col min="9" max="9" width="9.5" style="599" customWidth="1"/>
    <col min="10" max="10" width="9.5" style="598" customWidth="1"/>
    <col min="11" max="11" width="9.5" style="599" customWidth="1"/>
    <col min="12" max="12" width="3.125" style="598" customWidth="1"/>
    <col min="13" max="13" width="9.25" style="12" customWidth="1"/>
    <col min="14" max="17" width="9.5" style="12" customWidth="1"/>
    <col min="18" max="18" width="9.25" style="12" customWidth="1"/>
    <col min="19" max="19" width="9.5" style="12" customWidth="1"/>
    <col min="20" max="20" width="9.25" style="12" customWidth="1"/>
    <col min="21" max="21" width="9.5" style="12" customWidth="1"/>
    <col min="22" max="22" width="9.875" style="12" customWidth="1"/>
    <col min="23" max="16384" width="10" style="12"/>
  </cols>
  <sheetData>
    <row r="1" spans="1:24" ht="20.25">
      <c r="A1" s="428" t="s">
        <v>219</v>
      </c>
      <c r="B1" s="428"/>
      <c r="C1" s="429"/>
      <c r="D1" s="430"/>
      <c r="E1" s="429"/>
      <c r="F1" s="430"/>
      <c r="G1" s="429"/>
      <c r="H1" s="430"/>
      <c r="I1" s="429"/>
      <c r="J1" s="430"/>
      <c r="K1" s="429"/>
      <c r="L1" s="430"/>
      <c r="M1" s="431"/>
      <c r="N1" s="431"/>
      <c r="O1" s="431"/>
      <c r="P1" s="431"/>
      <c r="Q1" s="431"/>
      <c r="R1" s="431"/>
      <c r="S1" s="431"/>
      <c r="T1" s="431"/>
      <c r="U1" s="431"/>
      <c r="V1" s="431"/>
    </row>
    <row r="2" spans="1:24" ht="21" customHeight="1">
      <c r="A2" s="355" t="s">
        <v>220</v>
      </c>
      <c r="B2" s="430"/>
      <c r="C2" s="429"/>
      <c r="D2" s="430"/>
      <c r="E2" s="429"/>
      <c r="F2" s="430"/>
      <c r="G2" s="429"/>
      <c r="H2" s="430"/>
      <c r="I2" s="429"/>
      <c r="J2" s="430"/>
      <c r="K2" s="429"/>
      <c r="L2" s="430"/>
      <c r="M2" s="431"/>
      <c r="N2" s="431"/>
      <c r="O2" s="431"/>
      <c r="P2" s="431"/>
      <c r="Q2" s="431"/>
      <c r="R2" s="431"/>
      <c r="S2" s="431"/>
      <c r="T2" s="431"/>
      <c r="U2" s="431"/>
      <c r="V2" s="431"/>
    </row>
    <row r="3" spans="1:24" s="438" customFormat="1" ht="18" customHeight="1">
      <c r="A3" s="432"/>
      <c r="B3" s="433" t="s">
        <v>221</v>
      </c>
      <c r="C3" s="434"/>
      <c r="D3" s="432"/>
      <c r="E3" s="434"/>
      <c r="F3" s="432"/>
      <c r="G3" s="434"/>
      <c r="H3" s="432"/>
      <c r="I3" s="434"/>
      <c r="J3" s="432"/>
      <c r="K3" s="435" t="s">
        <v>222</v>
      </c>
      <c r="L3" s="432"/>
      <c r="M3" s="432"/>
      <c r="N3" s="432"/>
      <c r="O3" s="432"/>
      <c r="P3" s="432"/>
      <c r="Q3" s="432"/>
      <c r="R3" s="436"/>
      <c r="S3" s="436"/>
      <c r="T3" s="436"/>
      <c r="U3" s="436"/>
      <c r="V3" s="437" t="s">
        <v>223</v>
      </c>
    </row>
    <row r="4" spans="1:24" ht="20.100000000000001" customHeight="1">
      <c r="A4" s="439" t="s">
        <v>224</v>
      </c>
      <c r="B4" s="440" t="s">
        <v>225</v>
      </c>
      <c r="C4" s="440"/>
      <c r="D4" s="440" t="s">
        <v>201</v>
      </c>
      <c r="E4" s="440"/>
      <c r="F4" s="440" t="s">
        <v>226</v>
      </c>
      <c r="G4" s="440"/>
      <c r="H4" s="440" t="s">
        <v>227</v>
      </c>
      <c r="I4" s="440"/>
      <c r="J4" s="440" t="s">
        <v>12</v>
      </c>
      <c r="K4" s="440"/>
      <c r="L4" s="441" t="s">
        <v>224</v>
      </c>
      <c r="M4" s="440" t="s">
        <v>225</v>
      </c>
      <c r="N4" s="440"/>
      <c r="O4" s="440" t="s">
        <v>228</v>
      </c>
      <c r="P4" s="440"/>
      <c r="Q4" s="442" t="s">
        <v>229</v>
      </c>
      <c r="R4" s="443"/>
      <c r="S4" s="443"/>
      <c r="T4" s="443"/>
      <c r="U4" s="442" t="s">
        <v>112</v>
      </c>
      <c r="V4" s="444"/>
    </row>
    <row r="5" spans="1:24" s="450" customFormat="1" ht="20.100000000000001" customHeight="1">
      <c r="A5" s="445" t="s">
        <v>230</v>
      </c>
      <c r="B5" s="446" t="s">
        <v>231</v>
      </c>
      <c r="C5" s="446" t="s">
        <v>232</v>
      </c>
      <c r="D5" s="446" t="s">
        <v>231</v>
      </c>
      <c r="E5" s="446" t="s">
        <v>232</v>
      </c>
      <c r="F5" s="446" t="s">
        <v>233</v>
      </c>
      <c r="G5" s="446" t="s">
        <v>232</v>
      </c>
      <c r="H5" s="446" t="s">
        <v>231</v>
      </c>
      <c r="I5" s="446" t="s">
        <v>232</v>
      </c>
      <c r="J5" s="446" t="s">
        <v>233</v>
      </c>
      <c r="K5" s="446" t="s">
        <v>232</v>
      </c>
      <c r="L5" s="447" t="s">
        <v>230</v>
      </c>
      <c r="M5" s="446" t="s">
        <v>233</v>
      </c>
      <c r="N5" s="446" t="s">
        <v>232</v>
      </c>
      <c r="O5" s="446" t="s">
        <v>233</v>
      </c>
      <c r="P5" s="446" t="s">
        <v>232</v>
      </c>
      <c r="Q5" s="448" t="s">
        <v>233</v>
      </c>
      <c r="R5" s="446" t="s">
        <v>232</v>
      </c>
      <c r="S5" s="448" t="s">
        <v>233</v>
      </c>
      <c r="T5" s="446" t="s">
        <v>232</v>
      </c>
      <c r="U5" s="446" t="s">
        <v>231</v>
      </c>
      <c r="V5" s="449" t="s">
        <v>232</v>
      </c>
    </row>
    <row r="6" spans="1:24" s="466" customFormat="1" ht="20.100000000000001" customHeight="1">
      <c r="A6" s="451"/>
      <c r="B6" s="452" t="s">
        <v>234</v>
      </c>
      <c r="C6" s="453"/>
      <c r="D6" s="454" t="s">
        <v>235</v>
      </c>
      <c r="E6" s="455"/>
      <c r="F6" s="456" t="s">
        <v>236</v>
      </c>
      <c r="G6" s="457"/>
      <c r="H6" s="452" t="s">
        <v>237</v>
      </c>
      <c r="I6" s="455"/>
      <c r="J6" s="454" t="s">
        <v>238</v>
      </c>
      <c r="K6" s="458"/>
      <c r="L6" s="459"/>
      <c r="M6" s="460" t="s">
        <v>239</v>
      </c>
      <c r="N6" s="454"/>
      <c r="O6" s="454" t="s">
        <v>240</v>
      </c>
      <c r="P6" s="454"/>
      <c r="Q6" s="461" t="s">
        <v>241</v>
      </c>
      <c r="R6" s="454"/>
      <c r="S6" s="462" t="s">
        <v>242</v>
      </c>
      <c r="T6" s="463"/>
      <c r="U6" s="464" t="s">
        <v>243</v>
      </c>
      <c r="V6" s="465"/>
    </row>
    <row r="7" spans="1:24" s="466" customFormat="1" ht="20.100000000000001" customHeight="1">
      <c r="A7" s="451"/>
      <c r="B7" s="454" t="s">
        <v>244</v>
      </c>
      <c r="C7" s="453">
        <v>82000</v>
      </c>
      <c r="D7" s="454" t="s">
        <v>245</v>
      </c>
      <c r="E7" s="467">
        <v>400000</v>
      </c>
      <c r="F7" s="454"/>
      <c r="G7" s="455"/>
      <c r="H7" s="454" t="s">
        <v>246</v>
      </c>
      <c r="I7" s="455">
        <v>501400</v>
      </c>
      <c r="J7" s="454" t="s">
        <v>247</v>
      </c>
      <c r="K7" s="455">
        <v>650000</v>
      </c>
      <c r="L7" s="468"/>
      <c r="M7" s="469" t="s">
        <v>248</v>
      </c>
      <c r="N7" s="454"/>
      <c r="O7" s="470" t="s">
        <v>249</v>
      </c>
      <c r="P7" s="454">
        <v>2080000</v>
      </c>
      <c r="Q7" s="471" t="s">
        <v>250</v>
      </c>
      <c r="R7" s="454">
        <v>144788</v>
      </c>
      <c r="S7" s="471" t="s">
        <v>251</v>
      </c>
      <c r="T7" s="454">
        <v>97100</v>
      </c>
      <c r="U7" s="462" t="s">
        <v>252</v>
      </c>
      <c r="V7" s="472">
        <v>27800</v>
      </c>
      <c r="X7" s="473"/>
    </row>
    <row r="8" spans="1:24" s="466" customFormat="1" ht="20.100000000000001" customHeight="1">
      <c r="A8" s="451"/>
      <c r="B8" s="454" t="s">
        <v>253</v>
      </c>
      <c r="C8" s="453">
        <v>48000</v>
      </c>
      <c r="D8" s="454"/>
      <c r="E8" s="467"/>
      <c r="F8" s="454"/>
      <c r="G8" s="455"/>
      <c r="H8" s="454" t="s">
        <v>254</v>
      </c>
      <c r="I8" s="455">
        <v>718400</v>
      </c>
      <c r="J8" s="454" t="s">
        <v>255</v>
      </c>
      <c r="K8" s="455">
        <v>950000</v>
      </c>
      <c r="L8" s="468"/>
      <c r="M8" s="460" t="s">
        <v>256</v>
      </c>
      <c r="N8" s="454">
        <v>18000</v>
      </c>
      <c r="O8" s="454" t="s">
        <v>257</v>
      </c>
      <c r="P8" s="454">
        <v>2080000</v>
      </c>
      <c r="Q8" s="471" t="s">
        <v>258</v>
      </c>
      <c r="R8" s="454">
        <v>37000</v>
      </c>
      <c r="S8" s="474" t="s">
        <v>259</v>
      </c>
      <c r="T8" s="454">
        <v>264100</v>
      </c>
      <c r="U8" s="464"/>
      <c r="V8" s="472"/>
      <c r="X8" s="473"/>
    </row>
    <row r="9" spans="1:24" s="466" customFormat="1" ht="20.100000000000001" customHeight="1">
      <c r="A9" s="451"/>
      <c r="B9" s="454" t="s">
        <v>260</v>
      </c>
      <c r="C9" s="453">
        <v>140100</v>
      </c>
      <c r="D9" s="475"/>
      <c r="E9" s="476"/>
      <c r="F9" s="454"/>
      <c r="G9" s="455"/>
      <c r="H9" s="454" t="s">
        <v>261</v>
      </c>
      <c r="I9" s="455">
        <v>158796</v>
      </c>
      <c r="J9" s="454" t="s">
        <v>262</v>
      </c>
      <c r="K9" s="455">
        <v>950000</v>
      </c>
      <c r="L9" s="468"/>
      <c r="M9" s="460" t="s">
        <v>263</v>
      </c>
      <c r="N9" s="454">
        <v>90000</v>
      </c>
      <c r="O9" s="454" t="s">
        <v>264</v>
      </c>
      <c r="P9" s="454">
        <v>1190000</v>
      </c>
      <c r="Q9" s="471" t="s">
        <v>265</v>
      </c>
      <c r="R9" s="454">
        <v>24000</v>
      </c>
      <c r="S9" s="471" t="s">
        <v>266</v>
      </c>
      <c r="T9" s="454">
        <v>59000</v>
      </c>
      <c r="U9" s="464" t="s">
        <v>267</v>
      </c>
      <c r="V9" s="472"/>
      <c r="X9" s="473"/>
    </row>
    <row r="10" spans="1:24" s="466" customFormat="1" ht="20.100000000000001" customHeight="1">
      <c r="A10" s="451"/>
      <c r="B10" s="454" t="s">
        <v>268</v>
      </c>
      <c r="C10" s="453">
        <v>62280</v>
      </c>
      <c r="D10" s="477" t="s">
        <v>269</v>
      </c>
      <c r="E10" s="478">
        <v>400000</v>
      </c>
      <c r="F10" s="477" t="s">
        <v>270</v>
      </c>
      <c r="G10" s="479">
        <v>0</v>
      </c>
      <c r="H10" s="454" t="s">
        <v>271</v>
      </c>
      <c r="I10" s="455">
        <v>1350000</v>
      </c>
      <c r="J10" s="454" t="s">
        <v>272</v>
      </c>
      <c r="K10" s="455">
        <v>1000000</v>
      </c>
      <c r="L10" s="468"/>
      <c r="M10" s="460" t="s">
        <v>273</v>
      </c>
      <c r="N10" s="454">
        <v>200000</v>
      </c>
      <c r="O10" s="454" t="s">
        <v>274</v>
      </c>
      <c r="P10" s="454">
        <v>2100000</v>
      </c>
      <c r="Q10" s="471" t="s">
        <v>275</v>
      </c>
      <c r="R10" s="454">
        <v>495000</v>
      </c>
      <c r="S10" s="480" t="s">
        <v>276</v>
      </c>
      <c r="T10" s="454">
        <v>72900</v>
      </c>
      <c r="U10" s="471" t="s">
        <v>277</v>
      </c>
      <c r="V10" s="472">
        <v>313185</v>
      </c>
    </row>
    <row r="11" spans="1:24" s="466" customFormat="1" ht="20.100000000000001" customHeight="1">
      <c r="A11" s="451"/>
      <c r="B11" s="454" t="s">
        <v>278</v>
      </c>
      <c r="C11" s="453">
        <v>35000</v>
      </c>
      <c r="D11" s="454" t="s">
        <v>279</v>
      </c>
      <c r="E11" s="467"/>
      <c r="F11" s="452" t="s">
        <v>280</v>
      </c>
      <c r="G11" s="455"/>
      <c r="H11" s="454" t="s">
        <v>281</v>
      </c>
      <c r="I11" s="455">
        <v>1800000</v>
      </c>
      <c r="J11" s="454" t="s">
        <v>282</v>
      </c>
      <c r="K11" s="455">
        <v>1000000</v>
      </c>
      <c r="L11" s="468"/>
      <c r="M11" s="460" t="s">
        <v>283</v>
      </c>
      <c r="N11" s="454">
        <v>90000</v>
      </c>
      <c r="O11" s="477" t="s">
        <v>284</v>
      </c>
      <c r="P11" s="477">
        <v>7450000</v>
      </c>
      <c r="Q11" s="474" t="s">
        <v>285</v>
      </c>
      <c r="R11" s="454">
        <v>370700</v>
      </c>
      <c r="S11" s="471" t="s">
        <v>286</v>
      </c>
      <c r="T11" s="454">
        <v>82250</v>
      </c>
      <c r="U11" s="481"/>
      <c r="V11" s="472"/>
    </row>
    <row r="12" spans="1:24" s="466" customFormat="1" ht="20.100000000000001" customHeight="1">
      <c r="A12" s="451"/>
      <c r="B12" s="454" t="s">
        <v>287</v>
      </c>
      <c r="C12" s="453">
        <v>120000</v>
      </c>
      <c r="D12" s="454" t="s">
        <v>288</v>
      </c>
      <c r="E12" s="467">
        <v>6040000</v>
      </c>
      <c r="F12" s="454" t="s">
        <v>289</v>
      </c>
      <c r="G12" s="455">
        <v>96700</v>
      </c>
      <c r="H12" s="454" t="s">
        <v>290</v>
      </c>
      <c r="I12" s="455">
        <v>922064</v>
      </c>
      <c r="J12" s="454" t="s">
        <v>291</v>
      </c>
      <c r="K12" s="455">
        <v>1400000</v>
      </c>
      <c r="L12" s="468"/>
      <c r="M12" s="482" t="s">
        <v>292</v>
      </c>
      <c r="N12" s="454">
        <v>22100</v>
      </c>
      <c r="O12" s="452"/>
      <c r="P12" s="483"/>
      <c r="Q12" s="474" t="s">
        <v>293</v>
      </c>
      <c r="R12" s="454">
        <v>270000</v>
      </c>
      <c r="S12" s="471" t="s">
        <v>294</v>
      </c>
      <c r="T12" s="454">
        <v>48400</v>
      </c>
      <c r="U12" s="474" t="s">
        <v>295</v>
      </c>
      <c r="V12" s="472"/>
    </row>
    <row r="13" spans="1:24" s="466" customFormat="1" ht="20.100000000000001" customHeight="1">
      <c r="A13" s="484"/>
      <c r="B13" s="454" t="s">
        <v>296</v>
      </c>
      <c r="C13" s="453">
        <v>108000</v>
      </c>
      <c r="D13" s="454" t="s">
        <v>297</v>
      </c>
      <c r="E13" s="467">
        <v>3050000</v>
      </c>
      <c r="F13" s="452"/>
      <c r="G13" s="455"/>
      <c r="H13" s="454" t="s">
        <v>298</v>
      </c>
      <c r="I13" s="455">
        <v>738346</v>
      </c>
      <c r="J13" s="454" t="s">
        <v>299</v>
      </c>
      <c r="K13" s="455">
        <v>1400000</v>
      </c>
      <c r="L13" s="468"/>
      <c r="M13" s="460" t="s">
        <v>300</v>
      </c>
      <c r="N13" s="454">
        <v>50000</v>
      </c>
      <c r="O13" s="452" t="s">
        <v>237</v>
      </c>
      <c r="P13" s="483"/>
      <c r="Q13" s="474" t="s">
        <v>301</v>
      </c>
      <c r="R13" s="454">
        <v>48300</v>
      </c>
      <c r="S13" s="471" t="s">
        <v>302</v>
      </c>
      <c r="T13" s="454">
        <v>19000</v>
      </c>
      <c r="U13" s="471" t="s">
        <v>303</v>
      </c>
      <c r="V13" s="472">
        <v>12000</v>
      </c>
    </row>
    <row r="14" spans="1:24" s="466" customFormat="1" ht="20.100000000000001" customHeight="1">
      <c r="A14" s="484"/>
      <c r="B14" s="485" t="s">
        <v>304</v>
      </c>
      <c r="C14" s="486">
        <v>595380</v>
      </c>
      <c r="D14" s="454" t="s">
        <v>305</v>
      </c>
      <c r="E14" s="467">
        <v>2044000</v>
      </c>
      <c r="F14" s="452"/>
      <c r="G14" s="455"/>
      <c r="H14" s="454" t="s">
        <v>306</v>
      </c>
      <c r="I14" s="455">
        <v>1800000</v>
      </c>
      <c r="J14" s="454" t="s">
        <v>307</v>
      </c>
      <c r="K14" s="455">
        <v>700000</v>
      </c>
      <c r="L14" s="487"/>
      <c r="M14" s="460" t="s">
        <v>308</v>
      </c>
      <c r="N14" s="454">
        <v>22500</v>
      </c>
      <c r="O14" s="470" t="s">
        <v>309</v>
      </c>
      <c r="P14" s="454">
        <v>989200</v>
      </c>
      <c r="Q14" s="471" t="s">
        <v>310</v>
      </c>
      <c r="R14" s="454">
        <v>756760</v>
      </c>
      <c r="S14" s="471" t="s">
        <v>311</v>
      </c>
      <c r="T14" s="454">
        <v>9800</v>
      </c>
      <c r="U14" s="474" t="s">
        <v>312</v>
      </c>
      <c r="V14" s="472">
        <v>36180</v>
      </c>
    </row>
    <row r="15" spans="1:24" s="466" customFormat="1" ht="20.100000000000001" customHeight="1">
      <c r="A15" s="488" t="s">
        <v>313</v>
      </c>
      <c r="B15" s="454" t="s">
        <v>314</v>
      </c>
      <c r="C15" s="453"/>
      <c r="D15" s="454" t="s">
        <v>315</v>
      </c>
      <c r="E15" s="467">
        <v>2120000</v>
      </c>
      <c r="F15" s="454"/>
      <c r="G15" s="455"/>
      <c r="H15" s="454" t="s">
        <v>316</v>
      </c>
      <c r="I15" s="455">
        <v>1800000</v>
      </c>
      <c r="J15" s="454" t="s">
        <v>317</v>
      </c>
      <c r="K15" s="455">
        <v>700000</v>
      </c>
      <c r="L15" s="489" t="s">
        <v>318</v>
      </c>
      <c r="M15" s="460" t="s">
        <v>319</v>
      </c>
      <c r="N15" s="454">
        <v>412000</v>
      </c>
      <c r="O15" s="454" t="s">
        <v>320</v>
      </c>
      <c r="P15" s="490">
        <v>2261750</v>
      </c>
      <c r="Q15" s="454" t="s">
        <v>321</v>
      </c>
      <c r="R15" s="454">
        <v>436100</v>
      </c>
      <c r="S15" s="471" t="s">
        <v>322</v>
      </c>
      <c r="T15" s="454">
        <v>303000</v>
      </c>
      <c r="U15" s="474" t="s">
        <v>323</v>
      </c>
      <c r="V15" s="472">
        <v>24000</v>
      </c>
    </row>
    <row r="16" spans="1:24" s="466" customFormat="1" ht="20.100000000000001" customHeight="1">
      <c r="A16" s="488" t="s">
        <v>324</v>
      </c>
      <c r="B16" s="454" t="s">
        <v>325</v>
      </c>
      <c r="C16" s="453">
        <v>600000</v>
      </c>
      <c r="D16" s="454" t="s">
        <v>326</v>
      </c>
      <c r="E16" s="467">
        <v>2038058</v>
      </c>
      <c r="F16" s="452"/>
      <c r="G16" s="455"/>
      <c r="H16" s="454" t="s">
        <v>327</v>
      </c>
      <c r="I16" s="455">
        <v>361600</v>
      </c>
      <c r="J16" s="454" t="s">
        <v>328</v>
      </c>
      <c r="K16" s="455">
        <v>700000</v>
      </c>
      <c r="L16" s="489"/>
      <c r="M16" s="460" t="s">
        <v>329</v>
      </c>
      <c r="N16" s="454">
        <v>100000</v>
      </c>
      <c r="O16" s="454" t="s">
        <v>330</v>
      </c>
      <c r="P16" s="490">
        <v>1716800</v>
      </c>
      <c r="Q16" s="480" t="s">
        <v>331</v>
      </c>
      <c r="R16" s="454">
        <v>21000</v>
      </c>
      <c r="S16" s="474" t="s">
        <v>332</v>
      </c>
      <c r="T16" s="454">
        <v>19000</v>
      </c>
      <c r="U16" s="474"/>
      <c r="V16" s="472"/>
    </row>
    <row r="17" spans="1:22" s="466" customFormat="1" ht="20.100000000000001" customHeight="1">
      <c r="A17" s="488"/>
      <c r="B17" s="454" t="s">
        <v>333</v>
      </c>
      <c r="C17" s="453">
        <v>700000</v>
      </c>
      <c r="D17" s="454" t="s">
        <v>334</v>
      </c>
      <c r="E17" s="467">
        <v>1018000</v>
      </c>
      <c r="F17" s="452"/>
      <c r="G17" s="455"/>
      <c r="H17" s="454" t="s">
        <v>335</v>
      </c>
      <c r="I17" s="455">
        <v>848000</v>
      </c>
      <c r="J17" s="454" t="s">
        <v>336</v>
      </c>
      <c r="K17" s="455">
        <v>1000000</v>
      </c>
      <c r="L17" s="489"/>
      <c r="M17" s="485" t="s">
        <v>304</v>
      </c>
      <c r="N17" s="477">
        <v>1004600</v>
      </c>
      <c r="O17" s="454" t="s">
        <v>337</v>
      </c>
      <c r="P17" s="490">
        <v>863300</v>
      </c>
      <c r="Q17" s="471" t="s">
        <v>338</v>
      </c>
      <c r="R17" s="454">
        <v>115410</v>
      </c>
      <c r="S17" s="471" t="s">
        <v>339</v>
      </c>
      <c r="T17" s="454">
        <v>169900</v>
      </c>
      <c r="U17" s="464" t="s">
        <v>340</v>
      </c>
      <c r="V17" s="472"/>
    </row>
    <row r="18" spans="1:22" s="466" customFormat="1" ht="20.100000000000001" customHeight="1">
      <c r="A18" s="488"/>
      <c r="B18" s="454" t="s">
        <v>341</v>
      </c>
      <c r="C18" s="453">
        <v>600000</v>
      </c>
      <c r="D18" s="454" t="s">
        <v>342</v>
      </c>
      <c r="E18" s="467">
        <v>668600</v>
      </c>
      <c r="F18" s="454"/>
      <c r="G18" s="455"/>
      <c r="H18" s="454" t="s">
        <v>343</v>
      </c>
      <c r="I18" s="455">
        <v>2071900</v>
      </c>
      <c r="J18" s="454" t="s">
        <v>344</v>
      </c>
      <c r="K18" s="455">
        <v>1000000</v>
      </c>
      <c r="L18" s="489"/>
      <c r="M18" s="491"/>
      <c r="N18" s="483"/>
      <c r="O18" s="452" t="s">
        <v>345</v>
      </c>
      <c r="P18" s="490">
        <v>751200</v>
      </c>
      <c r="Q18" s="471" t="s">
        <v>346</v>
      </c>
      <c r="R18" s="454">
        <v>45836</v>
      </c>
      <c r="S18" s="462" t="s">
        <v>347</v>
      </c>
      <c r="T18" s="454">
        <v>113569</v>
      </c>
      <c r="U18" s="464" t="s">
        <v>348</v>
      </c>
      <c r="V18" s="472">
        <v>1900</v>
      </c>
    </row>
    <row r="19" spans="1:22" s="466" customFormat="1" ht="20.100000000000001" customHeight="1">
      <c r="A19" s="488" t="s">
        <v>349</v>
      </c>
      <c r="B19" s="454" t="s">
        <v>350</v>
      </c>
      <c r="C19" s="453">
        <v>1000000</v>
      </c>
      <c r="D19" s="454" t="s">
        <v>351</v>
      </c>
      <c r="E19" s="467">
        <v>5080000</v>
      </c>
      <c r="F19" s="452"/>
      <c r="G19" s="455"/>
      <c r="H19" s="454" t="s">
        <v>352</v>
      </c>
      <c r="I19" s="455">
        <v>1462447</v>
      </c>
      <c r="J19" s="454" t="s">
        <v>353</v>
      </c>
      <c r="K19" s="455">
        <v>950000</v>
      </c>
      <c r="L19" s="489"/>
      <c r="M19" s="492" t="s">
        <v>354</v>
      </c>
      <c r="N19" s="477">
        <v>160826.4</v>
      </c>
      <c r="O19" s="454" t="s">
        <v>355</v>
      </c>
      <c r="P19" s="454">
        <v>1025400</v>
      </c>
      <c r="Q19" s="471" t="s">
        <v>356</v>
      </c>
      <c r="R19" s="454">
        <v>450000</v>
      </c>
      <c r="S19" s="471"/>
      <c r="T19" s="454"/>
      <c r="U19" s="464" t="s">
        <v>357</v>
      </c>
      <c r="V19" s="472">
        <v>16400</v>
      </c>
    </row>
    <row r="20" spans="1:22" s="466" customFormat="1" ht="20.100000000000001" customHeight="1">
      <c r="A20" s="488"/>
      <c r="B20" s="454" t="s">
        <v>358</v>
      </c>
      <c r="C20" s="453">
        <v>800000</v>
      </c>
      <c r="D20" s="454" t="s">
        <v>359</v>
      </c>
      <c r="E20" s="467">
        <v>5600000</v>
      </c>
      <c r="F20" s="452"/>
      <c r="G20" s="455"/>
      <c r="H20" s="454" t="s">
        <v>360</v>
      </c>
      <c r="I20" s="455">
        <v>900000</v>
      </c>
      <c r="J20" s="454" t="s">
        <v>361</v>
      </c>
      <c r="K20" s="455">
        <v>950000</v>
      </c>
      <c r="L20" s="489"/>
      <c r="M20" s="491"/>
      <c r="N20" s="483"/>
      <c r="O20" s="454" t="s">
        <v>362</v>
      </c>
      <c r="P20" s="454">
        <v>442800</v>
      </c>
      <c r="Q20" s="474" t="s">
        <v>363</v>
      </c>
      <c r="R20" s="454">
        <v>187300</v>
      </c>
      <c r="S20" s="462"/>
      <c r="T20" s="454"/>
      <c r="U20" s="464" t="s">
        <v>364</v>
      </c>
      <c r="V20" s="472">
        <v>1500</v>
      </c>
    </row>
    <row r="21" spans="1:22" s="466" customFormat="1" ht="20.100000000000001" customHeight="1">
      <c r="A21" s="488" t="s">
        <v>365</v>
      </c>
      <c r="B21" s="454" t="s">
        <v>366</v>
      </c>
      <c r="C21" s="453">
        <v>600000</v>
      </c>
      <c r="D21" s="454" t="s">
        <v>367</v>
      </c>
      <c r="E21" s="467">
        <v>4000000</v>
      </c>
      <c r="F21" s="452"/>
      <c r="G21" s="455"/>
      <c r="H21" s="454" t="s">
        <v>368</v>
      </c>
      <c r="I21" s="455">
        <v>228734</v>
      </c>
      <c r="J21" s="454" t="s">
        <v>369</v>
      </c>
      <c r="K21" s="455">
        <v>1000000</v>
      </c>
      <c r="L21" s="493"/>
      <c r="M21" s="494" t="s">
        <v>370</v>
      </c>
      <c r="N21" s="477">
        <v>1165426.3999999999</v>
      </c>
      <c r="O21" s="454" t="s">
        <v>371</v>
      </c>
      <c r="P21" s="454">
        <v>769830</v>
      </c>
      <c r="Q21" s="471" t="s">
        <v>372</v>
      </c>
      <c r="R21" s="454">
        <v>115246</v>
      </c>
      <c r="S21" s="462" t="s">
        <v>373</v>
      </c>
      <c r="T21" s="454"/>
      <c r="U21" s="464" t="s">
        <v>374</v>
      </c>
      <c r="V21" s="472">
        <v>290</v>
      </c>
    </row>
    <row r="22" spans="1:22" s="466" customFormat="1" ht="20.100000000000001" customHeight="1">
      <c r="A22" s="488" t="s">
        <v>324</v>
      </c>
      <c r="B22" s="454" t="s">
        <v>260</v>
      </c>
      <c r="C22" s="495">
        <v>400000</v>
      </c>
      <c r="D22" s="483"/>
      <c r="E22" s="496"/>
      <c r="F22" s="454"/>
      <c r="G22" s="455"/>
      <c r="H22" s="454" t="s">
        <v>375</v>
      </c>
      <c r="I22" s="455">
        <v>868500</v>
      </c>
      <c r="J22" s="454" t="s">
        <v>376</v>
      </c>
      <c r="K22" s="455">
        <v>1000000</v>
      </c>
      <c r="L22" s="489"/>
      <c r="M22" s="462"/>
      <c r="N22" s="454"/>
      <c r="O22" s="470" t="s">
        <v>377</v>
      </c>
      <c r="P22" s="454">
        <v>1104600</v>
      </c>
      <c r="Q22" s="471" t="s">
        <v>378</v>
      </c>
      <c r="R22" s="454">
        <v>6000</v>
      </c>
      <c r="S22" s="471" t="s">
        <v>379</v>
      </c>
      <c r="T22" s="454">
        <v>26300</v>
      </c>
      <c r="U22" s="481"/>
      <c r="V22" s="472"/>
    </row>
    <row r="23" spans="1:22" s="466" customFormat="1" ht="20.100000000000001" customHeight="1">
      <c r="A23" s="488" t="s">
        <v>380</v>
      </c>
      <c r="B23" s="477" t="s">
        <v>381</v>
      </c>
      <c r="C23" s="478">
        <v>4700000</v>
      </c>
      <c r="D23" s="483"/>
      <c r="E23" s="496"/>
      <c r="F23" s="483"/>
      <c r="G23" s="497"/>
      <c r="H23" s="452" t="s">
        <v>382</v>
      </c>
      <c r="I23" s="455">
        <v>105000</v>
      </c>
      <c r="J23" s="454" t="s">
        <v>383</v>
      </c>
      <c r="K23" s="455">
        <v>1000000</v>
      </c>
      <c r="L23" s="489"/>
      <c r="M23" s="462" t="s">
        <v>384</v>
      </c>
      <c r="N23" s="454"/>
      <c r="O23" s="452" t="s">
        <v>385</v>
      </c>
      <c r="P23" s="490">
        <v>1389700</v>
      </c>
      <c r="Q23" s="471" t="s">
        <v>386</v>
      </c>
      <c r="R23" s="454">
        <v>101700</v>
      </c>
      <c r="S23" s="471" t="s">
        <v>387</v>
      </c>
      <c r="T23" s="454">
        <v>38900</v>
      </c>
      <c r="U23" s="481"/>
      <c r="V23" s="472"/>
    </row>
    <row r="24" spans="1:22" s="466" customFormat="1" ht="20.100000000000001" customHeight="1">
      <c r="A24" s="488" t="s">
        <v>388</v>
      </c>
      <c r="B24" s="454" t="s">
        <v>389</v>
      </c>
      <c r="C24" s="453">
        <v>700</v>
      </c>
      <c r="D24" s="475"/>
      <c r="E24" s="476"/>
      <c r="F24" s="475"/>
      <c r="G24" s="498"/>
      <c r="H24" s="452" t="s">
        <v>390</v>
      </c>
      <c r="I24" s="455"/>
      <c r="J24" s="454" t="s">
        <v>391</v>
      </c>
      <c r="K24" s="455">
        <v>1000000</v>
      </c>
      <c r="L24" s="489"/>
      <c r="M24" s="460" t="s">
        <v>392</v>
      </c>
      <c r="N24" s="499">
        <v>31597878.778000001</v>
      </c>
      <c r="O24" s="452" t="s">
        <v>393</v>
      </c>
      <c r="P24" s="490">
        <v>1012000</v>
      </c>
      <c r="Q24" s="471" t="s">
        <v>394</v>
      </c>
      <c r="R24" s="454">
        <v>60000</v>
      </c>
      <c r="S24" s="480"/>
      <c r="T24" s="454"/>
      <c r="U24" s="500"/>
      <c r="V24" s="472"/>
    </row>
    <row r="25" spans="1:22" s="466" customFormat="1" ht="20.100000000000001" customHeight="1">
      <c r="A25" s="488" t="s">
        <v>395</v>
      </c>
      <c r="B25" s="501" t="s">
        <v>396</v>
      </c>
      <c r="C25" s="453">
        <v>54160</v>
      </c>
      <c r="D25" s="502"/>
      <c r="E25" s="503"/>
      <c r="F25" s="502"/>
      <c r="G25" s="503"/>
      <c r="H25" s="454" t="s">
        <v>397</v>
      </c>
      <c r="I25" s="455">
        <v>0</v>
      </c>
      <c r="J25" s="454" t="s">
        <v>398</v>
      </c>
      <c r="K25" s="455">
        <v>950000</v>
      </c>
      <c r="L25" s="489"/>
      <c r="M25" s="460" t="s">
        <v>399</v>
      </c>
      <c r="N25" s="499">
        <v>2281121.7000000002</v>
      </c>
      <c r="O25" s="452" t="s">
        <v>400</v>
      </c>
      <c r="P25" s="490">
        <v>1695200</v>
      </c>
      <c r="Q25" s="471" t="s">
        <v>401</v>
      </c>
      <c r="R25" s="454">
        <v>963380</v>
      </c>
      <c r="S25" s="480"/>
      <c r="T25" s="454"/>
      <c r="U25" s="500"/>
      <c r="V25" s="472"/>
    </row>
    <row r="26" spans="1:22" s="466" customFormat="1" ht="20.100000000000001" customHeight="1">
      <c r="A26" s="488"/>
      <c r="B26" s="504" t="s">
        <v>354</v>
      </c>
      <c r="C26" s="478">
        <v>54860</v>
      </c>
      <c r="D26" s="477" t="s">
        <v>402</v>
      </c>
      <c r="E26" s="478">
        <v>31658658</v>
      </c>
      <c r="F26" s="477" t="s">
        <v>403</v>
      </c>
      <c r="G26" s="479">
        <v>96700</v>
      </c>
      <c r="H26" s="477" t="s">
        <v>404</v>
      </c>
      <c r="I26" s="479">
        <v>16635187</v>
      </c>
      <c r="J26" s="454" t="s">
        <v>405</v>
      </c>
      <c r="K26" s="455">
        <v>950000</v>
      </c>
      <c r="L26" s="489" t="s">
        <v>395</v>
      </c>
      <c r="M26" s="462" t="s">
        <v>406</v>
      </c>
      <c r="N26" s="454">
        <v>1058421.2</v>
      </c>
      <c r="O26" s="452" t="s">
        <v>407</v>
      </c>
      <c r="P26" s="490">
        <v>3176000</v>
      </c>
      <c r="Q26" s="471" t="s">
        <v>408</v>
      </c>
      <c r="R26" s="454">
        <v>118972</v>
      </c>
      <c r="S26" s="480"/>
      <c r="T26" s="454"/>
      <c r="U26" s="505"/>
      <c r="V26" s="506"/>
    </row>
    <row r="27" spans="1:22" s="466" customFormat="1" ht="20.100000000000001" customHeight="1">
      <c r="A27" s="451"/>
      <c r="B27" s="475"/>
      <c r="C27" s="498"/>
      <c r="D27" s="475"/>
      <c r="E27" s="507"/>
      <c r="F27" s="475"/>
      <c r="G27" s="475"/>
      <c r="H27" s="452" t="s">
        <v>241</v>
      </c>
      <c r="I27" s="498"/>
      <c r="J27" s="454" t="s">
        <v>409</v>
      </c>
      <c r="K27" s="455">
        <v>1000000</v>
      </c>
      <c r="L27" s="487"/>
      <c r="M27" s="460" t="s">
        <v>410</v>
      </c>
      <c r="N27" s="454">
        <v>925132</v>
      </c>
      <c r="O27" s="452" t="s">
        <v>411</v>
      </c>
      <c r="P27" s="490">
        <v>1450000</v>
      </c>
      <c r="Q27" s="471" t="s">
        <v>412</v>
      </c>
      <c r="R27" s="454">
        <v>524300</v>
      </c>
      <c r="S27" s="462" t="s">
        <v>413</v>
      </c>
      <c r="T27" s="454"/>
      <c r="U27" s="508"/>
      <c r="V27" s="472"/>
    </row>
    <row r="28" spans="1:22" s="466" customFormat="1" ht="20.100000000000001" customHeight="1">
      <c r="A28" s="451"/>
      <c r="B28" s="477" t="s">
        <v>370</v>
      </c>
      <c r="C28" s="478">
        <v>5350240</v>
      </c>
      <c r="D28" s="477" t="s">
        <v>414</v>
      </c>
      <c r="E28" s="478">
        <v>32058658</v>
      </c>
      <c r="F28" s="509"/>
      <c r="G28" s="510"/>
      <c r="H28" s="452" t="s">
        <v>415</v>
      </c>
      <c r="I28" s="455">
        <v>350460</v>
      </c>
      <c r="J28" s="454" t="s">
        <v>416</v>
      </c>
      <c r="K28" s="455">
        <v>1000000</v>
      </c>
      <c r="L28" s="487"/>
      <c r="M28" s="460" t="s">
        <v>417</v>
      </c>
      <c r="N28" s="454">
        <v>254580</v>
      </c>
      <c r="O28" s="452" t="s">
        <v>418</v>
      </c>
      <c r="P28" s="490">
        <v>874200</v>
      </c>
      <c r="Q28" s="471" t="s">
        <v>419</v>
      </c>
      <c r="R28" s="454">
        <v>412600</v>
      </c>
      <c r="S28" s="462" t="s">
        <v>420</v>
      </c>
      <c r="T28" s="454">
        <v>88000</v>
      </c>
      <c r="U28" s="471"/>
      <c r="V28" s="472"/>
    </row>
    <row r="29" spans="1:22" s="466" customFormat="1" ht="20.100000000000001" customHeight="1">
      <c r="A29" s="451"/>
      <c r="B29" s="462"/>
      <c r="C29" s="455"/>
      <c r="D29" s="475"/>
      <c r="E29" s="498"/>
      <c r="F29" s="511"/>
      <c r="G29" s="512">
        <v>692</v>
      </c>
      <c r="H29" s="452" t="s">
        <v>421</v>
      </c>
      <c r="I29" s="455">
        <v>530441</v>
      </c>
      <c r="J29" s="454" t="s">
        <v>422</v>
      </c>
      <c r="K29" s="455">
        <v>1000000</v>
      </c>
      <c r="L29" s="468"/>
      <c r="M29" s="460"/>
      <c r="N29" s="454"/>
      <c r="O29" s="452"/>
      <c r="P29" s="490"/>
      <c r="Q29" s="471" t="s">
        <v>423</v>
      </c>
      <c r="R29" s="454">
        <v>127000</v>
      </c>
      <c r="S29" s="462"/>
      <c r="T29" s="454"/>
      <c r="U29" s="471"/>
      <c r="V29" s="472"/>
    </row>
    <row r="30" spans="1:22" s="466" customFormat="1" ht="20.100000000000001" customHeight="1">
      <c r="A30" s="451"/>
      <c r="B30" s="452" t="s">
        <v>384</v>
      </c>
      <c r="C30" s="455"/>
      <c r="D30" s="454"/>
      <c r="E30" s="455"/>
      <c r="F30" s="454"/>
      <c r="G30" s="513">
        <v>546718.36</v>
      </c>
      <c r="H30" s="452" t="s">
        <v>424</v>
      </c>
      <c r="I30" s="455">
        <v>597171</v>
      </c>
      <c r="J30" s="454" t="s">
        <v>425</v>
      </c>
      <c r="K30" s="455">
        <v>1000000</v>
      </c>
      <c r="L30" s="468"/>
      <c r="M30" s="491"/>
      <c r="N30" s="483"/>
      <c r="O30" s="452" t="s">
        <v>426</v>
      </c>
      <c r="P30" s="490"/>
      <c r="Q30" s="471" t="s">
        <v>427</v>
      </c>
      <c r="R30" s="454">
        <v>270000</v>
      </c>
      <c r="S30" s="471"/>
      <c r="T30" s="454"/>
      <c r="U30" s="471"/>
      <c r="V30" s="472"/>
    </row>
    <row r="31" spans="1:22" s="466" customFormat="1" ht="20.100000000000001" customHeight="1">
      <c r="A31" s="451"/>
      <c r="B31" s="454" t="s">
        <v>392</v>
      </c>
      <c r="C31" s="455">
        <v>547410.36</v>
      </c>
      <c r="D31" s="454" t="s">
        <v>406</v>
      </c>
      <c r="E31" s="455">
        <v>355000</v>
      </c>
      <c r="F31" s="454" t="s">
        <v>410</v>
      </c>
      <c r="G31" s="454">
        <v>529540</v>
      </c>
      <c r="H31" s="477" t="s">
        <v>428</v>
      </c>
      <c r="I31" s="479">
        <v>1478072</v>
      </c>
      <c r="J31" s="475" t="s">
        <v>429</v>
      </c>
      <c r="K31" s="455">
        <v>1400000</v>
      </c>
      <c r="L31" s="468"/>
      <c r="M31" s="514"/>
      <c r="N31" s="483"/>
      <c r="O31" s="483" t="s">
        <v>430</v>
      </c>
      <c r="P31" s="454">
        <v>465800</v>
      </c>
      <c r="Q31" s="471" t="s">
        <v>431</v>
      </c>
      <c r="R31" s="454">
        <v>431200</v>
      </c>
      <c r="S31" s="460"/>
      <c r="T31" s="460"/>
      <c r="U31" s="515"/>
      <c r="V31" s="516"/>
    </row>
    <row r="32" spans="1:22" s="466" customFormat="1" ht="19.5" customHeight="1">
      <c r="A32" s="451"/>
      <c r="B32" s="454" t="s">
        <v>191</v>
      </c>
      <c r="C32" s="455">
        <v>189350</v>
      </c>
      <c r="D32" s="454" t="s">
        <v>432</v>
      </c>
      <c r="E32" s="455">
        <v>430000</v>
      </c>
      <c r="F32" s="454" t="s">
        <v>195</v>
      </c>
      <c r="G32" s="454">
        <v>346330</v>
      </c>
      <c r="H32" s="454" t="s">
        <v>433</v>
      </c>
      <c r="I32" s="498"/>
      <c r="J32" s="475" t="s">
        <v>434</v>
      </c>
      <c r="K32" s="455">
        <v>1400000</v>
      </c>
      <c r="L32" s="468"/>
      <c r="M32" s="514"/>
      <c r="N32" s="483"/>
      <c r="O32" s="483"/>
      <c r="P32" s="483"/>
      <c r="Q32" s="471" t="s">
        <v>435</v>
      </c>
      <c r="R32" s="460">
        <v>515500</v>
      </c>
      <c r="S32" s="460"/>
      <c r="T32" s="460"/>
      <c r="U32" s="515"/>
      <c r="V32" s="516"/>
    </row>
    <row r="33" spans="1:22" s="466" customFormat="1" ht="19.5" customHeight="1">
      <c r="A33" s="451"/>
      <c r="B33" s="454"/>
      <c r="C33" s="455"/>
      <c r="D33" s="454"/>
      <c r="E33" s="455"/>
      <c r="F33" s="454"/>
      <c r="G33" s="454"/>
      <c r="H33" s="452" t="s">
        <v>436</v>
      </c>
      <c r="I33" s="455">
        <v>10000</v>
      </c>
      <c r="J33" s="475"/>
      <c r="K33" s="455"/>
      <c r="L33" s="468"/>
      <c r="M33" s="514"/>
      <c r="N33" s="483"/>
      <c r="O33" s="483"/>
      <c r="P33" s="483"/>
      <c r="Q33" s="471" t="s">
        <v>437</v>
      </c>
      <c r="R33" s="460">
        <v>146314</v>
      </c>
      <c r="S33" s="460"/>
      <c r="T33" s="460"/>
      <c r="U33" s="515"/>
      <c r="V33" s="516"/>
    </row>
    <row r="34" spans="1:22" s="466" customFormat="1" ht="20.100000000000001" customHeight="1">
      <c r="A34" s="451"/>
      <c r="B34" s="454"/>
      <c r="C34" s="455"/>
      <c r="D34" s="454"/>
      <c r="E34" s="455"/>
      <c r="F34" s="454"/>
      <c r="G34" s="454"/>
      <c r="H34" s="452"/>
      <c r="I34" s="455"/>
      <c r="J34" s="475"/>
      <c r="K34" s="455"/>
      <c r="L34" s="468"/>
      <c r="M34" s="514"/>
      <c r="N34" s="483"/>
      <c r="O34" s="483"/>
      <c r="P34" s="483"/>
      <c r="Q34" s="471" t="s">
        <v>438</v>
      </c>
      <c r="R34" s="460">
        <v>363811</v>
      </c>
      <c r="S34" s="460"/>
      <c r="T34" s="460"/>
      <c r="U34" s="515"/>
      <c r="V34" s="516"/>
    </row>
    <row r="35" spans="1:22" s="466" customFormat="1" ht="20.100000000000001" customHeight="1">
      <c r="A35" s="517"/>
      <c r="B35" s="518" t="s">
        <v>439</v>
      </c>
      <c r="C35" s="519">
        <v>2397630.36</v>
      </c>
      <c r="D35" s="520"/>
      <c r="E35" s="521"/>
      <c r="F35" s="520"/>
      <c r="G35" s="520"/>
      <c r="H35" s="518" t="s">
        <v>440</v>
      </c>
      <c r="I35" s="519">
        <v>10000</v>
      </c>
      <c r="J35" s="518" t="s">
        <v>441</v>
      </c>
      <c r="K35" s="522">
        <v>26050000</v>
      </c>
      <c r="L35" s="523"/>
      <c r="M35" s="524" t="s">
        <v>439</v>
      </c>
      <c r="N35" s="518">
        <v>36117133.678000003</v>
      </c>
      <c r="O35" s="518" t="s">
        <v>404</v>
      </c>
      <c r="P35" s="518">
        <v>19987780</v>
      </c>
      <c r="Q35" s="525" t="s">
        <v>442</v>
      </c>
      <c r="R35" s="520">
        <v>511800</v>
      </c>
      <c r="S35" s="518" t="s">
        <v>428</v>
      </c>
      <c r="T35" s="518">
        <v>9481236</v>
      </c>
      <c r="U35" s="524" t="s">
        <v>440</v>
      </c>
      <c r="V35" s="526">
        <v>433255</v>
      </c>
    </row>
    <row r="36" spans="1:22" s="466" customFormat="1" ht="9.9499999999999993" customHeight="1">
      <c r="A36" s="527"/>
      <c r="B36" s="527"/>
      <c r="C36" s="527"/>
      <c r="D36" s="527"/>
      <c r="E36" s="527"/>
      <c r="F36" s="527"/>
      <c r="G36" s="527"/>
      <c r="H36" s="527"/>
      <c r="I36" s="527"/>
      <c r="J36" s="528"/>
      <c r="K36" s="529"/>
      <c r="L36" s="530"/>
      <c r="M36" s="527"/>
      <c r="N36" s="527"/>
      <c r="O36" s="527"/>
      <c r="P36" s="527"/>
      <c r="Q36" s="528"/>
      <c r="R36" s="528"/>
      <c r="S36" s="531"/>
      <c r="T36" s="528"/>
      <c r="U36" s="532"/>
      <c r="V36" s="532"/>
    </row>
    <row r="37" spans="1:22" s="466" customFormat="1" ht="18" customHeight="1">
      <c r="A37" s="527"/>
      <c r="B37" s="533" t="s">
        <v>443</v>
      </c>
      <c r="C37" s="533"/>
      <c r="D37" s="534"/>
      <c r="E37" s="534"/>
      <c r="F37" s="535"/>
      <c r="G37" s="534"/>
      <c r="H37" s="535"/>
      <c r="I37" s="534"/>
      <c r="J37" s="536"/>
      <c r="K37" s="535" t="s">
        <v>444</v>
      </c>
      <c r="L37" s="537"/>
      <c r="M37" s="527"/>
      <c r="N37" s="527"/>
      <c r="O37" s="527"/>
      <c r="P37" s="527"/>
      <c r="Q37" s="536"/>
      <c r="R37" s="536"/>
      <c r="S37" s="536"/>
      <c r="T37" s="536"/>
      <c r="V37" s="536" t="s">
        <v>444</v>
      </c>
    </row>
    <row r="38" spans="1:22" s="466" customFormat="1" ht="20.100000000000001" customHeight="1">
      <c r="A38" s="527"/>
      <c r="B38" s="538" t="s">
        <v>445</v>
      </c>
      <c r="C38" s="539"/>
      <c r="D38" s="540"/>
      <c r="E38" s="541" t="s">
        <v>446</v>
      </c>
      <c r="F38" s="542"/>
      <c r="G38" s="542"/>
      <c r="H38" s="542"/>
      <c r="I38" s="542"/>
      <c r="J38" s="542"/>
      <c r="K38" s="542"/>
      <c r="M38" s="543" t="s">
        <v>446</v>
      </c>
      <c r="N38" s="544"/>
      <c r="O38" s="545" t="s">
        <v>447</v>
      </c>
      <c r="P38" s="546" t="s">
        <v>448</v>
      </c>
      <c r="Q38" s="547"/>
      <c r="R38" s="547"/>
      <c r="S38" s="547"/>
      <c r="T38" s="547"/>
      <c r="U38" s="548"/>
      <c r="V38" s="549" t="s">
        <v>181</v>
      </c>
    </row>
    <row r="39" spans="1:22" s="466" customFormat="1" ht="20.100000000000001" customHeight="1">
      <c r="A39" s="527"/>
      <c r="B39" s="550" t="s">
        <v>449</v>
      </c>
      <c r="C39" s="551" t="s">
        <v>450</v>
      </c>
      <c r="D39" s="551" t="s">
        <v>451</v>
      </c>
      <c r="E39" s="551" t="s">
        <v>452</v>
      </c>
      <c r="F39" s="551" t="s">
        <v>453</v>
      </c>
      <c r="G39" s="551" t="s">
        <v>186</v>
      </c>
      <c r="H39" s="551" t="s">
        <v>454</v>
      </c>
      <c r="I39" s="551" t="s">
        <v>455</v>
      </c>
      <c r="J39" s="551" t="s">
        <v>97</v>
      </c>
      <c r="K39" s="551" t="s">
        <v>450</v>
      </c>
      <c r="M39" s="551" t="s">
        <v>112</v>
      </c>
      <c r="N39" s="552" t="s">
        <v>451</v>
      </c>
      <c r="O39" s="553" t="s">
        <v>456</v>
      </c>
      <c r="P39" s="550" t="s">
        <v>453</v>
      </c>
      <c r="Q39" s="551" t="s">
        <v>457</v>
      </c>
      <c r="R39" s="551" t="s">
        <v>455</v>
      </c>
      <c r="S39" s="551" t="s">
        <v>450</v>
      </c>
      <c r="T39" s="552" t="s">
        <v>458</v>
      </c>
      <c r="U39" s="554" t="s">
        <v>456</v>
      </c>
      <c r="V39" s="555"/>
    </row>
    <row r="40" spans="1:22" s="466" customFormat="1" ht="20.100000000000001" customHeight="1">
      <c r="A40" s="527"/>
      <c r="B40" s="556">
        <v>96700</v>
      </c>
      <c r="C40" s="557">
        <v>1392</v>
      </c>
      <c r="D40" s="558">
        <v>98092</v>
      </c>
      <c r="E40" s="557">
        <v>4700000</v>
      </c>
      <c r="F40" s="557">
        <v>32058658</v>
      </c>
      <c r="G40" s="557">
        <v>0</v>
      </c>
      <c r="H40" s="557">
        <v>16635187</v>
      </c>
      <c r="I40" s="559">
        <v>1478072</v>
      </c>
      <c r="J40" s="557">
        <v>26050000</v>
      </c>
      <c r="K40" s="560">
        <v>3046478.36</v>
      </c>
      <c r="M40" s="561">
        <v>10000</v>
      </c>
      <c r="N40" s="562">
        <v>83978395.359999999</v>
      </c>
      <c r="O40" s="563">
        <v>84076487.359999999</v>
      </c>
      <c r="P40" s="556">
        <v>7450000</v>
      </c>
      <c r="Q40" s="557">
        <v>19987780</v>
      </c>
      <c r="R40" s="564">
        <v>9481236</v>
      </c>
      <c r="S40" s="557">
        <v>37282560.078000002</v>
      </c>
      <c r="T40" s="559">
        <v>433255</v>
      </c>
      <c r="U40" s="565">
        <v>74634831.078000009</v>
      </c>
      <c r="V40" s="566">
        <v>158711318.43800002</v>
      </c>
    </row>
    <row r="41" spans="1:22" s="570" customFormat="1" ht="20.100000000000001" customHeight="1">
      <c r="A41" s="567"/>
      <c r="B41" s="568">
        <v>6.0928231805833989E-2</v>
      </c>
      <c r="C41" s="569">
        <v>8.7706410210673126E-4</v>
      </c>
      <c r="D41" s="569">
        <v>6.1805295907940726E-2</v>
      </c>
      <c r="E41" s="569">
        <v>2.9613514941822108</v>
      </c>
      <c r="F41" s="569">
        <v>20.199352078675847</v>
      </c>
      <c r="G41" s="569">
        <v>0</v>
      </c>
      <c r="H41" s="569">
        <v>10.481411889032017</v>
      </c>
      <c r="I41" s="569">
        <v>0.93129589908699761</v>
      </c>
      <c r="J41" s="569">
        <v>16.413448175201399</v>
      </c>
      <c r="K41" s="569">
        <v>1.9195092007191001</v>
      </c>
      <c r="M41" s="569">
        <v>6.3007478599621499E-3</v>
      </c>
      <c r="N41" s="571">
        <v>52.912669484757537</v>
      </c>
      <c r="O41" s="572">
        <v>52.974474780665481</v>
      </c>
      <c r="P41" s="568">
        <v>4.6940571556718016</v>
      </c>
      <c r="Q41" s="569">
        <v>12.593796206039427</v>
      </c>
      <c r="R41" s="569">
        <v>5.9738877436796098</v>
      </c>
      <c r="S41" s="569">
        <v>23.490801062536882</v>
      </c>
      <c r="T41" s="569">
        <v>0.27298305140679013</v>
      </c>
      <c r="U41" s="573">
        <v>47.025525219334511</v>
      </c>
      <c r="V41" s="574">
        <v>100</v>
      </c>
    </row>
    <row r="42" spans="1:22" s="532" customFormat="1" ht="15" customHeight="1">
      <c r="A42" s="575"/>
      <c r="B42" s="576" t="s">
        <v>459</v>
      </c>
      <c r="C42" s="527"/>
      <c r="D42" s="577"/>
      <c r="E42" s="577"/>
      <c r="F42" s="577"/>
      <c r="G42" s="576"/>
      <c r="H42" s="577"/>
      <c r="I42" s="577"/>
      <c r="J42" s="577"/>
      <c r="K42" s="577"/>
      <c r="M42" s="576"/>
      <c r="N42" s="527"/>
      <c r="O42" s="527"/>
      <c r="P42" s="527"/>
      <c r="Q42" s="578"/>
      <c r="R42" s="527"/>
      <c r="S42" s="579"/>
      <c r="T42" s="579"/>
    </row>
    <row r="43" spans="1:22" s="466" customFormat="1" ht="12" customHeight="1">
      <c r="A43" s="580"/>
      <c r="B43" s="581"/>
      <c r="C43" s="580"/>
      <c r="D43" s="580"/>
      <c r="E43" s="580"/>
      <c r="F43" s="580"/>
      <c r="G43" s="580"/>
      <c r="H43" s="580"/>
      <c r="I43" s="580"/>
      <c r="J43" s="580"/>
      <c r="K43" s="580"/>
      <c r="L43" s="582"/>
      <c r="M43" s="583"/>
      <c r="N43" s="583"/>
      <c r="O43" s="583"/>
      <c r="P43" s="583"/>
      <c r="Q43" s="584"/>
      <c r="R43" s="585"/>
      <c r="S43" s="584"/>
      <c r="T43" s="584"/>
    </row>
    <row r="44" spans="1:22" s="466" customFormat="1" ht="8.1" customHeight="1">
      <c r="A44" s="586"/>
      <c r="B44" s="587"/>
      <c r="C44" s="580"/>
      <c r="D44" s="580"/>
      <c r="E44" s="580"/>
      <c r="F44" s="580"/>
      <c r="G44" s="580"/>
      <c r="H44" s="580"/>
      <c r="I44" s="580"/>
      <c r="J44" s="580"/>
      <c r="K44" s="580"/>
      <c r="L44" s="582"/>
      <c r="M44" s="583"/>
      <c r="N44" s="583"/>
      <c r="O44" s="583"/>
      <c r="P44" s="583"/>
      <c r="Q44" s="584"/>
      <c r="R44" s="585"/>
      <c r="S44" s="588"/>
      <c r="T44" s="588"/>
    </row>
    <row r="45" spans="1:22" s="532" customFormat="1" ht="12" customHeight="1">
      <c r="A45" s="589"/>
      <c r="B45" s="587"/>
      <c r="C45" s="580"/>
      <c r="D45" s="580"/>
      <c r="E45" s="580"/>
      <c r="F45" s="580"/>
      <c r="G45" s="580"/>
      <c r="H45" s="580"/>
      <c r="I45" s="580"/>
      <c r="J45" s="580"/>
      <c r="K45" s="580"/>
      <c r="L45" s="582"/>
      <c r="M45" s="583"/>
      <c r="N45" s="583"/>
      <c r="O45" s="583"/>
      <c r="P45" s="583"/>
      <c r="Q45" s="584"/>
      <c r="R45" s="585"/>
      <c r="S45" s="588"/>
      <c r="T45" s="588"/>
    </row>
    <row r="46" spans="1:22" s="590" customFormat="1" ht="9.6" customHeight="1">
      <c r="C46" s="591"/>
      <c r="E46" s="591"/>
      <c r="G46" s="591"/>
      <c r="H46" s="592"/>
      <c r="I46" s="591"/>
      <c r="K46" s="593"/>
      <c r="L46" s="594"/>
      <c r="M46" s="466"/>
      <c r="N46" s="466"/>
      <c r="O46" s="466"/>
      <c r="P46" s="466"/>
      <c r="Q46" s="595"/>
      <c r="R46" s="596"/>
      <c r="S46" s="580"/>
      <c r="T46" s="597"/>
    </row>
    <row r="47" spans="1:22" s="590" customFormat="1" ht="15.75" customHeight="1">
      <c r="B47" s="598"/>
      <c r="C47" s="599"/>
      <c r="E47" s="591"/>
      <c r="G47" s="591"/>
      <c r="H47" s="592"/>
      <c r="I47" s="591"/>
      <c r="K47" s="593"/>
      <c r="L47" s="594"/>
      <c r="M47" s="466"/>
      <c r="N47" s="466"/>
      <c r="O47" s="466"/>
      <c r="P47" s="466"/>
      <c r="Q47" s="596"/>
      <c r="R47" s="600"/>
      <c r="S47" s="601"/>
    </row>
    <row r="48" spans="1:22" ht="9.75" customHeight="1">
      <c r="D48" s="599"/>
      <c r="K48" s="593"/>
      <c r="L48" s="594"/>
      <c r="M48" s="590"/>
      <c r="N48" s="590"/>
      <c r="O48" s="590"/>
      <c r="P48" s="590"/>
      <c r="Q48" s="596"/>
      <c r="R48" s="600"/>
      <c r="S48" s="602"/>
    </row>
    <row r="49" spans="2:19" ht="17.25">
      <c r="B49" s="603"/>
      <c r="H49" s="604"/>
      <c r="L49" s="594"/>
      <c r="M49" s="590"/>
      <c r="N49" s="590"/>
      <c r="O49" s="590"/>
      <c r="P49" s="590"/>
      <c r="Q49" s="466"/>
      <c r="R49" s="466"/>
      <c r="S49" s="605"/>
    </row>
    <row r="50" spans="2:19">
      <c r="B50" s="599"/>
      <c r="D50" s="599"/>
      <c r="Q50" s="466"/>
      <c r="R50" s="466"/>
    </row>
    <row r="51" spans="2:19">
      <c r="B51" s="603"/>
      <c r="Q51" s="466"/>
      <c r="R51" s="466"/>
    </row>
    <row r="52" spans="2:19">
      <c r="Q52" s="532"/>
      <c r="R52" s="532"/>
    </row>
    <row r="53" spans="2:19">
      <c r="L53" s="532"/>
    </row>
    <row r="60" spans="2:19">
      <c r="I60" s="606"/>
    </row>
    <row r="61" spans="2:19">
      <c r="M61" s="466"/>
      <c r="N61" s="466"/>
      <c r="O61" s="466"/>
      <c r="P61" s="466"/>
    </row>
    <row r="62" spans="2:19">
      <c r="M62" s="466"/>
      <c r="N62" s="466"/>
      <c r="O62" s="466"/>
      <c r="P62" s="466"/>
    </row>
    <row r="63" spans="2:19">
      <c r="M63" s="532"/>
      <c r="N63" s="532"/>
      <c r="O63" s="532"/>
      <c r="P63" s="532"/>
    </row>
    <row r="64" spans="2:19">
      <c r="M64" s="346"/>
      <c r="N64" s="532"/>
      <c r="O64" s="532"/>
      <c r="P64" s="532"/>
    </row>
    <row r="65" spans="13:16">
      <c r="M65" s="532"/>
      <c r="N65" s="532"/>
      <c r="O65" s="532"/>
      <c r="P65" s="532"/>
    </row>
    <row r="66" spans="13:16">
      <c r="M66" s="346"/>
    </row>
    <row r="71" spans="13:16">
      <c r="M71" s="607"/>
    </row>
    <row r="72" spans="13:16">
      <c r="M72" s="607"/>
    </row>
    <row r="73" spans="13:16">
      <c r="M73" s="607"/>
    </row>
    <row r="74" spans="13:16">
      <c r="M74" s="607"/>
    </row>
    <row r="75" spans="13:16">
      <c r="M75" s="607"/>
    </row>
    <row r="76" spans="13:16">
      <c r="M76" s="608"/>
    </row>
  </sheetData>
  <mergeCells count="14">
    <mergeCell ref="O4:P4"/>
    <mergeCell ref="Q4:T4"/>
    <mergeCell ref="U4:V4"/>
    <mergeCell ref="B37:C37"/>
    <mergeCell ref="B38:D38"/>
    <mergeCell ref="E38:K38"/>
    <mergeCell ref="M38:N38"/>
    <mergeCell ref="P38:U38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/>
  <colBreaks count="1" manualBreakCount="1">
    <brk id="11" max="43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8EB0-C3BF-4586-AAD7-DB846057BA13}">
  <sheetPr>
    <tabColor theme="8"/>
  </sheetPr>
  <dimension ref="A1:AW40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6.5" defaultRowHeight="16.5"/>
  <cols>
    <col min="1" max="1" width="9.125" style="12" customWidth="1"/>
    <col min="2" max="7" width="7.625" style="12" customWidth="1"/>
    <col min="8" max="8" width="8.125" style="12" customWidth="1"/>
    <col min="9" max="12" width="7.625" style="12" customWidth="1"/>
    <col min="13" max="13" width="7.125" style="12" customWidth="1"/>
    <col min="14" max="14" width="7.625" style="12" customWidth="1"/>
    <col min="15" max="17" width="7.125" style="12" customWidth="1"/>
    <col min="18" max="18" width="7.625" style="12" customWidth="1"/>
    <col min="19" max="19" width="7.125" style="12" customWidth="1"/>
    <col min="20" max="23" width="7.625" style="12" customWidth="1"/>
    <col min="24" max="24" width="7.125" style="12" customWidth="1"/>
    <col min="25" max="25" width="7.625" style="12" customWidth="1"/>
    <col min="26" max="26" width="8.75" style="684" customWidth="1"/>
    <col min="27" max="32" width="7.625" style="12" customWidth="1"/>
    <col min="33" max="33" width="8.5" style="12" customWidth="1"/>
    <col min="34" max="37" width="7.625" style="12" customWidth="1"/>
    <col min="38" max="48" width="8.5" style="12" customWidth="1"/>
    <col min="49" max="49" width="18.25" style="12" bestFit="1" customWidth="1"/>
    <col min="50" max="50" width="9.625" style="12" bestFit="1" customWidth="1"/>
    <col min="51" max="16384" width="6.5" style="12"/>
  </cols>
  <sheetData>
    <row r="1" spans="1:48" s="271" customFormat="1" ht="26.25">
      <c r="A1" s="609" t="s">
        <v>460</v>
      </c>
      <c r="Z1" s="609" t="s">
        <v>461</v>
      </c>
      <c r="AB1" s="610"/>
      <c r="AD1" s="272"/>
      <c r="AE1" s="272"/>
      <c r="AF1" s="272"/>
    </row>
    <row r="2" spans="1:48" s="274" customFormat="1" ht="17.25">
      <c r="A2" s="274" t="s">
        <v>462</v>
      </c>
      <c r="Z2" s="611" t="s">
        <v>463</v>
      </c>
      <c r="AD2" s="272"/>
      <c r="AE2" s="272"/>
      <c r="AF2" s="272"/>
    </row>
    <row r="3" spans="1:48" s="271" customFormat="1" ht="16.5" customHeight="1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X3" s="612" t="s">
        <v>464</v>
      </c>
      <c r="Y3" s="612"/>
      <c r="Z3" s="613"/>
      <c r="AA3" s="614"/>
      <c r="AD3" s="281"/>
      <c r="AE3" s="281"/>
      <c r="AF3" s="281"/>
      <c r="AG3" s="272"/>
      <c r="AH3" s="272"/>
      <c r="AI3" s="272"/>
      <c r="AV3" s="615" t="s">
        <v>464</v>
      </c>
    </row>
    <row r="4" spans="1:48" s="613" customFormat="1" ht="24" customHeight="1">
      <c r="A4" s="283" t="s">
        <v>56</v>
      </c>
      <c r="B4" s="286" t="s">
        <v>465</v>
      </c>
      <c r="C4" s="284"/>
      <c r="D4" s="284"/>
      <c r="E4" s="284"/>
      <c r="F4" s="284"/>
      <c r="G4" s="284"/>
      <c r="H4" s="285"/>
      <c r="I4" s="286" t="s">
        <v>466</v>
      </c>
      <c r="J4" s="284"/>
      <c r="K4" s="284"/>
      <c r="L4" s="284"/>
      <c r="M4" s="284" t="s">
        <v>467</v>
      </c>
      <c r="N4" s="284"/>
      <c r="O4" s="284"/>
      <c r="P4" s="284"/>
      <c r="Q4" s="284"/>
      <c r="R4" s="285"/>
      <c r="S4" s="286" t="s">
        <v>468</v>
      </c>
      <c r="T4" s="284"/>
      <c r="U4" s="284"/>
      <c r="V4" s="284"/>
      <c r="W4" s="284"/>
      <c r="X4" s="284"/>
      <c r="Y4" s="285"/>
      <c r="Z4" s="283" t="s">
        <v>56</v>
      </c>
      <c r="AA4" s="284" t="s">
        <v>469</v>
      </c>
      <c r="AB4" s="284"/>
      <c r="AC4" s="284"/>
      <c r="AD4" s="284"/>
      <c r="AE4" s="284"/>
      <c r="AF4" s="284"/>
      <c r="AG4" s="284"/>
      <c r="AH4" s="616"/>
      <c r="AI4" s="617" t="s">
        <v>470</v>
      </c>
      <c r="AJ4" s="617" t="s">
        <v>471</v>
      </c>
      <c r="AK4" s="618"/>
      <c r="AL4" s="618"/>
      <c r="AM4" s="617" t="s">
        <v>472</v>
      </c>
      <c r="AN4" s="619"/>
      <c r="AO4" s="284" t="s">
        <v>473</v>
      </c>
      <c r="AP4" s="284"/>
      <c r="AQ4" s="284"/>
      <c r="AR4" s="284"/>
      <c r="AS4" s="286" t="s">
        <v>474</v>
      </c>
      <c r="AT4" s="284"/>
      <c r="AU4" s="285"/>
      <c r="AV4" s="619" t="s">
        <v>475</v>
      </c>
    </row>
    <row r="5" spans="1:48" s="627" customFormat="1" ht="24" customHeight="1">
      <c r="A5" s="300"/>
      <c r="B5" s="620" t="s">
        <v>161</v>
      </c>
      <c r="C5" s="302" t="s">
        <v>108</v>
      </c>
      <c r="D5" s="302" t="s">
        <v>107</v>
      </c>
      <c r="E5" s="302" t="s">
        <v>100</v>
      </c>
      <c r="F5" s="302" t="s">
        <v>476</v>
      </c>
      <c r="G5" s="302" t="s">
        <v>477</v>
      </c>
      <c r="H5" s="621" t="s">
        <v>160</v>
      </c>
      <c r="I5" s="620" t="s">
        <v>161</v>
      </c>
      <c r="J5" s="622" t="s">
        <v>108</v>
      </c>
      <c r="K5" s="302" t="s">
        <v>107</v>
      </c>
      <c r="L5" s="302" t="s">
        <v>100</v>
      </c>
      <c r="M5" s="302" t="s">
        <v>478</v>
      </c>
      <c r="N5" s="622" t="s">
        <v>476</v>
      </c>
      <c r="O5" s="302" t="s">
        <v>479</v>
      </c>
      <c r="P5" s="302" t="s">
        <v>477</v>
      </c>
      <c r="Q5" s="623" t="s">
        <v>480</v>
      </c>
      <c r="R5" s="623" t="s">
        <v>160</v>
      </c>
      <c r="S5" s="624" t="s">
        <v>161</v>
      </c>
      <c r="T5" s="302" t="s">
        <v>107</v>
      </c>
      <c r="U5" s="623" t="s">
        <v>100</v>
      </c>
      <c r="V5" s="302" t="s">
        <v>481</v>
      </c>
      <c r="W5" s="302" t="s">
        <v>482</v>
      </c>
      <c r="X5" s="302" t="s">
        <v>477</v>
      </c>
      <c r="Y5" s="621" t="s">
        <v>160</v>
      </c>
      <c r="Z5" s="300"/>
      <c r="AA5" s="624" t="s">
        <v>161</v>
      </c>
      <c r="AB5" s="302" t="s">
        <v>107</v>
      </c>
      <c r="AC5" s="302" t="s">
        <v>100</v>
      </c>
      <c r="AD5" s="622" t="s">
        <v>476</v>
      </c>
      <c r="AE5" s="625" t="s">
        <v>483</v>
      </c>
      <c r="AF5" s="302" t="s">
        <v>477</v>
      </c>
      <c r="AG5" s="623" t="s">
        <v>160</v>
      </c>
      <c r="AH5" s="624" t="s">
        <v>161</v>
      </c>
      <c r="AI5" s="622" t="s">
        <v>108</v>
      </c>
      <c r="AJ5" s="302" t="s">
        <v>107</v>
      </c>
      <c r="AK5" s="623" t="s">
        <v>100</v>
      </c>
      <c r="AL5" s="302" t="s">
        <v>476</v>
      </c>
      <c r="AM5" s="302" t="s">
        <v>477</v>
      </c>
      <c r="AN5" s="621" t="s">
        <v>160</v>
      </c>
      <c r="AO5" s="620" t="s">
        <v>161</v>
      </c>
      <c r="AP5" s="302" t="s">
        <v>12</v>
      </c>
      <c r="AQ5" s="302" t="s">
        <v>477</v>
      </c>
      <c r="AR5" s="621" t="s">
        <v>160</v>
      </c>
      <c r="AS5" s="624" t="s">
        <v>161</v>
      </c>
      <c r="AT5" s="620" t="s">
        <v>484</v>
      </c>
      <c r="AU5" s="621" t="s">
        <v>477</v>
      </c>
      <c r="AV5" s="626" t="s">
        <v>160</v>
      </c>
    </row>
    <row r="6" spans="1:48" s="532" customFormat="1" ht="26.1" customHeight="1">
      <c r="A6" s="321">
        <v>2015</v>
      </c>
      <c r="B6" s="628">
        <v>19.599</v>
      </c>
      <c r="C6" s="629">
        <v>325</v>
      </c>
      <c r="D6" s="629">
        <v>8648.6</v>
      </c>
      <c r="E6" s="629">
        <v>0</v>
      </c>
      <c r="F6" s="629">
        <v>922.06399999999996</v>
      </c>
      <c r="G6" s="630">
        <v>65.591999999999999</v>
      </c>
      <c r="H6" s="631">
        <v>9980.8549999999996</v>
      </c>
      <c r="I6" s="630">
        <v>7.5</v>
      </c>
      <c r="J6" s="629">
        <v>400</v>
      </c>
      <c r="K6" s="629">
        <v>4000</v>
      </c>
      <c r="L6" s="629">
        <v>150</v>
      </c>
      <c r="M6" s="629">
        <v>387.5</v>
      </c>
      <c r="N6" s="629">
        <v>3342.8879999999999</v>
      </c>
      <c r="O6" s="629">
        <v>135</v>
      </c>
      <c r="P6" s="630">
        <v>20.97</v>
      </c>
      <c r="Q6" s="630" t="s">
        <v>133</v>
      </c>
      <c r="R6" s="632">
        <v>8443.8580000000002</v>
      </c>
      <c r="S6" s="628">
        <v>2.2000000000000002</v>
      </c>
      <c r="T6" s="629">
        <v>4000</v>
      </c>
      <c r="U6" s="629">
        <v>1400</v>
      </c>
      <c r="V6" s="629" t="s">
        <v>133</v>
      </c>
      <c r="W6" s="629">
        <v>3866.9</v>
      </c>
      <c r="X6" s="630">
        <v>52.238999999999997</v>
      </c>
      <c r="Y6" s="631">
        <v>9321.3389999999999</v>
      </c>
      <c r="Z6" s="633">
        <v>2015</v>
      </c>
      <c r="AA6" s="634">
        <v>0.06</v>
      </c>
      <c r="AB6" s="629">
        <v>4000</v>
      </c>
      <c r="AC6" s="629">
        <v>200</v>
      </c>
      <c r="AD6" s="629">
        <v>4914.6000000000004</v>
      </c>
      <c r="AE6" s="630">
        <v>0</v>
      </c>
      <c r="AF6" s="630">
        <v>47.26</v>
      </c>
      <c r="AG6" s="632">
        <v>9161.92</v>
      </c>
      <c r="AH6" s="628">
        <v>8.1980000000000004</v>
      </c>
      <c r="AI6" s="629">
        <v>400</v>
      </c>
      <c r="AJ6" s="629">
        <v>4500</v>
      </c>
      <c r="AK6" s="629">
        <v>1200</v>
      </c>
      <c r="AL6" s="629">
        <v>2971.9</v>
      </c>
      <c r="AM6" s="630">
        <v>59.283000000000001</v>
      </c>
      <c r="AN6" s="631">
        <v>9139.3809999999994</v>
      </c>
      <c r="AO6" s="634">
        <v>5306.47</v>
      </c>
      <c r="AP6" s="629">
        <v>21715.683000000001</v>
      </c>
      <c r="AQ6" s="630">
        <v>16.710999999999999</v>
      </c>
      <c r="AR6" s="632">
        <v>27038.864000000001</v>
      </c>
      <c r="AS6" s="628" t="s">
        <v>133</v>
      </c>
      <c r="AT6" s="635">
        <v>195.39</v>
      </c>
      <c r="AU6" s="636">
        <v>0.505</v>
      </c>
      <c r="AV6" s="637">
        <v>24366.649000000001</v>
      </c>
    </row>
    <row r="7" spans="1:48" s="532" customFormat="1" ht="26.1" customHeight="1">
      <c r="A7" s="321">
        <v>2016</v>
      </c>
      <c r="B7" s="628">
        <v>19.599</v>
      </c>
      <c r="C7" s="629">
        <v>325</v>
      </c>
      <c r="D7" s="629">
        <v>8988.6</v>
      </c>
      <c r="E7" s="629" t="s">
        <v>133</v>
      </c>
      <c r="F7" s="629">
        <v>922.06399999999996</v>
      </c>
      <c r="G7" s="630">
        <v>76.405000000000001</v>
      </c>
      <c r="H7" s="631">
        <v>10331.668</v>
      </c>
      <c r="I7" s="634">
        <v>12.5</v>
      </c>
      <c r="J7" s="629">
        <v>400</v>
      </c>
      <c r="K7" s="629">
        <v>4000</v>
      </c>
      <c r="L7" s="629">
        <v>150</v>
      </c>
      <c r="M7" s="629">
        <v>250</v>
      </c>
      <c r="N7" s="629">
        <v>3342.8879999999999</v>
      </c>
      <c r="O7" s="629">
        <v>135</v>
      </c>
      <c r="P7" s="630">
        <v>51.972999999999999</v>
      </c>
      <c r="Q7" s="630" t="s">
        <v>133</v>
      </c>
      <c r="R7" s="632">
        <v>8342.3610000000008</v>
      </c>
      <c r="S7" s="628">
        <v>2.2000000000000002</v>
      </c>
      <c r="T7" s="629">
        <v>5050</v>
      </c>
      <c r="U7" s="629">
        <v>1400</v>
      </c>
      <c r="V7" s="629" t="s">
        <v>133</v>
      </c>
      <c r="W7" s="629">
        <v>3866.9</v>
      </c>
      <c r="X7" s="630">
        <v>405.40499999999997</v>
      </c>
      <c r="Y7" s="631">
        <v>10724.504999999999</v>
      </c>
      <c r="Z7" s="633">
        <v>2016</v>
      </c>
      <c r="AA7" s="634">
        <v>0.06</v>
      </c>
      <c r="AB7" s="629">
        <v>5022</v>
      </c>
      <c r="AC7" s="629">
        <v>200</v>
      </c>
      <c r="AD7" s="629">
        <v>4914.6000000000004</v>
      </c>
      <c r="AE7" s="630" t="s">
        <v>133</v>
      </c>
      <c r="AF7" s="630">
        <v>47.26</v>
      </c>
      <c r="AG7" s="632">
        <v>10183.92</v>
      </c>
      <c r="AH7" s="628">
        <v>8.1980000000000004</v>
      </c>
      <c r="AI7" s="629">
        <v>400</v>
      </c>
      <c r="AJ7" s="629">
        <v>6360.2</v>
      </c>
      <c r="AK7" s="629">
        <v>1200</v>
      </c>
      <c r="AL7" s="629">
        <v>2971.9</v>
      </c>
      <c r="AM7" s="630">
        <v>59.283000000000001</v>
      </c>
      <c r="AN7" s="631">
        <v>10999.581</v>
      </c>
      <c r="AO7" s="634">
        <v>5306.47</v>
      </c>
      <c r="AP7" s="629">
        <v>23115.683000000001</v>
      </c>
      <c r="AQ7" s="630">
        <v>16.710999999999999</v>
      </c>
      <c r="AR7" s="632">
        <v>28438.864000000001</v>
      </c>
      <c r="AS7" s="628">
        <v>0.7</v>
      </c>
      <c r="AT7" s="630">
        <v>194.44</v>
      </c>
      <c r="AU7" s="636">
        <v>0.505</v>
      </c>
      <c r="AV7" s="631">
        <v>26649.012999999999</v>
      </c>
    </row>
    <row r="8" spans="1:48" s="532" customFormat="1" ht="26.1" customHeight="1">
      <c r="A8" s="321">
        <v>2017</v>
      </c>
      <c r="B8" s="628">
        <v>18.599</v>
      </c>
      <c r="C8" s="629">
        <v>200</v>
      </c>
      <c r="D8" s="629">
        <v>8988.6</v>
      </c>
      <c r="E8" s="629" t="s">
        <v>133</v>
      </c>
      <c r="F8" s="629">
        <v>922.06399999999996</v>
      </c>
      <c r="G8" s="630">
        <v>215.167</v>
      </c>
      <c r="H8" s="631">
        <v>10344.43</v>
      </c>
      <c r="I8" s="634">
        <v>12.5</v>
      </c>
      <c r="J8" s="629" t="s">
        <v>133</v>
      </c>
      <c r="K8" s="629">
        <v>5851.9780000000001</v>
      </c>
      <c r="L8" s="629">
        <v>150</v>
      </c>
      <c r="M8" s="629" t="s">
        <v>133</v>
      </c>
      <c r="N8" s="629">
        <v>3342.8879999999999</v>
      </c>
      <c r="O8" s="629">
        <v>135</v>
      </c>
      <c r="P8" s="630">
        <v>60.625</v>
      </c>
      <c r="Q8" s="630" t="s">
        <v>133</v>
      </c>
      <c r="R8" s="632">
        <v>9552.991</v>
      </c>
      <c r="S8" s="628">
        <v>2.2000000000000002</v>
      </c>
      <c r="T8" s="629">
        <v>6100</v>
      </c>
      <c r="U8" s="629">
        <v>1400</v>
      </c>
      <c r="V8" s="629" t="s">
        <v>133</v>
      </c>
      <c r="W8" s="629">
        <v>3866.9</v>
      </c>
      <c r="X8" s="630">
        <v>411.79199999999997</v>
      </c>
      <c r="Y8" s="631">
        <v>11780.892</v>
      </c>
      <c r="Z8" s="633">
        <v>2017</v>
      </c>
      <c r="AA8" s="634">
        <v>2.81</v>
      </c>
      <c r="AB8" s="629">
        <v>6044</v>
      </c>
      <c r="AC8" s="629">
        <v>200</v>
      </c>
      <c r="AD8" s="629">
        <v>4914.6000000000004</v>
      </c>
      <c r="AE8" s="630" t="s">
        <v>133</v>
      </c>
      <c r="AF8" s="630">
        <v>47.26</v>
      </c>
      <c r="AG8" s="632">
        <v>11208.67</v>
      </c>
      <c r="AH8" s="628">
        <v>8.1980000000000004</v>
      </c>
      <c r="AI8" s="629">
        <v>400</v>
      </c>
      <c r="AJ8" s="629">
        <v>6540</v>
      </c>
      <c r="AK8" s="629">
        <v>1200</v>
      </c>
      <c r="AL8" s="629">
        <v>2971.9</v>
      </c>
      <c r="AM8" s="630">
        <v>62.685000000000002</v>
      </c>
      <c r="AN8" s="631">
        <v>11182.782999999999</v>
      </c>
      <c r="AO8" s="634">
        <v>5306.47</v>
      </c>
      <c r="AP8" s="629">
        <v>22528.683000000001</v>
      </c>
      <c r="AQ8" s="630">
        <v>21.856999999999999</v>
      </c>
      <c r="AR8" s="632">
        <v>27857.01</v>
      </c>
      <c r="AS8" s="628">
        <v>0.7</v>
      </c>
      <c r="AT8" s="630">
        <v>204.47</v>
      </c>
      <c r="AU8" s="636">
        <v>0.54500000000000004</v>
      </c>
      <c r="AV8" s="631">
        <v>34775.15</v>
      </c>
    </row>
    <row r="9" spans="1:48" s="532" customFormat="1" ht="26.1" customHeight="1">
      <c r="A9" s="321">
        <v>2018</v>
      </c>
      <c r="B9" s="628">
        <v>18.599</v>
      </c>
      <c r="C9" s="629">
        <v>200</v>
      </c>
      <c r="D9" s="629">
        <v>8988.6</v>
      </c>
      <c r="E9" s="629" t="s">
        <v>133</v>
      </c>
      <c r="F9" s="629">
        <v>922.06399999999996</v>
      </c>
      <c r="G9" s="630">
        <v>247.27600000000001</v>
      </c>
      <c r="H9" s="631">
        <v>10376.539000000001</v>
      </c>
      <c r="I9" s="634">
        <v>12.5</v>
      </c>
      <c r="J9" s="629" t="s">
        <v>133</v>
      </c>
      <c r="K9" s="629">
        <v>5945.0129999999999</v>
      </c>
      <c r="L9" s="629">
        <v>150</v>
      </c>
      <c r="M9" s="629" t="s">
        <v>133</v>
      </c>
      <c r="N9" s="629">
        <v>3530.3339999999998</v>
      </c>
      <c r="O9" s="629">
        <v>135</v>
      </c>
      <c r="P9" s="630">
        <v>62.951999999999998</v>
      </c>
      <c r="Q9" s="630">
        <v>0</v>
      </c>
      <c r="R9" s="632">
        <v>9835.7990000000009</v>
      </c>
      <c r="S9" s="628">
        <v>2.2000000000000002</v>
      </c>
      <c r="T9" s="629">
        <v>6100</v>
      </c>
      <c r="U9" s="629">
        <v>1400</v>
      </c>
      <c r="V9" s="629" t="s">
        <v>133</v>
      </c>
      <c r="W9" s="629">
        <v>3386.9</v>
      </c>
      <c r="X9" s="630">
        <v>442.63</v>
      </c>
      <c r="Y9" s="631">
        <v>11331.73</v>
      </c>
      <c r="Z9" s="633">
        <v>2018</v>
      </c>
      <c r="AA9" s="634">
        <v>2.81</v>
      </c>
      <c r="AB9" s="629">
        <v>6044</v>
      </c>
      <c r="AC9" s="629">
        <v>200</v>
      </c>
      <c r="AD9" s="629">
        <v>4914.6000000000004</v>
      </c>
      <c r="AE9" s="630" t="s">
        <v>133</v>
      </c>
      <c r="AF9" s="630">
        <v>78.08</v>
      </c>
      <c r="AG9" s="632">
        <v>11239.49</v>
      </c>
      <c r="AH9" s="628">
        <v>8.1980000000000004</v>
      </c>
      <c r="AI9" s="629">
        <v>400</v>
      </c>
      <c r="AJ9" s="629">
        <v>6540</v>
      </c>
      <c r="AK9" s="629">
        <v>1200</v>
      </c>
      <c r="AL9" s="629">
        <v>2971.9</v>
      </c>
      <c r="AM9" s="630">
        <v>74.287000000000006</v>
      </c>
      <c r="AN9" s="631">
        <v>11194.385</v>
      </c>
      <c r="AO9" s="634">
        <v>5306.625</v>
      </c>
      <c r="AP9" s="629">
        <v>21850</v>
      </c>
      <c r="AQ9" s="630">
        <v>22.116</v>
      </c>
      <c r="AR9" s="632">
        <v>27178.741000000002</v>
      </c>
      <c r="AS9" s="628">
        <v>0.7</v>
      </c>
      <c r="AT9" s="630">
        <v>204.47</v>
      </c>
      <c r="AU9" s="636">
        <v>0.57299999999999995</v>
      </c>
      <c r="AV9" s="631">
        <v>37729.233999999997</v>
      </c>
    </row>
    <row r="10" spans="1:48" s="532" customFormat="1" ht="26.1" customHeight="1">
      <c r="A10" s="321">
        <v>2019</v>
      </c>
      <c r="B10" s="628">
        <v>18.599</v>
      </c>
      <c r="C10" s="629">
        <v>200</v>
      </c>
      <c r="D10" s="629">
        <v>8988.6</v>
      </c>
      <c r="E10" s="629" t="s">
        <v>133</v>
      </c>
      <c r="F10" s="629">
        <v>922.06399999999996</v>
      </c>
      <c r="G10" s="630">
        <v>247.32499999999999</v>
      </c>
      <c r="H10" s="631">
        <v>10376.588</v>
      </c>
      <c r="I10" s="634">
        <v>12.5</v>
      </c>
      <c r="J10" s="629" t="s">
        <v>133</v>
      </c>
      <c r="K10" s="629">
        <v>6038.058</v>
      </c>
      <c r="L10" s="629" t="s">
        <v>133</v>
      </c>
      <c r="M10" s="629" t="s">
        <v>133</v>
      </c>
      <c r="N10" s="629">
        <v>4289.3239999999996</v>
      </c>
      <c r="O10" s="629">
        <v>135</v>
      </c>
      <c r="P10" s="630">
        <v>215.58799999999999</v>
      </c>
      <c r="Q10" s="630">
        <v>0</v>
      </c>
      <c r="R10" s="632">
        <v>10690.47</v>
      </c>
      <c r="S10" s="628">
        <v>2.2000000000000002</v>
      </c>
      <c r="T10" s="629">
        <v>6100</v>
      </c>
      <c r="U10" s="629">
        <v>1400</v>
      </c>
      <c r="V10" s="629" t="s">
        <v>133</v>
      </c>
      <c r="W10" s="629">
        <v>3386.9</v>
      </c>
      <c r="X10" s="630">
        <v>448.95499999999998</v>
      </c>
      <c r="Y10" s="631">
        <v>11338.055</v>
      </c>
      <c r="Z10" s="633">
        <v>2019</v>
      </c>
      <c r="AA10" s="634">
        <v>2.81</v>
      </c>
      <c r="AB10" s="629">
        <v>6044</v>
      </c>
      <c r="AC10" s="629" t="s">
        <v>133</v>
      </c>
      <c r="AD10" s="629">
        <v>4914.6000000000004</v>
      </c>
      <c r="AE10" s="630" t="s">
        <v>133</v>
      </c>
      <c r="AF10" s="630">
        <v>321.58499999999998</v>
      </c>
      <c r="AG10" s="632">
        <v>11282.995000000001</v>
      </c>
      <c r="AH10" s="628">
        <v>8.1980000000000004</v>
      </c>
      <c r="AI10" s="629">
        <v>400</v>
      </c>
      <c r="AJ10" s="629">
        <v>6540</v>
      </c>
      <c r="AK10" s="629">
        <v>1200</v>
      </c>
      <c r="AL10" s="629">
        <v>2971.9</v>
      </c>
      <c r="AM10" s="630">
        <v>73.275999999999996</v>
      </c>
      <c r="AN10" s="631">
        <v>11193.374</v>
      </c>
      <c r="AO10" s="634">
        <v>5306.65</v>
      </c>
      <c r="AP10" s="629">
        <v>23250</v>
      </c>
      <c r="AQ10" s="630">
        <v>27.17</v>
      </c>
      <c r="AR10" s="632">
        <v>28583.82</v>
      </c>
      <c r="AS10" s="628">
        <v>0.7</v>
      </c>
      <c r="AT10" s="630">
        <v>205.61699999999999</v>
      </c>
      <c r="AU10" s="636">
        <v>0.72299999999999998</v>
      </c>
      <c r="AV10" s="631">
        <v>41665.326999999997</v>
      </c>
    </row>
    <row r="11" spans="1:48" s="532" customFormat="1" ht="26.1" customHeight="1">
      <c r="A11" s="321">
        <v>2020</v>
      </c>
      <c r="B11" s="628">
        <v>18.599</v>
      </c>
      <c r="C11" s="629" t="s">
        <v>133</v>
      </c>
      <c r="D11" s="629">
        <v>8988.6</v>
      </c>
      <c r="E11" s="629" t="s">
        <v>133</v>
      </c>
      <c r="F11" s="629">
        <v>922.06399999999996</v>
      </c>
      <c r="G11" s="630">
        <v>469.13200000000001</v>
      </c>
      <c r="H11" s="631">
        <v>10398.395</v>
      </c>
      <c r="I11" s="634">
        <v>12.5</v>
      </c>
      <c r="J11" s="629" t="s">
        <v>133</v>
      </c>
      <c r="K11" s="629">
        <v>6088.058</v>
      </c>
      <c r="L11" s="629" t="s">
        <v>133</v>
      </c>
      <c r="M11" s="629" t="s">
        <v>133</v>
      </c>
      <c r="N11" s="629">
        <v>4309.9679999999998</v>
      </c>
      <c r="O11" s="629">
        <v>80</v>
      </c>
      <c r="P11" s="630">
        <v>225.608</v>
      </c>
      <c r="Q11" s="630">
        <v>10</v>
      </c>
      <c r="R11" s="632">
        <v>10726.134</v>
      </c>
      <c r="S11" s="628">
        <v>2.2000000000000002</v>
      </c>
      <c r="T11" s="629">
        <v>6100</v>
      </c>
      <c r="U11" s="629" t="s">
        <v>133</v>
      </c>
      <c r="V11" s="629">
        <v>1400</v>
      </c>
      <c r="W11" s="629">
        <v>3386.9</v>
      </c>
      <c r="X11" s="630">
        <v>472.38900000000001</v>
      </c>
      <c r="Y11" s="631">
        <v>11361.489</v>
      </c>
      <c r="Z11" s="633">
        <v>2020</v>
      </c>
      <c r="AA11" s="634">
        <v>2.81</v>
      </c>
      <c r="AB11" s="629">
        <v>6044</v>
      </c>
      <c r="AC11" s="629" t="s">
        <v>133</v>
      </c>
      <c r="AD11" s="629">
        <v>5060.8450000000003</v>
      </c>
      <c r="AE11" s="630" t="s">
        <v>133</v>
      </c>
      <c r="AF11" s="630">
        <v>324.33600000000001</v>
      </c>
      <c r="AG11" s="632">
        <v>11431.991</v>
      </c>
      <c r="AH11" s="628">
        <v>8.1980000000000004</v>
      </c>
      <c r="AI11" s="629">
        <v>400</v>
      </c>
      <c r="AJ11" s="629">
        <v>6540</v>
      </c>
      <c r="AK11" s="629">
        <v>1200</v>
      </c>
      <c r="AL11" s="629">
        <v>2971.9</v>
      </c>
      <c r="AM11" s="630">
        <v>118.09099999999999</v>
      </c>
      <c r="AN11" s="631">
        <v>11238.189</v>
      </c>
      <c r="AO11" s="634">
        <v>5306.8</v>
      </c>
      <c r="AP11" s="629">
        <v>23250</v>
      </c>
      <c r="AQ11" s="630">
        <v>43.594000000000001</v>
      </c>
      <c r="AR11" s="632">
        <v>28600.394</v>
      </c>
      <c r="AS11" s="628">
        <v>0.7</v>
      </c>
      <c r="AT11" s="630">
        <v>95.68</v>
      </c>
      <c r="AU11" s="636">
        <v>0.72299999999999998</v>
      </c>
      <c r="AV11" s="631">
        <v>45337.578000000001</v>
      </c>
    </row>
    <row r="12" spans="1:48" s="532" customFormat="1" ht="26.1" customHeight="1">
      <c r="A12" s="321">
        <v>2021</v>
      </c>
      <c r="B12" s="628">
        <v>17.599</v>
      </c>
      <c r="C12" s="629" t="s">
        <v>133</v>
      </c>
      <c r="D12" s="629">
        <v>7868.6</v>
      </c>
      <c r="E12" s="630" t="s">
        <v>133</v>
      </c>
      <c r="F12" s="629">
        <v>922.06399999999996</v>
      </c>
      <c r="G12" s="629">
        <v>484.95499999999998</v>
      </c>
      <c r="H12" s="631">
        <v>9293.2180000000008</v>
      </c>
      <c r="I12" s="634">
        <v>15.086</v>
      </c>
      <c r="J12" s="629" t="s">
        <v>133</v>
      </c>
      <c r="K12" s="629">
        <v>6106.058</v>
      </c>
      <c r="L12" s="629" t="s">
        <v>133</v>
      </c>
      <c r="M12" s="629" t="s">
        <v>133</v>
      </c>
      <c r="N12" s="629">
        <v>4309.9679999999998</v>
      </c>
      <c r="O12" s="629">
        <v>80</v>
      </c>
      <c r="P12" s="629">
        <v>234.327</v>
      </c>
      <c r="Q12" s="630">
        <v>10</v>
      </c>
      <c r="R12" s="632">
        <v>10755.439</v>
      </c>
      <c r="S12" s="628">
        <v>7.2</v>
      </c>
      <c r="T12" s="629">
        <v>6100</v>
      </c>
      <c r="U12" s="629" t="s">
        <v>133</v>
      </c>
      <c r="V12" s="629">
        <v>1400</v>
      </c>
      <c r="W12" s="629">
        <v>3386.9</v>
      </c>
      <c r="X12" s="629">
        <v>546.48900000000003</v>
      </c>
      <c r="Y12" s="631">
        <v>11440.589</v>
      </c>
      <c r="Z12" s="633">
        <v>2021</v>
      </c>
      <c r="AA12" s="634">
        <v>2.81</v>
      </c>
      <c r="AB12" s="629">
        <v>6044</v>
      </c>
      <c r="AC12" s="629" t="s">
        <v>133</v>
      </c>
      <c r="AD12" s="629">
        <v>5060.8450000000003</v>
      </c>
      <c r="AE12" s="630" t="s">
        <v>133</v>
      </c>
      <c r="AF12" s="630">
        <v>367.81200000000001</v>
      </c>
      <c r="AG12" s="632">
        <v>11475.467000000001</v>
      </c>
      <c r="AH12" s="628">
        <v>8.1980000000000004</v>
      </c>
      <c r="AI12" s="629">
        <v>400</v>
      </c>
      <c r="AJ12" s="629">
        <v>6040</v>
      </c>
      <c r="AK12" s="629">
        <v>1200</v>
      </c>
      <c r="AL12" s="629">
        <v>2971.9</v>
      </c>
      <c r="AM12" s="629">
        <v>155.898</v>
      </c>
      <c r="AN12" s="631">
        <v>10775.995999999999</v>
      </c>
      <c r="AO12" s="634">
        <v>5307.7</v>
      </c>
      <c r="AP12" s="629">
        <v>23250</v>
      </c>
      <c r="AQ12" s="629">
        <v>62.686999999999998</v>
      </c>
      <c r="AR12" s="632">
        <v>28620.386999999999</v>
      </c>
      <c r="AS12" s="628" t="s">
        <v>133</v>
      </c>
      <c r="AT12" s="629">
        <v>96.81</v>
      </c>
      <c r="AU12" s="636">
        <v>1.371</v>
      </c>
      <c r="AV12" s="631">
        <v>51560.498</v>
      </c>
    </row>
    <row r="13" spans="1:48" s="532" customFormat="1" ht="26.1" customHeight="1">
      <c r="A13" s="321">
        <v>2022</v>
      </c>
      <c r="B13" s="628">
        <v>17.599</v>
      </c>
      <c r="C13" s="630" t="s">
        <v>133</v>
      </c>
      <c r="D13" s="630">
        <v>7868.6</v>
      </c>
      <c r="E13" s="630" t="s">
        <v>133</v>
      </c>
      <c r="F13" s="629">
        <v>922.06399999999996</v>
      </c>
      <c r="G13" s="629">
        <v>469.91800000000001</v>
      </c>
      <c r="H13" s="631">
        <v>9278.1810000000005</v>
      </c>
      <c r="I13" s="634">
        <v>15.086</v>
      </c>
      <c r="J13" s="629" t="s">
        <v>133</v>
      </c>
      <c r="K13" s="629">
        <v>6106.058</v>
      </c>
      <c r="L13" s="629" t="s">
        <v>133</v>
      </c>
      <c r="M13" s="629" t="s">
        <v>133</v>
      </c>
      <c r="N13" s="629">
        <v>4309.9679999999998</v>
      </c>
      <c r="O13" s="629">
        <v>40</v>
      </c>
      <c r="P13" s="629">
        <v>293.99299999999999</v>
      </c>
      <c r="Q13" s="630">
        <v>10</v>
      </c>
      <c r="R13" s="632">
        <v>10775.105</v>
      </c>
      <c r="S13" s="628">
        <v>7.2</v>
      </c>
      <c r="T13" s="629">
        <v>6100</v>
      </c>
      <c r="U13" s="630" t="s">
        <v>133</v>
      </c>
      <c r="V13" s="630">
        <v>1400</v>
      </c>
      <c r="W13" s="630">
        <v>3386.9</v>
      </c>
      <c r="X13" s="630">
        <v>608.88900000000001</v>
      </c>
      <c r="Y13" s="638">
        <v>11502.989</v>
      </c>
      <c r="Z13" s="633">
        <v>2022</v>
      </c>
      <c r="AA13" s="639">
        <v>2.81</v>
      </c>
      <c r="AB13" s="630">
        <v>6044</v>
      </c>
      <c r="AC13" s="630" t="s">
        <v>133</v>
      </c>
      <c r="AD13" s="630">
        <v>5060.8450000000003</v>
      </c>
      <c r="AE13" s="630" t="s">
        <v>133</v>
      </c>
      <c r="AF13" s="629">
        <v>369.83100000000002</v>
      </c>
      <c r="AG13" s="631">
        <v>11477.486000000001</v>
      </c>
      <c r="AH13" s="634" t="s">
        <v>133</v>
      </c>
      <c r="AI13" s="629">
        <v>400</v>
      </c>
      <c r="AJ13" s="629">
        <v>6040</v>
      </c>
      <c r="AK13" s="629" t="s">
        <v>133</v>
      </c>
      <c r="AL13" s="629">
        <v>2971.9</v>
      </c>
      <c r="AM13" s="629">
        <v>150.58699999999999</v>
      </c>
      <c r="AN13" s="632">
        <v>9562.4869999999992</v>
      </c>
      <c r="AO13" s="628">
        <v>5307.7</v>
      </c>
      <c r="AP13" s="629">
        <v>24650</v>
      </c>
      <c r="AQ13" s="629">
        <v>71.138999999999996</v>
      </c>
      <c r="AR13" s="631">
        <v>30028.839</v>
      </c>
      <c r="AS13" s="628">
        <v>0.7</v>
      </c>
      <c r="AT13" s="629">
        <v>96.81</v>
      </c>
      <c r="AU13" s="636">
        <v>0.68799999999999994</v>
      </c>
      <c r="AV13" s="631">
        <v>55471.47</v>
      </c>
    </row>
    <row r="14" spans="1:48" s="532" customFormat="1" ht="26.1" customHeight="1">
      <c r="A14" s="321">
        <v>2023</v>
      </c>
      <c r="B14" s="628">
        <v>17.599</v>
      </c>
      <c r="C14" s="630" t="s">
        <v>133</v>
      </c>
      <c r="D14" s="630">
        <v>7868.6</v>
      </c>
      <c r="E14" s="630" t="s">
        <v>133</v>
      </c>
      <c r="F14" s="629">
        <v>922.06399999999996</v>
      </c>
      <c r="G14" s="629">
        <v>554.399</v>
      </c>
      <c r="H14" s="631">
        <v>9362.6620000000003</v>
      </c>
      <c r="I14" s="634">
        <v>15.086</v>
      </c>
      <c r="J14" s="629" t="s">
        <v>133</v>
      </c>
      <c r="K14" s="629">
        <v>6106.058</v>
      </c>
      <c r="L14" s="629" t="s">
        <v>133</v>
      </c>
      <c r="M14" s="629" t="s">
        <v>133</v>
      </c>
      <c r="N14" s="629">
        <v>4309.9679999999998</v>
      </c>
      <c r="O14" s="629">
        <v>40</v>
      </c>
      <c r="P14" s="629">
        <v>293.94299999999998</v>
      </c>
      <c r="Q14" s="630">
        <v>10</v>
      </c>
      <c r="R14" s="632">
        <v>10775.055</v>
      </c>
      <c r="S14" s="628">
        <v>7.2</v>
      </c>
      <c r="T14" s="629">
        <v>6100</v>
      </c>
      <c r="U14" s="640" t="s">
        <v>133</v>
      </c>
      <c r="V14" s="630">
        <v>1400</v>
      </c>
      <c r="W14" s="630">
        <v>3737.36</v>
      </c>
      <c r="X14" s="630">
        <v>627.20899999999995</v>
      </c>
      <c r="Y14" s="638">
        <v>11871.769</v>
      </c>
      <c r="Z14" s="633">
        <v>2023</v>
      </c>
      <c r="AA14" s="639">
        <v>2.81</v>
      </c>
      <c r="AB14" s="630">
        <v>6044</v>
      </c>
      <c r="AC14" s="630" t="s">
        <v>133</v>
      </c>
      <c r="AD14" s="630">
        <v>5060.8450000000003</v>
      </c>
      <c r="AE14" s="630" t="s">
        <v>133</v>
      </c>
      <c r="AF14" s="629">
        <v>387.14499999999998</v>
      </c>
      <c r="AG14" s="631">
        <v>11494.8</v>
      </c>
      <c r="AH14" s="634" t="s">
        <v>133</v>
      </c>
      <c r="AI14" s="629">
        <v>400</v>
      </c>
      <c r="AJ14" s="629">
        <v>6040</v>
      </c>
      <c r="AK14" s="629" t="s">
        <v>133</v>
      </c>
      <c r="AL14" s="629">
        <v>2971.9</v>
      </c>
      <c r="AM14" s="629">
        <v>166.887</v>
      </c>
      <c r="AN14" s="632">
        <v>9578.7870000000003</v>
      </c>
      <c r="AO14" s="628">
        <v>5306.8</v>
      </c>
      <c r="AP14" s="629">
        <v>24650</v>
      </c>
      <c r="AQ14" s="629">
        <v>97.350999999999999</v>
      </c>
      <c r="AR14" s="631">
        <v>30054.151000000002</v>
      </c>
      <c r="AS14" s="628">
        <v>0.7</v>
      </c>
      <c r="AT14" s="629">
        <v>96.55</v>
      </c>
      <c r="AU14" s="636">
        <v>0.57299999999999995</v>
      </c>
      <c r="AV14" s="631">
        <v>61185.86</v>
      </c>
    </row>
    <row r="15" spans="1:48" s="532" customFormat="1" ht="26.1" customHeight="1">
      <c r="A15" s="321">
        <v>2024</v>
      </c>
      <c r="B15" s="628">
        <v>17.599</v>
      </c>
      <c r="C15" s="630" t="s">
        <v>133</v>
      </c>
      <c r="D15" s="630">
        <v>7868.6</v>
      </c>
      <c r="E15" s="630" t="s">
        <v>133</v>
      </c>
      <c r="F15" s="629">
        <v>922.06399999999996</v>
      </c>
      <c r="G15" s="629">
        <v>555.41</v>
      </c>
      <c r="H15" s="631">
        <v>9363.6730000000007</v>
      </c>
      <c r="I15" s="634">
        <v>15.086</v>
      </c>
      <c r="J15" s="629" t="s">
        <v>133</v>
      </c>
      <c r="K15" s="629">
        <v>6106.058</v>
      </c>
      <c r="L15" s="629" t="s">
        <v>133</v>
      </c>
      <c r="M15" s="629" t="s">
        <v>133</v>
      </c>
      <c r="N15" s="629">
        <v>4309.9679999999998</v>
      </c>
      <c r="O15" s="629" t="s">
        <v>133</v>
      </c>
      <c r="P15" s="629">
        <v>336.68700000000001</v>
      </c>
      <c r="Q15" s="630">
        <v>10</v>
      </c>
      <c r="R15" s="632">
        <v>10777.799000000001</v>
      </c>
      <c r="S15" s="628">
        <v>7.2</v>
      </c>
      <c r="T15" s="629">
        <v>6100</v>
      </c>
      <c r="U15" s="640" t="s">
        <v>133</v>
      </c>
      <c r="V15" s="630">
        <v>1400</v>
      </c>
      <c r="W15" s="630">
        <v>3737.36</v>
      </c>
      <c r="X15" s="630">
        <v>673.78899999999999</v>
      </c>
      <c r="Y15" s="638">
        <v>11918.349</v>
      </c>
      <c r="Z15" s="633">
        <v>2024</v>
      </c>
      <c r="AA15" s="639">
        <v>2.81</v>
      </c>
      <c r="AB15" s="630">
        <v>6044</v>
      </c>
      <c r="AC15" s="630" t="s">
        <v>133</v>
      </c>
      <c r="AD15" s="630">
        <v>5670.567</v>
      </c>
      <c r="AE15" s="630" t="s">
        <v>133</v>
      </c>
      <c r="AF15" s="629">
        <v>411.26400000000001</v>
      </c>
      <c r="AG15" s="631">
        <v>12128.641</v>
      </c>
      <c r="AH15" s="634" t="s">
        <v>133</v>
      </c>
      <c r="AI15" s="629">
        <v>400</v>
      </c>
      <c r="AJ15" s="629">
        <v>6040</v>
      </c>
      <c r="AK15" s="629" t="s">
        <v>133</v>
      </c>
      <c r="AL15" s="629">
        <v>2971.9</v>
      </c>
      <c r="AM15" s="629">
        <v>263.37799999999999</v>
      </c>
      <c r="AN15" s="632">
        <v>9675.2780000000002</v>
      </c>
      <c r="AO15" s="628">
        <v>5306.8</v>
      </c>
      <c r="AP15" s="629">
        <v>26050</v>
      </c>
      <c r="AQ15" s="629">
        <v>105.27500000000001</v>
      </c>
      <c r="AR15" s="631">
        <v>31462.075000000001</v>
      </c>
      <c r="AS15" s="628">
        <v>0.7</v>
      </c>
      <c r="AT15" s="629">
        <v>96.7</v>
      </c>
      <c r="AU15" s="636">
        <v>0.69199999999999995</v>
      </c>
      <c r="AV15" s="631">
        <v>67647.567999999999</v>
      </c>
    </row>
    <row r="16" spans="1:48" s="532" customFormat="1" ht="26.1" customHeight="1">
      <c r="A16" s="641">
        <v>2025</v>
      </c>
      <c r="B16" s="642">
        <v>17.599</v>
      </c>
      <c r="C16" s="643" t="s">
        <v>133</v>
      </c>
      <c r="D16" s="643">
        <v>7868.6</v>
      </c>
      <c r="E16" s="643" t="s">
        <v>133</v>
      </c>
      <c r="F16" s="644">
        <v>922.06399999999996</v>
      </c>
      <c r="G16" s="644">
        <v>555.41</v>
      </c>
      <c r="H16" s="645">
        <v>9363.6730000000007</v>
      </c>
      <c r="I16" s="646">
        <v>15.086</v>
      </c>
      <c r="J16" s="644" t="s">
        <v>133</v>
      </c>
      <c r="K16" s="644">
        <v>6106.058</v>
      </c>
      <c r="L16" s="644" t="s">
        <v>133</v>
      </c>
      <c r="M16" s="644" t="s">
        <v>133</v>
      </c>
      <c r="N16" s="644">
        <v>4309.9679999999998</v>
      </c>
      <c r="O16" s="644" t="s">
        <v>133</v>
      </c>
      <c r="P16" s="644">
        <v>340.875</v>
      </c>
      <c r="Q16" s="647">
        <v>10</v>
      </c>
      <c r="R16" s="647">
        <v>10781.986999999999</v>
      </c>
      <c r="S16" s="642">
        <v>7.2</v>
      </c>
      <c r="T16" s="644">
        <v>5600</v>
      </c>
      <c r="U16" s="648" t="s">
        <v>133</v>
      </c>
      <c r="V16" s="643" t="s">
        <v>133</v>
      </c>
      <c r="W16" s="643">
        <v>3737.36</v>
      </c>
      <c r="X16" s="643">
        <v>673.78899999999999</v>
      </c>
      <c r="Y16" s="649">
        <v>10018.349</v>
      </c>
      <c r="Z16" s="633">
        <v>2025</v>
      </c>
      <c r="AA16" s="650">
        <v>2.81</v>
      </c>
      <c r="AB16" s="643">
        <v>6044</v>
      </c>
      <c r="AC16" s="643" t="s">
        <v>133</v>
      </c>
      <c r="AD16" s="643">
        <v>5670.567</v>
      </c>
      <c r="AE16" s="643" t="s">
        <v>133</v>
      </c>
      <c r="AF16" s="644">
        <v>411.964</v>
      </c>
      <c r="AG16" s="645">
        <v>12129.341</v>
      </c>
      <c r="AH16" s="646" t="s">
        <v>133</v>
      </c>
      <c r="AI16" s="644">
        <v>400</v>
      </c>
      <c r="AJ16" s="644">
        <v>6040</v>
      </c>
      <c r="AK16" s="644" t="s">
        <v>133</v>
      </c>
      <c r="AL16" s="644">
        <v>2971.9</v>
      </c>
      <c r="AM16" s="644">
        <v>279.82100000000003</v>
      </c>
      <c r="AN16" s="647">
        <v>9691.7209999999995</v>
      </c>
      <c r="AO16" s="642">
        <v>5306.8450000000003</v>
      </c>
      <c r="AP16" s="644">
        <v>26050</v>
      </c>
      <c r="AQ16" s="644">
        <v>115.07299999999999</v>
      </c>
      <c r="AR16" s="645">
        <v>31471.918000000001</v>
      </c>
      <c r="AS16" s="642">
        <v>0.7</v>
      </c>
      <c r="AT16" s="644">
        <v>96.7</v>
      </c>
      <c r="AU16" s="651">
        <v>0.69199999999999995</v>
      </c>
      <c r="AV16" s="645">
        <v>73007.665999999997</v>
      </c>
    </row>
    <row r="17" spans="1:49" s="532" customFormat="1" ht="26.1" customHeight="1">
      <c r="A17" s="652">
        <v>2025.04</v>
      </c>
      <c r="B17" s="653">
        <v>17.599</v>
      </c>
      <c r="C17" s="654" t="s">
        <v>133</v>
      </c>
      <c r="D17" s="654">
        <v>7868.6</v>
      </c>
      <c r="E17" s="654" t="s">
        <v>133</v>
      </c>
      <c r="F17" s="655">
        <v>922.06399999999996</v>
      </c>
      <c r="G17" s="655">
        <v>555.41</v>
      </c>
      <c r="H17" s="656">
        <v>9363.6730000000007</v>
      </c>
      <c r="I17" s="657">
        <v>15.086</v>
      </c>
      <c r="J17" s="655" t="s">
        <v>133</v>
      </c>
      <c r="K17" s="655">
        <v>6106.058</v>
      </c>
      <c r="L17" s="655" t="s">
        <v>133</v>
      </c>
      <c r="M17" s="655" t="s">
        <v>133</v>
      </c>
      <c r="N17" s="655">
        <v>4309.9679999999998</v>
      </c>
      <c r="O17" s="655" t="s">
        <v>133</v>
      </c>
      <c r="P17" s="655">
        <v>336.68700000000001</v>
      </c>
      <c r="Q17" s="658">
        <v>10</v>
      </c>
      <c r="R17" s="658">
        <v>10777.799000000001</v>
      </c>
      <c r="S17" s="653">
        <v>7.2</v>
      </c>
      <c r="T17" s="655">
        <v>6100</v>
      </c>
      <c r="U17" s="659" t="s">
        <v>133</v>
      </c>
      <c r="V17" s="654" t="s">
        <v>133</v>
      </c>
      <c r="W17" s="654">
        <v>3737.36</v>
      </c>
      <c r="X17" s="654">
        <v>673.78899999999999</v>
      </c>
      <c r="Y17" s="660">
        <v>10518.349</v>
      </c>
      <c r="Z17" s="337">
        <v>2025.04</v>
      </c>
      <c r="AA17" s="661">
        <v>2.81</v>
      </c>
      <c r="AB17" s="654">
        <v>6044</v>
      </c>
      <c r="AC17" s="654" t="s">
        <v>133</v>
      </c>
      <c r="AD17" s="654">
        <v>5670.567</v>
      </c>
      <c r="AE17" s="654" t="s">
        <v>133</v>
      </c>
      <c r="AF17" s="655">
        <v>411.26400000000001</v>
      </c>
      <c r="AG17" s="656">
        <v>12128.641</v>
      </c>
      <c r="AH17" s="657" t="s">
        <v>133</v>
      </c>
      <c r="AI17" s="655">
        <v>400</v>
      </c>
      <c r="AJ17" s="655">
        <v>6040</v>
      </c>
      <c r="AK17" s="655" t="s">
        <v>133</v>
      </c>
      <c r="AL17" s="655">
        <v>2971.9</v>
      </c>
      <c r="AM17" s="655">
        <v>263.37799999999999</v>
      </c>
      <c r="AN17" s="658">
        <v>9675.2780000000002</v>
      </c>
      <c r="AO17" s="653">
        <v>5306.8</v>
      </c>
      <c r="AP17" s="655">
        <v>26050</v>
      </c>
      <c r="AQ17" s="655">
        <v>114.075</v>
      </c>
      <c r="AR17" s="656">
        <v>31470.875</v>
      </c>
      <c r="AS17" s="653">
        <v>0.7</v>
      </c>
      <c r="AT17" s="655">
        <v>96.7</v>
      </c>
      <c r="AU17" s="662">
        <v>0.69199999999999995</v>
      </c>
      <c r="AV17" s="656">
        <v>70269.801999999996</v>
      </c>
    </row>
    <row r="18" spans="1:49" s="532" customFormat="1" ht="26.1" customHeight="1">
      <c r="A18" s="663">
        <v>2025.05</v>
      </c>
      <c r="B18" s="628">
        <v>17.599</v>
      </c>
      <c r="C18" s="630" t="s">
        <v>133</v>
      </c>
      <c r="D18" s="630">
        <v>7868.6</v>
      </c>
      <c r="E18" s="630" t="s">
        <v>133</v>
      </c>
      <c r="F18" s="629">
        <v>922.06399999999996</v>
      </c>
      <c r="G18" s="629">
        <v>555.41</v>
      </c>
      <c r="H18" s="631">
        <v>9363.6730000000007</v>
      </c>
      <c r="I18" s="634">
        <v>15.086</v>
      </c>
      <c r="J18" s="629" t="s">
        <v>133</v>
      </c>
      <c r="K18" s="629">
        <v>6106.058</v>
      </c>
      <c r="L18" s="629" t="s">
        <v>133</v>
      </c>
      <c r="M18" s="629" t="s">
        <v>133</v>
      </c>
      <c r="N18" s="629">
        <v>4309.9679999999998</v>
      </c>
      <c r="O18" s="629" t="s">
        <v>133</v>
      </c>
      <c r="P18" s="629">
        <v>336.68700000000001</v>
      </c>
      <c r="Q18" s="632">
        <v>10</v>
      </c>
      <c r="R18" s="632">
        <v>10777.799000000001</v>
      </c>
      <c r="S18" s="628">
        <v>7.2</v>
      </c>
      <c r="T18" s="629">
        <v>6100</v>
      </c>
      <c r="U18" s="640" t="s">
        <v>133</v>
      </c>
      <c r="V18" s="630" t="s">
        <v>133</v>
      </c>
      <c r="W18" s="630">
        <v>3737.36</v>
      </c>
      <c r="X18" s="630">
        <v>673.78899999999999</v>
      </c>
      <c r="Y18" s="638">
        <v>10518.349</v>
      </c>
      <c r="Z18" s="336">
        <v>2025.05</v>
      </c>
      <c r="AA18" s="639">
        <v>2.81</v>
      </c>
      <c r="AB18" s="630">
        <v>6044</v>
      </c>
      <c r="AC18" s="630" t="s">
        <v>133</v>
      </c>
      <c r="AD18" s="630">
        <v>5670.567</v>
      </c>
      <c r="AE18" s="630" t="s">
        <v>133</v>
      </c>
      <c r="AF18" s="629">
        <v>411.26400000000001</v>
      </c>
      <c r="AG18" s="631">
        <v>12128.641</v>
      </c>
      <c r="AH18" s="634" t="s">
        <v>133</v>
      </c>
      <c r="AI18" s="629">
        <v>400</v>
      </c>
      <c r="AJ18" s="629">
        <v>6040</v>
      </c>
      <c r="AK18" s="629" t="s">
        <v>133</v>
      </c>
      <c r="AL18" s="629">
        <v>2971.9</v>
      </c>
      <c r="AM18" s="629">
        <v>264.04500000000002</v>
      </c>
      <c r="AN18" s="632">
        <v>9675.9449999999997</v>
      </c>
      <c r="AO18" s="628">
        <v>5306.8450000000003</v>
      </c>
      <c r="AP18" s="629">
        <v>26050</v>
      </c>
      <c r="AQ18" s="629">
        <v>114.075</v>
      </c>
      <c r="AR18" s="631">
        <v>31470.92</v>
      </c>
      <c r="AS18" s="628">
        <v>0.7</v>
      </c>
      <c r="AT18" s="629">
        <v>96.7</v>
      </c>
      <c r="AU18" s="636">
        <v>0.69199999999999995</v>
      </c>
      <c r="AV18" s="631">
        <v>70639.320000000007</v>
      </c>
    </row>
    <row r="19" spans="1:49" s="532" customFormat="1" ht="26.1" customHeight="1">
      <c r="A19" s="663">
        <v>2025.06</v>
      </c>
      <c r="B19" s="628">
        <v>17.599</v>
      </c>
      <c r="C19" s="630" t="s">
        <v>133</v>
      </c>
      <c r="D19" s="630">
        <v>7868.6</v>
      </c>
      <c r="E19" s="630" t="s">
        <v>133</v>
      </c>
      <c r="F19" s="629">
        <v>922.06399999999996</v>
      </c>
      <c r="G19" s="629">
        <v>555.41</v>
      </c>
      <c r="H19" s="631">
        <v>9363.6730000000007</v>
      </c>
      <c r="I19" s="634">
        <v>15.086</v>
      </c>
      <c r="J19" s="629" t="s">
        <v>133</v>
      </c>
      <c r="K19" s="629">
        <v>6106.058</v>
      </c>
      <c r="L19" s="629" t="s">
        <v>133</v>
      </c>
      <c r="M19" s="629" t="s">
        <v>133</v>
      </c>
      <c r="N19" s="629">
        <v>4309.9679999999998</v>
      </c>
      <c r="O19" s="629" t="s">
        <v>133</v>
      </c>
      <c r="P19" s="629">
        <v>336.68700000000001</v>
      </c>
      <c r="Q19" s="632">
        <v>10</v>
      </c>
      <c r="R19" s="632">
        <v>10777.799000000001</v>
      </c>
      <c r="S19" s="628">
        <v>7.2</v>
      </c>
      <c r="T19" s="629">
        <v>6100</v>
      </c>
      <c r="U19" s="630" t="s">
        <v>133</v>
      </c>
      <c r="V19" s="630" t="s">
        <v>133</v>
      </c>
      <c r="W19" s="630">
        <v>3737.36</v>
      </c>
      <c r="X19" s="630">
        <v>673.78899999999999</v>
      </c>
      <c r="Y19" s="638">
        <v>10518.349</v>
      </c>
      <c r="Z19" s="336">
        <v>2025.06</v>
      </c>
      <c r="AA19" s="639">
        <v>2.81</v>
      </c>
      <c r="AB19" s="630">
        <v>6044</v>
      </c>
      <c r="AC19" s="630" t="s">
        <v>133</v>
      </c>
      <c r="AD19" s="630">
        <v>5670.567</v>
      </c>
      <c r="AE19" s="630" t="s">
        <v>133</v>
      </c>
      <c r="AF19" s="629">
        <v>411.26400000000001</v>
      </c>
      <c r="AG19" s="631">
        <v>12128.641</v>
      </c>
      <c r="AH19" s="634" t="s">
        <v>133</v>
      </c>
      <c r="AI19" s="629">
        <v>400</v>
      </c>
      <c r="AJ19" s="629">
        <v>6040</v>
      </c>
      <c r="AK19" s="629" t="s">
        <v>133</v>
      </c>
      <c r="AL19" s="629">
        <v>2971.9</v>
      </c>
      <c r="AM19" s="629">
        <v>264.50599999999997</v>
      </c>
      <c r="AN19" s="632">
        <v>9676.4060000000009</v>
      </c>
      <c r="AO19" s="628">
        <v>5306.8450000000003</v>
      </c>
      <c r="AP19" s="629">
        <v>26050</v>
      </c>
      <c r="AQ19" s="629">
        <v>114.075</v>
      </c>
      <c r="AR19" s="631">
        <v>31470.92</v>
      </c>
      <c r="AS19" s="628">
        <v>0.7</v>
      </c>
      <c r="AT19" s="629">
        <v>96.7</v>
      </c>
      <c r="AU19" s="636">
        <v>0.69199999999999995</v>
      </c>
      <c r="AV19" s="631">
        <v>70920.679000000004</v>
      </c>
    </row>
    <row r="20" spans="1:49" s="532" customFormat="1" ht="26.1" customHeight="1">
      <c r="A20" s="663">
        <v>2025.07</v>
      </c>
      <c r="B20" s="628">
        <v>17.599</v>
      </c>
      <c r="C20" s="630" t="s">
        <v>133</v>
      </c>
      <c r="D20" s="630">
        <v>7868.6</v>
      </c>
      <c r="E20" s="630" t="s">
        <v>133</v>
      </c>
      <c r="F20" s="629">
        <v>922.06399999999996</v>
      </c>
      <c r="G20" s="629">
        <v>555.41</v>
      </c>
      <c r="H20" s="631">
        <v>9363.6730000000007</v>
      </c>
      <c r="I20" s="634">
        <v>15.086</v>
      </c>
      <c r="J20" s="629" t="s">
        <v>133</v>
      </c>
      <c r="K20" s="629">
        <v>6106.058</v>
      </c>
      <c r="L20" s="629" t="s">
        <v>133</v>
      </c>
      <c r="M20" s="629" t="s">
        <v>133</v>
      </c>
      <c r="N20" s="629">
        <v>4309.9679999999998</v>
      </c>
      <c r="O20" s="629" t="s">
        <v>133</v>
      </c>
      <c r="P20" s="629">
        <v>339.137</v>
      </c>
      <c r="Q20" s="632">
        <v>10</v>
      </c>
      <c r="R20" s="632">
        <v>10780.249</v>
      </c>
      <c r="S20" s="628">
        <v>7.2</v>
      </c>
      <c r="T20" s="629">
        <v>6100</v>
      </c>
      <c r="U20" s="630" t="s">
        <v>133</v>
      </c>
      <c r="V20" s="630" t="s">
        <v>133</v>
      </c>
      <c r="W20" s="630">
        <v>3737.36</v>
      </c>
      <c r="X20" s="630">
        <v>673.78899999999999</v>
      </c>
      <c r="Y20" s="638">
        <v>10518.349</v>
      </c>
      <c r="Z20" s="336">
        <v>2025.07</v>
      </c>
      <c r="AA20" s="639">
        <v>2.81</v>
      </c>
      <c r="AB20" s="630">
        <v>6044</v>
      </c>
      <c r="AC20" s="630" t="s">
        <v>133</v>
      </c>
      <c r="AD20" s="630">
        <v>5670.567</v>
      </c>
      <c r="AE20" s="630" t="s">
        <v>133</v>
      </c>
      <c r="AF20" s="629">
        <v>411.26400000000001</v>
      </c>
      <c r="AG20" s="631">
        <v>12128.641</v>
      </c>
      <c r="AH20" s="634" t="s">
        <v>133</v>
      </c>
      <c r="AI20" s="629">
        <v>400</v>
      </c>
      <c r="AJ20" s="629">
        <v>6040</v>
      </c>
      <c r="AK20" s="630" t="s">
        <v>133</v>
      </c>
      <c r="AL20" s="629">
        <v>2971.9</v>
      </c>
      <c r="AM20" s="629">
        <v>266.733</v>
      </c>
      <c r="AN20" s="632">
        <v>9678.6329999999998</v>
      </c>
      <c r="AO20" s="628">
        <v>5306.8450000000003</v>
      </c>
      <c r="AP20" s="629">
        <v>26050</v>
      </c>
      <c r="AQ20" s="629">
        <v>114.075</v>
      </c>
      <c r="AR20" s="631">
        <v>31470.92</v>
      </c>
      <c r="AS20" s="628">
        <v>0.7</v>
      </c>
      <c r="AT20" s="629">
        <v>96.7</v>
      </c>
      <c r="AU20" s="636">
        <v>0.69199999999999995</v>
      </c>
      <c r="AV20" s="631">
        <v>71269.759000000005</v>
      </c>
    </row>
    <row r="21" spans="1:49" s="532" customFormat="1" ht="26.1" customHeight="1">
      <c r="A21" s="663">
        <v>2025.08</v>
      </c>
      <c r="B21" s="628">
        <v>17.599</v>
      </c>
      <c r="C21" s="630" t="s">
        <v>133</v>
      </c>
      <c r="D21" s="630">
        <v>7868.6</v>
      </c>
      <c r="E21" s="630" t="s">
        <v>133</v>
      </c>
      <c r="F21" s="629">
        <v>922.06399999999996</v>
      </c>
      <c r="G21" s="629">
        <v>555.41</v>
      </c>
      <c r="H21" s="631">
        <v>9363.6730000000007</v>
      </c>
      <c r="I21" s="634">
        <v>15.086</v>
      </c>
      <c r="J21" s="629" t="s">
        <v>133</v>
      </c>
      <c r="K21" s="629">
        <v>6106.058</v>
      </c>
      <c r="L21" s="629" t="s">
        <v>133</v>
      </c>
      <c r="M21" s="629" t="s">
        <v>133</v>
      </c>
      <c r="N21" s="629">
        <v>4309.9679999999998</v>
      </c>
      <c r="O21" s="629" t="s">
        <v>133</v>
      </c>
      <c r="P21" s="629">
        <v>339.137</v>
      </c>
      <c r="Q21" s="632">
        <v>10</v>
      </c>
      <c r="R21" s="632">
        <v>10780.249</v>
      </c>
      <c r="S21" s="628">
        <v>7.2</v>
      </c>
      <c r="T21" s="629">
        <v>6100</v>
      </c>
      <c r="U21" s="630" t="s">
        <v>133</v>
      </c>
      <c r="V21" s="630" t="s">
        <v>133</v>
      </c>
      <c r="W21" s="630">
        <v>3737.36</v>
      </c>
      <c r="X21" s="630">
        <v>673.78899999999999</v>
      </c>
      <c r="Y21" s="638">
        <v>10518.349</v>
      </c>
      <c r="Z21" s="336">
        <v>2025.08</v>
      </c>
      <c r="AA21" s="639">
        <v>2.81</v>
      </c>
      <c r="AB21" s="630">
        <v>6044</v>
      </c>
      <c r="AC21" s="630" t="s">
        <v>133</v>
      </c>
      <c r="AD21" s="630">
        <v>5670.567</v>
      </c>
      <c r="AE21" s="630" t="s">
        <v>133</v>
      </c>
      <c r="AF21" s="629">
        <v>411.26400000000001</v>
      </c>
      <c r="AG21" s="631">
        <v>12128.641</v>
      </c>
      <c r="AH21" s="634" t="s">
        <v>133</v>
      </c>
      <c r="AI21" s="629">
        <v>400</v>
      </c>
      <c r="AJ21" s="629">
        <v>6040</v>
      </c>
      <c r="AK21" s="630" t="s">
        <v>133</v>
      </c>
      <c r="AL21" s="629">
        <v>2971.9</v>
      </c>
      <c r="AM21" s="629">
        <v>267.738</v>
      </c>
      <c r="AN21" s="632">
        <v>9679.6380000000008</v>
      </c>
      <c r="AO21" s="628">
        <v>5306.8450000000003</v>
      </c>
      <c r="AP21" s="629">
        <v>26050</v>
      </c>
      <c r="AQ21" s="629">
        <v>114.075</v>
      </c>
      <c r="AR21" s="631">
        <v>31470.92</v>
      </c>
      <c r="AS21" s="628">
        <v>0.7</v>
      </c>
      <c r="AT21" s="629">
        <v>96.7</v>
      </c>
      <c r="AU21" s="636">
        <v>0.69199999999999995</v>
      </c>
      <c r="AV21" s="631">
        <v>71626.790999999997</v>
      </c>
    </row>
    <row r="22" spans="1:49" s="532" customFormat="1" ht="26.1" customHeight="1">
      <c r="A22" s="663">
        <v>2025.09</v>
      </c>
      <c r="B22" s="628">
        <v>17.599</v>
      </c>
      <c r="C22" s="630" t="s">
        <v>133</v>
      </c>
      <c r="D22" s="630">
        <v>7868.6</v>
      </c>
      <c r="E22" s="630" t="s">
        <v>133</v>
      </c>
      <c r="F22" s="629">
        <v>922.06399999999996</v>
      </c>
      <c r="G22" s="629">
        <v>555.41</v>
      </c>
      <c r="H22" s="631">
        <v>9363.6730000000007</v>
      </c>
      <c r="I22" s="634">
        <v>15.086</v>
      </c>
      <c r="J22" s="629" t="s">
        <v>133</v>
      </c>
      <c r="K22" s="629">
        <v>6106.058</v>
      </c>
      <c r="L22" s="629" t="s">
        <v>133</v>
      </c>
      <c r="M22" s="629" t="s">
        <v>133</v>
      </c>
      <c r="N22" s="629">
        <v>4309.9679999999998</v>
      </c>
      <c r="O22" s="629" t="s">
        <v>133</v>
      </c>
      <c r="P22" s="629">
        <v>340.875</v>
      </c>
      <c r="Q22" s="632">
        <v>10</v>
      </c>
      <c r="R22" s="632">
        <v>10781.986999999999</v>
      </c>
      <c r="S22" s="628">
        <v>7.2</v>
      </c>
      <c r="T22" s="629">
        <v>6100</v>
      </c>
      <c r="U22" s="630" t="s">
        <v>133</v>
      </c>
      <c r="V22" s="630" t="s">
        <v>133</v>
      </c>
      <c r="W22" s="630">
        <v>3737.36</v>
      </c>
      <c r="X22" s="630">
        <v>673.78899999999999</v>
      </c>
      <c r="Y22" s="638">
        <v>10518.349</v>
      </c>
      <c r="Z22" s="336">
        <v>2025.09</v>
      </c>
      <c r="AA22" s="639">
        <v>2.81</v>
      </c>
      <c r="AB22" s="630">
        <v>6044</v>
      </c>
      <c r="AC22" s="630" t="s">
        <v>133</v>
      </c>
      <c r="AD22" s="630">
        <v>5670.567</v>
      </c>
      <c r="AE22" s="630" t="s">
        <v>133</v>
      </c>
      <c r="AF22" s="629">
        <v>411.26400000000001</v>
      </c>
      <c r="AG22" s="631">
        <v>12128.641</v>
      </c>
      <c r="AH22" s="634" t="s">
        <v>133</v>
      </c>
      <c r="AI22" s="629">
        <v>400</v>
      </c>
      <c r="AJ22" s="629">
        <v>6040</v>
      </c>
      <c r="AK22" s="630" t="s">
        <v>133</v>
      </c>
      <c r="AL22" s="629">
        <v>2971.9</v>
      </c>
      <c r="AM22" s="629">
        <v>268.61599999999999</v>
      </c>
      <c r="AN22" s="632">
        <v>9680.5159999999996</v>
      </c>
      <c r="AO22" s="628">
        <v>5306.8450000000003</v>
      </c>
      <c r="AP22" s="629">
        <v>26050</v>
      </c>
      <c r="AQ22" s="629">
        <v>114.075</v>
      </c>
      <c r="AR22" s="631">
        <v>31470.92</v>
      </c>
      <c r="AS22" s="628">
        <v>0.7</v>
      </c>
      <c r="AT22" s="629">
        <v>96.7</v>
      </c>
      <c r="AU22" s="636">
        <v>0.69199999999999995</v>
      </c>
      <c r="AV22" s="631">
        <v>71872.173999999999</v>
      </c>
    </row>
    <row r="23" spans="1:49" s="532" customFormat="1" ht="26.1" customHeight="1">
      <c r="A23" s="663">
        <v>2025.1</v>
      </c>
      <c r="B23" s="628">
        <v>17.599</v>
      </c>
      <c r="C23" s="630" t="s">
        <v>133</v>
      </c>
      <c r="D23" s="630">
        <v>7868.6</v>
      </c>
      <c r="E23" s="630" t="s">
        <v>133</v>
      </c>
      <c r="F23" s="629">
        <v>922.06399999999996</v>
      </c>
      <c r="G23" s="629">
        <v>555.41</v>
      </c>
      <c r="H23" s="631">
        <v>9363.6730000000007</v>
      </c>
      <c r="I23" s="634">
        <v>15.086</v>
      </c>
      <c r="J23" s="629" t="s">
        <v>133</v>
      </c>
      <c r="K23" s="629">
        <v>6106.058</v>
      </c>
      <c r="L23" s="629" t="s">
        <v>133</v>
      </c>
      <c r="M23" s="629" t="s">
        <v>133</v>
      </c>
      <c r="N23" s="629">
        <v>4309.9679999999998</v>
      </c>
      <c r="O23" s="629" t="s">
        <v>133</v>
      </c>
      <c r="P23" s="629">
        <v>340.875</v>
      </c>
      <c r="Q23" s="632">
        <v>10</v>
      </c>
      <c r="R23" s="632">
        <v>10781.986999999999</v>
      </c>
      <c r="S23" s="628">
        <v>7.2</v>
      </c>
      <c r="T23" s="629">
        <v>6100</v>
      </c>
      <c r="U23" s="630" t="s">
        <v>133</v>
      </c>
      <c r="V23" s="630" t="s">
        <v>133</v>
      </c>
      <c r="W23" s="630">
        <v>3737.36</v>
      </c>
      <c r="X23" s="630">
        <v>673.78899999999999</v>
      </c>
      <c r="Y23" s="638">
        <v>10518.349</v>
      </c>
      <c r="Z23" s="336">
        <v>2025.1</v>
      </c>
      <c r="AA23" s="639">
        <v>2.81</v>
      </c>
      <c r="AB23" s="630">
        <v>6044</v>
      </c>
      <c r="AC23" s="630" t="s">
        <v>133</v>
      </c>
      <c r="AD23" s="630">
        <v>5670.567</v>
      </c>
      <c r="AE23" s="630" t="s">
        <v>133</v>
      </c>
      <c r="AF23" s="629">
        <v>411.26400000000001</v>
      </c>
      <c r="AG23" s="631">
        <v>12128.641</v>
      </c>
      <c r="AH23" s="634" t="s">
        <v>133</v>
      </c>
      <c r="AI23" s="629">
        <v>400</v>
      </c>
      <c r="AJ23" s="629">
        <v>6040</v>
      </c>
      <c r="AK23" s="630" t="s">
        <v>133</v>
      </c>
      <c r="AL23" s="629">
        <v>2971.9</v>
      </c>
      <c r="AM23" s="629">
        <v>270.01799999999997</v>
      </c>
      <c r="AN23" s="632">
        <v>9681.9179999999997</v>
      </c>
      <c r="AO23" s="628">
        <v>5306.8450000000003</v>
      </c>
      <c r="AP23" s="629">
        <v>26050</v>
      </c>
      <c r="AQ23" s="629">
        <v>114.075</v>
      </c>
      <c r="AR23" s="631">
        <v>31470.92</v>
      </c>
      <c r="AS23" s="628">
        <v>0.7</v>
      </c>
      <c r="AT23" s="629">
        <v>96.7</v>
      </c>
      <c r="AU23" s="636">
        <v>0.69199999999999995</v>
      </c>
      <c r="AV23" s="631">
        <v>72229.698999999993</v>
      </c>
    </row>
    <row r="24" spans="1:49" s="532" customFormat="1" ht="26.1" customHeight="1">
      <c r="A24" s="663">
        <v>2025.11</v>
      </c>
      <c r="B24" s="628">
        <v>17.599</v>
      </c>
      <c r="C24" s="630" t="s">
        <v>133</v>
      </c>
      <c r="D24" s="630">
        <v>7868.6</v>
      </c>
      <c r="E24" s="630" t="s">
        <v>133</v>
      </c>
      <c r="F24" s="629">
        <v>922.06399999999996</v>
      </c>
      <c r="G24" s="629">
        <v>555.41</v>
      </c>
      <c r="H24" s="631">
        <v>9363.6730000000007</v>
      </c>
      <c r="I24" s="634">
        <v>15.086</v>
      </c>
      <c r="J24" s="629" t="s">
        <v>133</v>
      </c>
      <c r="K24" s="629">
        <v>6106.058</v>
      </c>
      <c r="L24" s="629" t="s">
        <v>133</v>
      </c>
      <c r="M24" s="629" t="s">
        <v>133</v>
      </c>
      <c r="N24" s="629">
        <v>4309.9679999999998</v>
      </c>
      <c r="O24" s="629" t="s">
        <v>133</v>
      </c>
      <c r="P24" s="629">
        <v>340.875</v>
      </c>
      <c r="Q24" s="632">
        <v>10</v>
      </c>
      <c r="R24" s="632">
        <v>10781.986999999999</v>
      </c>
      <c r="S24" s="628">
        <v>7.2</v>
      </c>
      <c r="T24" s="629">
        <v>6100</v>
      </c>
      <c r="U24" s="630" t="s">
        <v>133</v>
      </c>
      <c r="V24" s="630" t="s">
        <v>133</v>
      </c>
      <c r="W24" s="630">
        <v>3737.36</v>
      </c>
      <c r="X24" s="630">
        <v>673.78899999999999</v>
      </c>
      <c r="Y24" s="638">
        <v>10518.349</v>
      </c>
      <c r="Z24" s="336">
        <v>2025.11</v>
      </c>
      <c r="AA24" s="639">
        <v>2.81</v>
      </c>
      <c r="AB24" s="630">
        <v>6044</v>
      </c>
      <c r="AC24" s="630" t="s">
        <v>133</v>
      </c>
      <c r="AD24" s="630">
        <v>5670.567</v>
      </c>
      <c r="AE24" s="630" t="s">
        <v>133</v>
      </c>
      <c r="AF24" s="629">
        <v>411.964</v>
      </c>
      <c r="AG24" s="631">
        <v>12129.341</v>
      </c>
      <c r="AH24" s="634" t="s">
        <v>133</v>
      </c>
      <c r="AI24" s="629">
        <v>400</v>
      </c>
      <c r="AJ24" s="629">
        <v>6040</v>
      </c>
      <c r="AK24" s="630" t="s">
        <v>133</v>
      </c>
      <c r="AL24" s="629">
        <v>2971.9</v>
      </c>
      <c r="AM24" s="629">
        <v>270.01799999999997</v>
      </c>
      <c r="AN24" s="632">
        <v>9681.9179999999997</v>
      </c>
      <c r="AO24" s="628">
        <v>5306.8450000000003</v>
      </c>
      <c r="AP24" s="629">
        <v>26050</v>
      </c>
      <c r="AQ24" s="629">
        <v>114.075</v>
      </c>
      <c r="AR24" s="631">
        <v>31470.92</v>
      </c>
      <c r="AS24" s="628">
        <v>0.7</v>
      </c>
      <c r="AT24" s="629">
        <v>96.7</v>
      </c>
      <c r="AU24" s="636">
        <v>0.69199999999999995</v>
      </c>
      <c r="AV24" s="631">
        <v>72447.986999999994</v>
      </c>
    </row>
    <row r="25" spans="1:49" s="532" customFormat="1" ht="26.1" customHeight="1">
      <c r="A25" s="663">
        <v>2025.12</v>
      </c>
      <c r="B25" s="628">
        <v>17.599</v>
      </c>
      <c r="C25" s="630" t="s">
        <v>133</v>
      </c>
      <c r="D25" s="630">
        <v>7868.6</v>
      </c>
      <c r="E25" s="630" t="s">
        <v>133</v>
      </c>
      <c r="F25" s="629">
        <v>922.06399999999996</v>
      </c>
      <c r="G25" s="629">
        <v>555.41</v>
      </c>
      <c r="H25" s="631">
        <v>9363.6730000000007</v>
      </c>
      <c r="I25" s="634">
        <v>15.086</v>
      </c>
      <c r="J25" s="629" t="s">
        <v>133</v>
      </c>
      <c r="K25" s="629">
        <v>6106.058</v>
      </c>
      <c r="L25" s="629" t="s">
        <v>133</v>
      </c>
      <c r="M25" s="629" t="s">
        <v>133</v>
      </c>
      <c r="N25" s="629">
        <v>4309.9679999999998</v>
      </c>
      <c r="O25" s="629" t="s">
        <v>133</v>
      </c>
      <c r="P25" s="629">
        <v>340.875</v>
      </c>
      <c r="Q25" s="632">
        <v>10</v>
      </c>
      <c r="R25" s="632">
        <v>10781.986999999999</v>
      </c>
      <c r="S25" s="628">
        <v>7.2</v>
      </c>
      <c r="T25" s="629">
        <v>5600</v>
      </c>
      <c r="U25" s="630" t="s">
        <v>133</v>
      </c>
      <c r="V25" s="630" t="s">
        <v>133</v>
      </c>
      <c r="W25" s="630">
        <v>3737.36</v>
      </c>
      <c r="X25" s="630">
        <v>673.78899999999999</v>
      </c>
      <c r="Y25" s="638">
        <v>10018.349</v>
      </c>
      <c r="Z25" s="336">
        <v>2025.12</v>
      </c>
      <c r="AA25" s="639">
        <v>2.81</v>
      </c>
      <c r="AB25" s="630">
        <v>6044</v>
      </c>
      <c r="AC25" s="630" t="s">
        <v>133</v>
      </c>
      <c r="AD25" s="630">
        <v>5670.567</v>
      </c>
      <c r="AE25" s="630" t="s">
        <v>133</v>
      </c>
      <c r="AF25" s="629">
        <v>411.964</v>
      </c>
      <c r="AG25" s="631">
        <v>12129.341</v>
      </c>
      <c r="AH25" s="634" t="s">
        <v>133</v>
      </c>
      <c r="AI25" s="629">
        <v>400</v>
      </c>
      <c r="AJ25" s="629">
        <v>6040</v>
      </c>
      <c r="AK25" s="630" t="s">
        <v>133</v>
      </c>
      <c r="AL25" s="629">
        <v>2971.9</v>
      </c>
      <c r="AM25" s="629">
        <v>279.82100000000003</v>
      </c>
      <c r="AN25" s="632">
        <v>9691.7209999999995</v>
      </c>
      <c r="AO25" s="628">
        <v>5306.8450000000003</v>
      </c>
      <c r="AP25" s="629">
        <v>26050</v>
      </c>
      <c r="AQ25" s="629">
        <v>115.07299999999999</v>
      </c>
      <c r="AR25" s="631">
        <v>31471.918000000001</v>
      </c>
      <c r="AS25" s="628">
        <v>0.7</v>
      </c>
      <c r="AT25" s="629">
        <v>96.7</v>
      </c>
      <c r="AU25" s="636">
        <v>0.69199999999999995</v>
      </c>
      <c r="AV25" s="631">
        <v>73007.665999999997</v>
      </c>
    </row>
    <row r="26" spans="1:49" s="532" customFormat="1" ht="26.1" customHeight="1">
      <c r="A26" s="652">
        <v>2026.01</v>
      </c>
      <c r="B26" s="653">
        <v>17.599</v>
      </c>
      <c r="C26" s="654" t="s">
        <v>133</v>
      </c>
      <c r="D26" s="654">
        <v>7868.6</v>
      </c>
      <c r="E26" s="654" t="s">
        <v>133</v>
      </c>
      <c r="F26" s="655">
        <v>922.06399999999996</v>
      </c>
      <c r="G26" s="655">
        <v>555.41</v>
      </c>
      <c r="H26" s="656">
        <v>9363.6730000000007</v>
      </c>
      <c r="I26" s="657">
        <v>15.086</v>
      </c>
      <c r="J26" s="655" t="s">
        <v>133</v>
      </c>
      <c r="K26" s="655">
        <v>6106.058</v>
      </c>
      <c r="L26" s="655" t="s">
        <v>133</v>
      </c>
      <c r="M26" s="655" t="s">
        <v>133</v>
      </c>
      <c r="N26" s="655">
        <v>4309.9679999999998</v>
      </c>
      <c r="O26" s="655" t="s">
        <v>133</v>
      </c>
      <c r="P26" s="655">
        <v>340.875</v>
      </c>
      <c r="Q26" s="658">
        <v>10</v>
      </c>
      <c r="R26" s="658">
        <v>10781.986999999999</v>
      </c>
      <c r="S26" s="653">
        <v>7.2</v>
      </c>
      <c r="T26" s="655">
        <v>5600</v>
      </c>
      <c r="U26" s="654" t="s">
        <v>133</v>
      </c>
      <c r="V26" s="654" t="s">
        <v>133</v>
      </c>
      <c r="W26" s="654">
        <v>3737.36</v>
      </c>
      <c r="X26" s="654">
        <v>673.78899999999999</v>
      </c>
      <c r="Y26" s="660">
        <v>10018.349</v>
      </c>
      <c r="Z26" s="337">
        <v>2026.01</v>
      </c>
      <c r="AA26" s="661">
        <v>2.81</v>
      </c>
      <c r="AB26" s="654">
        <v>6044</v>
      </c>
      <c r="AC26" s="654" t="s">
        <v>133</v>
      </c>
      <c r="AD26" s="654">
        <v>5670.567</v>
      </c>
      <c r="AE26" s="654" t="s">
        <v>133</v>
      </c>
      <c r="AF26" s="655">
        <v>411.964</v>
      </c>
      <c r="AG26" s="656">
        <v>12129.341</v>
      </c>
      <c r="AH26" s="657" t="s">
        <v>133</v>
      </c>
      <c r="AI26" s="655">
        <v>400</v>
      </c>
      <c r="AJ26" s="655">
        <v>6040</v>
      </c>
      <c r="AK26" s="654" t="s">
        <v>133</v>
      </c>
      <c r="AL26" s="655">
        <v>2971.9</v>
      </c>
      <c r="AM26" s="655">
        <v>283.11599999999999</v>
      </c>
      <c r="AN26" s="658">
        <v>9695.0159999999996</v>
      </c>
      <c r="AO26" s="653">
        <v>5306.8450000000003</v>
      </c>
      <c r="AP26" s="655">
        <v>26050</v>
      </c>
      <c r="AQ26" s="655">
        <v>118.07299999999999</v>
      </c>
      <c r="AR26" s="656">
        <v>31474.918000000001</v>
      </c>
      <c r="AS26" s="653">
        <v>0.7</v>
      </c>
      <c r="AT26" s="655">
        <v>96.7</v>
      </c>
      <c r="AU26" s="662">
        <v>0.69199999999999995</v>
      </c>
      <c r="AV26" s="656">
        <v>73723.638000000006</v>
      </c>
    </row>
    <row r="27" spans="1:49" s="532" customFormat="1" ht="26.1" customHeight="1">
      <c r="A27" s="663">
        <v>2026.02</v>
      </c>
      <c r="B27" s="628">
        <v>17.599</v>
      </c>
      <c r="C27" s="630" t="s">
        <v>133</v>
      </c>
      <c r="D27" s="630">
        <v>7868.6</v>
      </c>
      <c r="E27" s="630" t="s">
        <v>133</v>
      </c>
      <c r="F27" s="629">
        <v>922.06399999999996</v>
      </c>
      <c r="G27" s="629">
        <v>555.41</v>
      </c>
      <c r="H27" s="631">
        <v>9363.6730000000007</v>
      </c>
      <c r="I27" s="634">
        <v>15.086</v>
      </c>
      <c r="J27" s="629" t="s">
        <v>133</v>
      </c>
      <c r="K27" s="629">
        <v>6106.058</v>
      </c>
      <c r="L27" s="629" t="s">
        <v>133</v>
      </c>
      <c r="M27" s="629" t="s">
        <v>133</v>
      </c>
      <c r="N27" s="629">
        <v>4309.9679999999998</v>
      </c>
      <c r="O27" s="629" t="s">
        <v>133</v>
      </c>
      <c r="P27" s="629">
        <v>339.137</v>
      </c>
      <c r="Q27" s="632">
        <v>10</v>
      </c>
      <c r="R27" s="632">
        <v>10780.249</v>
      </c>
      <c r="S27" s="628">
        <v>7.2</v>
      </c>
      <c r="T27" s="629">
        <v>5600</v>
      </c>
      <c r="U27" s="630" t="s">
        <v>133</v>
      </c>
      <c r="V27" s="630" t="s">
        <v>133</v>
      </c>
      <c r="W27" s="630">
        <v>4238.76</v>
      </c>
      <c r="X27" s="630">
        <v>673.78899999999999</v>
      </c>
      <c r="Y27" s="638">
        <v>10519.749</v>
      </c>
      <c r="Z27" s="336">
        <v>2026.02</v>
      </c>
      <c r="AA27" s="639">
        <v>2.81</v>
      </c>
      <c r="AB27" s="630">
        <v>6044</v>
      </c>
      <c r="AC27" s="630" t="s">
        <v>133</v>
      </c>
      <c r="AD27" s="630">
        <v>5670.567</v>
      </c>
      <c r="AE27" s="630" t="s">
        <v>133</v>
      </c>
      <c r="AF27" s="629">
        <v>411.964</v>
      </c>
      <c r="AG27" s="631">
        <v>12129.341</v>
      </c>
      <c r="AH27" s="634" t="s">
        <v>133</v>
      </c>
      <c r="AI27" s="629">
        <v>400</v>
      </c>
      <c r="AJ27" s="629">
        <v>6040</v>
      </c>
      <c r="AK27" s="630" t="s">
        <v>133</v>
      </c>
      <c r="AL27" s="629">
        <v>2971.9</v>
      </c>
      <c r="AM27" s="629">
        <v>284.23399999999998</v>
      </c>
      <c r="AN27" s="632">
        <v>9696.134</v>
      </c>
      <c r="AO27" s="628">
        <v>5306.8450000000003</v>
      </c>
      <c r="AP27" s="629">
        <v>26050</v>
      </c>
      <c r="AQ27" s="629">
        <v>118.07299999999999</v>
      </c>
      <c r="AR27" s="631">
        <v>31474.918000000001</v>
      </c>
      <c r="AS27" s="628">
        <v>0.7</v>
      </c>
      <c r="AT27" s="629">
        <v>96.7</v>
      </c>
      <c r="AU27" s="636">
        <v>0.69199999999999995</v>
      </c>
      <c r="AV27" s="631">
        <v>74085.225000000006</v>
      </c>
    </row>
    <row r="28" spans="1:49" s="532" customFormat="1" ht="26.1" customHeight="1">
      <c r="A28" s="663">
        <v>2026.03</v>
      </c>
      <c r="B28" s="628">
        <v>17.599</v>
      </c>
      <c r="C28" s="630" t="s">
        <v>133</v>
      </c>
      <c r="D28" s="630">
        <v>7868.6</v>
      </c>
      <c r="E28" s="630" t="s">
        <v>133</v>
      </c>
      <c r="F28" s="629">
        <v>922.06399999999996</v>
      </c>
      <c r="G28" s="629">
        <v>555.41</v>
      </c>
      <c r="H28" s="631">
        <v>9363.6730000000007</v>
      </c>
      <c r="I28" s="634">
        <v>15.086</v>
      </c>
      <c r="J28" s="629" t="s">
        <v>133</v>
      </c>
      <c r="K28" s="629">
        <v>6106.058</v>
      </c>
      <c r="L28" s="629" t="s">
        <v>133</v>
      </c>
      <c r="M28" s="629" t="s">
        <v>133</v>
      </c>
      <c r="N28" s="629">
        <v>4309.9679999999998</v>
      </c>
      <c r="O28" s="629" t="s">
        <v>133</v>
      </c>
      <c r="P28" s="629">
        <v>339.654</v>
      </c>
      <c r="Q28" s="632">
        <v>10</v>
      </c>
      <c r="R28" s="632">
        <v>10780.766</v>
      </c>
      <c r="S28" s="628">
        <v>7.2</v>
      </c>
      <c r="T28" s="629">
        <v>5600</v>
      </c>
      <c r="U28" s="630" t="s">
        <v>133</v>
      </c>
      <c r="V28" s="630" t="s">
        <v>133</v>
      </c>
      <c r="W28" s="630">
        <v>4238.76</v>
      </c>
      <c r="X28" s="630">
        <v>673.78899999999999</v>
      </c>
      <c r="Y28" s="638">
        <v>10519.749</v>
      </c>
      <c r="Z28" s="336">
        <v>2026.03</v>
      </c>
      <c r="AA28" s="639">
        <v>2.81</v>
      </c>
      <c r="AB28" s="630">
        <v>6044</v>
      </c>
      <c r="AC28" s="630" t="s">
        <v>133</v>
      </c>
      <c r="AD28" s="630">
        <v>5670.567</v>
      </c>
      <c r="AE28" s="630" t="s">
        <v>133</v>
      </c>
      <c r="AF28" s="629">
        <v>411.92399999999998</v>
      </c>
      <c r="AG28" s="631">
        <v>12129.300999999999</v>
      </c>
      <c r="AH28" s="634" t="s">
        <v>133</v>
      </c>
      <c r="AI28" s="629">
        <v>400</v>
      </c>
      <c r="AJ28" s="629">
        <v>6040</v>
      </c>
      <c r="AK28" s="630" t="s">
        <v>133</v>
      </c>
      <c r="AL28" s="629">
        <v>2971.9</v>
      </c>
      <c r="AM28" s="629">
        <v>285.04000000000002</v>
      </c>
      <c r="AN28" s="632">
        <v>9696.94</v>
      </c>
      <c r="AO28" s="628">
        <v>5306.8450000000003</v>
      </c>
      <c r="AP28" s="629">
        <v>26050</v>
      </c>
      <c r="AQ28" s="629">
        <v>119.658</v>
      </c>
      <c r="AR28" s="631">
        <v>31476.503000000001</v>
      </c>
      <c r="AS28" s="628">
        <v>0.7</v>
      </c>
      <c r="AT28" s="629">
        <v>96.7</v>
      </c>
      <c r="AU28" s="636">
        <v>0.69199999999999995</v>
      </c>
      <c r="AV28" s="631">
        <v>74220.509999999995</v>
      </c>
      <c r="AW28" s="664"/>
    </row>
    <row r="29" spans="1:49" s="532" customFormat="1" ht="26.1" customHeight="1">
      <c r="A29" s="665">
        <v>2026.04</v>
      </c>
      <c r="B29" s="666">
        <v>17.599</v>
      </c>
      <c r="C29" s="667" t="s">
        <v>133</v>
      </c>
      <c r="D29" s="667">
        <v>7868.6</v>
      </c>
      <c r="E29" s="667" t="s">
        <v>133</v>
      </c>
      <c r="F29" s="668">
        <v>922.06399999999996</v>
      </c>
      <c r="G29" s="668">
        <v>555.41</v>
      </c>
      <c r="H29" s="669">
        <v>9363.6730000000007</v>
      </c>
      <c r="I29" s="670">
        <v>15.086</v>
      </c>
      <c r="J29" s="668" t="s">
        <v>133</v>
      </c>
      <c r="K29" s="668">
        <v>6106.058</v>
      </c>
      <c r="L29" s="668" t="s">
        <v>133</v>
      </c>
      <c r="M29" s="668" t="s">
        <v>133</v>
      </c>
      <c r="N29" s="668">
        <v>4309.9679999999998</v>
      </c>
      <c r="O29" s="668" t="s">
        <v>133</v>
      </c>
      <c r="P29" s="668">
        <v>339.654</v>
      </c>
      <c r="Q29" s="671">
        <v>10</v>
      </c>
      <c r="R29" s="671">
        <v>10780.766</v>
      </c>
      <c r="S29" s="666">
        <v>7.2</v>
      </c>
      <c r="T29" s="668">
        <v>5600</v>
      </c>
      <c r="U29" s="667" t="s">
        <v>133</v>
      </c>
      <c r="V29" s="667" t="s">
        <v>133</v>
      </c>
      <c r="W29" s="667">
        <v>4238.76</v>
      </c>
      <c r="X29" s="667">
        <v>673.78899999999999</v>
      </c>
      <c r="Y29" s="672">
        <v>10519.749</v>
      </c>
      <c r="Z29" s="338">
        <v>2026.04</v>
      </c>
      <c r="AA29" s="673">
        <v>2.81</v>
      </c>
      <c r="AB29" s="667">
        <v>6044</v>
      </c>
      <c r="AC29" s="667" t="s">
        <v>133</v>
      </c>
      <c r="AD29" s="667">
        <v>5670.567</v>
      </c>
      <c r="AE29" s="667" t="s">
        <v>133</v>
      </c>
      <c r="AF29" s="668">
        <v>411.92399999999998</v>
      </c>
      <c r="AG29" s="669">
        <v>12129.300999999999</v>
      </c>
      <c r="AH29" s="670" t="s">
        <v>133</v>
      </c>
      <c r="AI29" s="668">
        <v>400</v>
      </c>
      <c r="AJ29" s="668">
        <v>6040</v>
      </c>
      <c r="AK29" s="667" t="s">
        <v>133</v>
      </c>
      <c r="AL29" s="668">
        <v>2971.9</v>
      </c>
      <c r="AM29" s="668">
        <v>296.50299999999999</v>
      </c>
      <c r="AN29" s="671">
        <v>9708.4030000000002</v>
      </c>
      <c r="AO29" s="666">
        <v>5306.8450000000003</v>
      </c>
      <c r="AP29" s="668">
        <v>26050</v>
      </c>
      <c r="AQ29" s="668">
        <v>119.658</v>
      </c>
      <c r="AR29" s="669">
        <v>31476.503000000001</v>
      </c>
      <c r="AS29" s="666">
        <v>0.7</v>
      </c>
      <c r="AT29" s="668">
        <v>96.7</v>
      </c>
      <c r="AU29" s="674">
        <v>0.69199999999999995</v>
      </c>
      <c r="AV29" s="669">
        <v>74634.831000000006</v>
      </c>
      <c r="AW29" s="664"/>
    </row>
    <row r="30" spans="1:49" s="532" customFormat="1" ht="18.75" hidden="1" customHeight="1">
      <c r="A30" s="675"/>
      <c r="B30" s="676"/>
      <c r="C30" s="677"/>
      <c r="D30" s="677"/>
      <c r="E30" s="677"/>
      <c r="F30" s="676"/>
      <c r="G30" s="676"/>
      <c r="H30" s="676"/>
      <c r="I30" s="676"/>
      <c r="J30" s="676"/>
      <c r="K30" s="676"/>
      <c r="L30" s="676"/>
      <c r="M30" s="676"/>
      <c r="N30" s="676"/>
      <c r="O30" s="676"/>
      <c r="P30" s="676"/>
      <c r="Q30" s="676"/>
      <c r="R30" s="676"/>
      <c r="S30" s="676"/>
      <c r="T30" s="676"/>
      <c r="U30" s="677"/>
      <c r="V30" s="677"/>
      <c r="W30" s="677"/>
      <c r="X30" s="677"/>
      <c r="Y30" s="677"/>
      <c r="Z30" s="678"/>
      <c r="AA30" s="677"/>
      <c r="AB30" s="677"/>
      <c r="AC30" s="677"/>
      <c r="AD30" s="677"/>
      <c r="AE30" s="677"/>
      <c r="AF30" s="676"/>
      <c r="AG30" s="676"/>
      <c r="AH30" s="676"/>
      <c r="AI30" s="676"/>
      <c r="AJ30" s="676"/>
      <c r="AK30" s="676"/>
      <c r="AL30" s="676"/>
      <c r="AM30" s="676"/>
      <c r="AN30" s="676"/>
      <c r="AO30" s="676"/>
      <c r="AP30" s="676"/>
      <c r="AQ30" s="676"/>
      <c r="AR30" s="676"/>
      <c r="AS30" s="676"/>
      <c r="AT30" s="676"/>
      <c r="AU30" s="676"/>
      <c r="AV30" s="679"/>
    </row>
    <row r="31" spans="1:49" s="532" customFormat="1" ht="3" customHeight="1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0"/>
      <c r="P31" s="680"/>
      <c r="Q31" s="680"/>
      <c r="R31" s="680"/>
      <c r="S31" s="680"/>
      <c r="T31" s="680"/>
      <c r="U31" s="680"/>
      <c r="V31" s="680"/>
      <c r="W31" s="680"/>
      <c r="X31" s="680"/>
      <c r="Y31" s="680"/>
      <c r="Z31" s="678"/>
      <c r="AA31" s="680"/>
      <c r="AB31" s="680"/>
      <c r="AC31" s="680"/>
      <c r="AD31" s="680"/>
      <c r="AE31" s="680"/>
      <c r="AF31" s="680"/>
      <c r="AG31" s="680"/>
      <c r="AH31" s="680"/>
      <c r="AI31" s="680"/>
      <c r="AJ31" s="680"/>
      <c r="AK31" s="680"/>
      <c r="AL31" s="680"/>
      <c r="AM31" s="680"/>
      <c r="AN31" s="680"/>
      <c r="AO31" s="680"/>
      <c r="AP31" s="680"/>
      <c r="AQ31" s="680"/>
      <c r="AR31" s="680"/>
      <c r="AS31" s="680"/>
      <c r="AT31" s="680"/>
      <c r="AU31" s="680"/>
      <c r="AV31" s="679"/>
    </row>
    <row r="32" spans="1:49" s="272" customFormat="1" ht="12.95" customHeight="1">
      <c r="A32" s="346" t="s">
        <v>485</v>
      </c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12"/>
      <c r="M32" s="346" t="s">
        <v>486</v>
      </c>
      <c r="N32" s="681"/>
      <c r="O32" s="681"/>
      <c r="P32" s="681"/>
      <c r="Q32" s="681"/>
      <c r="R32" s="681"/>
      <c r="S32" s="12"/>
      <c r="T32" s="596"/>
      <c r="U32" s="596"/>
      <c r="V32" s="681"/>
      <c r="W32" s="681"/>
      <c r="X32" s="681"/>
      <c r="Y32" s="681"/>
      <c r="Z32" s="615"/>
      <c r="AA32" s="346"/>
      <c r="AB32" s="346"/>
      <c r="AC32" s="346"/>
      <c r="AD32" s="346"/>
      <c r="AE32" s="346"/>
      <c r="AF32" s="346"/>
      <c r="AG32" s="346"/>
      <c r="AH32" s="346"/>
      <c r="AI32" s="346"/>
      <c r="AJ32" s="346"/>
      <c r="AK32" s="346"/>
      <c r="AL32" s="346" t="s">
        <v>487</v>
      </c>
      <c r="AN32" s="346"/>
      <c r="AO32" s="346"/>
      <c r="AP32" s="346"/>
      <c r="AQ32" s="346"/>
      <c r="AR32" s="346"/>
      <c r="AS32" s="346"/>
      <c r="AT32" s="346"/>
      <c r="AU32" s="346"/>
    </row>
    <row r="33" spans="1:48" s="271" customFormat="1" ht="12.95" customHeight="1">
      <c r="A33" s="346" t="s">
        <v>488</v>
      </c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  <c r="M33" s="346" t="s">
        <v>489</v>
      </c>
      <c r="N33" s="346"/>
      <c r="O33" s="346"/>
      <c r="P33" s="346"/>
      <c r="Q33" s="346"/>
      <c r="R33" s="346"/>
      <c r="S33" s="346"/>
      <c r="T33" s="346"/>
      <c r="U33" s="346"/>
      <c r="V33" s="346"/>
      <c r="W33" s="346"/>
      <c r="X33" s="346"/>
      <c r="Y33" s="346"/>
      <c r="Z33" s="615"/>
      <c r="AA33" s="346"/>
      <c r="AB33" s="346"/>
      <c r="AC33" s="346"/>
      <c r="AD33" s="596"/>
      <c r="AE33" s="596"/>
      <c r="AF33" s="596"/>
      <c r="AG33" s="596"/>
      <c r="AH33" s="596"/>
      <c r="AI33" s="346"/>
      <c r="AJ33" s="346"/>
      <c r="AK33" s="346"/>
      <c r="AL33" s="346"/>
      <c r="AM33" s="346"/>
      <c r="AN33" s="346"/>
      <c r="AO33" s="346"/>
      <c r="AP33" s="346"/>
      <c r="AQ33" s="346"/>
      <c r="AR33" s="346"/>
      <c r="AS33" s="346"/>
      <c r="AT33" s="346"/>
      <c r="AU33" s="596"/>
    </row>
    <row r="34" spans="1:48" s="271" customFormat="1" ht="9.9499999999999993" hidden="1" customHeight="1">
      <c r="A34" s="346"/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  <c r="M34" s="682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  <c r="Z34" s="528"/>
      <c r="AA34" s="346"/>
      <c r="AB34" s="346"/>
      <c r="AC34" s="346"/>
      <c r="AD34" s="596"/>
      <c r="AE34" s="596"/>
      <c r="AF34" s="596"/>
      <c r="AG34" s="596"/>
      <c r="AH34" s="596"/>
      <c r="AI34" s="346"/>
      <c r="AJ34" s="346"/>
      <c r="AK34" s="346"/>
      <c r="AL34" s="346"/>
      <c r="AM34" s="346"/>
      <c r="AN34" s="346"/>
      <c r="AO34" s="346"/>
      <c r="AP34" s="346"/>
      <c r="AQ34" s="346"/>
      <c r="AR34" s="346"/>
      <c r="AS34" s="346"/>
      <c r="AT34" s="346"/>
      <c r="AU34" s="346"/>
      <c r="AV34" s="346"/>
    </row>
    <row r="35" spans="1:48" s="349" customFormat="1" ht="12" customHeight="1">
      <c r="A35" s="615"/>
      <c r="B35" s="346"/>
      <c r="C35" s="682"/>
      <c r="D35" s="682"/>
      <c r="E35" s="682"/>
      <c r="F35" s="682"/>
      <c r="G35" s="682"/>
      <c r="H35" s="682"/>
      <c r="I35" s="682"/>
      <c r="J35" s="682"/>
      <c r="K35" s="682"/>
      <c r="L35" s="682"/>
      <c r="M35" s="682"/>
      <c r="N35" s="682"/>
      <c r="O35" s="682"/>
      <c r="P35" s="682"/>
      <c r="Q35" s="682"/>
      <c r="R35" s="346"/>
      <c r="S35" s="346"/>
      <c r="T35" s="346"/>
      <c r="U35" s="346"/>
      <c r="V35" s="346"/>
      <c r="W35" s="346"/>
      <c r="X35" s="346"/>
      <c r="Y35" s="282"/>
      <c r="Z35" s="528"/>
      <c r="AA35" s="682"/>
      <c r="AB35" s="682"/>
      <c r="AC35" s="682"/>
      <c r="AD35" s="682"/>
      <c r="AE35" s="682"/>
      <c r="AF35" s="682"/>
      <c r="AG35" s="682"/>
      <c r="AH35" s="682"/>
      <c r="AI35" s="682"/>
      <c r="AJ35" s="682"/>
      <c r="AK35" s="682"/>
      <c r="AL35" s="346"/>
      <c r="AM35" s="346"/>
      <c r="AN35" s="346"/>
      <c r="AO35" s="346"/>
      <c r="AP35" s="346"/>
      <c r="AQ35" s="346"/>
      <c r="AR35" s="346"/>
      <c r="AS35" s="346"/>
      <c r="AT35" s="346"/>
      <c r="AU35" s="346"/>
      <c r="AV35" s="683"/>
    </row>
    <row r="36" spans="1:48" ht="4.5" hidden="1" customHeight="1"/>
    <row r="37" spans="1:48" ht="4.5" hidden="1" customHeight="1"/>
    <row r="39" spans="1:48">
      <c r="H39" s="685"/>
    </row>
    <row r="40" spans="1:48">
      <c r="AT40" s="686"/>
    </row>
  </sheetData>
  <mergeCells count="10">
    <mergeCell ref="Z4:Z5"/>
    <mergeCell ref="AA4:AG4"/>
    <mergeCell ref="AO4:AR4"/>
    <mergeCell ref="AS4:AU4"/>
    <mergeCell ref="X3:Y3"/>
    <mergeCell ref="A4:A5"/>
    <mergeCell ref="B4:H4"/>
    <mergeCell ref="I4:L4"/>
    <mergeCell ref="M4:R4"/>
    <mergeCell ref="S4:Y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1" firstPageNumber="14" orientation="portrait" useFirstPageNumber="1" r:id="rId1"/>
  <headerFooter differentOddEven="1" scaleWithDoc="0" alignWithMargins="0">
    <firstFooter>&amp;R&amp;P</firstFooter>
  </headerFooter>
  <colBreaks count="3" manualBreakCount="3">
    <brk id="12" max="32" man="1"/>
    <brk id="25" max="32" man="1"/>
    <brk id="37" max="3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FE65-7369-4BFD-AC94-DD0C0F1B40BF}">
  <sheetPr>
    <tabColor theme="8"/>
  </sheetPr>
  <dimension ref="A1:AH91"/>
  <sheetViews>
    <sheetView showGridLines="0" view="pageBreakPreview" zoomScale="130" zoomScaleNormal="100" zoomScaleSheetLayoutView="130" workbookViewId="0"/>
  </sheetViews>
  <sheetFormatPr defaultColWidth="9" defaultRowHeight="17.25"/>
  <cols>
    <col min="1" max="1" width="4.125" style="960" customWidth="1"/>
    <col min="2" max="2" width="15.125" style="960" customWidth="1"/>
    <col min="3" max="3" width="2.625" style="938" customWidth="1"/>
    <col min="4" max="4" width="7.25" style="938" customWidth="1"/>
    <col min="5" max="5" width="1.875" style="962" customWidth="1"/>
    <col min="6" max="6" width="4.25" style="938" customWidth="1"/>
    <col min="7" max="7" width="11.625" style="938" customWidth="1"/>
    <col min="8" max="8" width="4.125" style="938" customWidth="1"/>
    <col min="9" max="9" width="15.125" style="938" customWidth="1"/>
    <col min="10" max="10" width="2" style="938" customWidth="1"/>
    <col min="11" max="11" width="7.625" style="938" customWidth="1"/>
    <col min="12" max="12" width="1.875" style="938" customWidth="1"/>
    <col min="13" max="13" width="4.25" style="938" customWidth="1"/>
    <col min="14" max="14" width="11.625" style="938" customWidth="1"/>
    <col min="15" max="15" width="2.125" style="938" hidden="1" customWidth="1"/>
    <col min="16" max="16" width="4.125" style="960" customWidth="1"/>
    <col min="17" max="17" width="13.25" style="960" customWidth="1"/>
    <col min="18" max="18" width="2.125" style="938" customWidth="1"/>
    <col min="19" max="19" width="9.375" style="938" customWidth="1"/>
    <col min="20" max="20" width="1.875" style="962" customWidth="1"/>
    <col min="21" max="21" width="4.25" style="938" customWidth="1"/>
    <col min="22" max="22" width="12.125" style="938" customWidth="1"/>
    <col min="23" max="23" width="4.125" style="938" customWidth="1"/>
    <col min="24" max="24" width="14.375" style="938" customWidth="1"/>
    <col min="25" max="25" width="10.125" style="938" customWidth="1"/>
    <col min="26" max="26" width="1.875" style="938" customWidth="1"/>
    <col min="27" max="27" width="4" style="938" customWidth="1"/>
    <col min="28" max="28" width="12.5" style="938" customWidth="1"/>
    <col min="29" max="29" width="9.25" style="938" bestFit="1" customWidth="1"/>
    <col min="30" max="30" width="10.75" style="938" bestFit="1" customWidth="1"/>
    <col min="31" max="31" width="10.875" style="938" customWidth="1"/>
    <col min="32" max="32" width="11.75" style="938" bestFit="1" customWidth="1"/>
    <col min="33" max="33" width="8.25" style="938" bestFit="1" customWidth="1"/>
    <col min="34" max="34" width="12.25" style="938" customWidth="1"/>
    <col min="35" max="16384" width="9" style="938"/>
  </cols>
  <sheetData>
    <row r="1" spans="1:32" s="693" customFormat="1" ht="20.25" customHeight="1">
      <c r="A1" s="687" t="s">
        <v>490</v>
      </c>
      <c r="B1" s="688"/>
      <c r="C1" s="689"/>
      <c r="D1" s="690"/>
      <c r="E1" s="689"/>
      <c r="F1" s="690"/>
      <c r="G1" s="201"/>
      <c r="H1" s="689"/>
      <c r="I1" s="689"/>
      <c r="J1" s="689"/>
      <c r="K1" s="689"/>
      <c r="L1" s="689"/>
      <c r="M1" s="689"/>
      <c r="N1" s="689"/>
      <c r="O1" s="689"/>
      <c r="P1" s="688"/>
      <c r="Q1" s="691"/>
      <c r="R1" s="690"/>
      <c r="S1" s="689"/>
      <c r="T1" s="690"/>
      <c r="U1" s="690"/>
      <c r="V1" s="692"/>
    </row>
    <row r="2" spans="1:32" s="702" customFormat="1" ht="17.25" customHeight="1">
      <c r="A2" s="692" t="s">
        <v>491</v>
      </c>
      <c r="B2" s="694"/>
      <c r="C2" s="695"/>
      <c r="D2" s="696"/>
      <c r="E2" s="695"/>
      <c r="F2" s="696"/>
      <c r="G2" s="695"/>
      <c r="H2" s="697"/>
      <c r="I2" s="697"/>
      <c r="J2" s="697"/>
      <c r="K2" s="697"/>
      <c r="L2" s="697"/>
      <c r="M2" s="697"/>
      <c r="N2" s="431"/>
      <c r="O2" s="697"/>
      <c r="P2" s="698"/>
      <c r="Q2" s="699"/>
      <c r="R2" s="700"/>
      <c r="S2" s="697"/>
      <c r="T2" s="700"/>
      <c r="U2" s="700"/>
      <c r="V2" s="701"/>
      <c r="AD2" s="703"/>
      <c r="AE2" s="703"/>
      <c r="AF2" s="703"/>
    </row>
    <row r="3" spans="1:32" s="705" customFormat="1" ht="15" customHeight="1">
      <c r="A3" s="704" t="s">
        <v>221</v>
      </c>
      <c r="C3" s="706"/>
      <c r="D3" s="706"/>
      <c r="E3" s="706"/>
      <c r="F3" s="706"/>
      <c r="G3" s="707"/>
      <c r="H3" s="706"/>
      <c r="I3" s="706"/>
      <c r="J3" s="706"/>
      <c r="K3" s="706"/>
      <c r="L3" s="706"/>
      <c r="M3" s="706"/>
      <c r="N3" s="708"/>
      <c r="O3" s="706"/>
      <c r="P3" s="709"/>
      <c r="Q3" s="709"/>
      <c r="R3" s="710"/>
      <c r="S3" s="710"/>
      <c r="T3" s="706"/>
      <c r="U3" s="706"/>
      <c r="V3" s="711"/>
      <c r="W3" s="710"/>
      <c r="X3" s="710"/>
      <c r="Y3" s="710"/>
      <c r="Z3" s="710"/>
      <c r="AA3" s="710"/>
      <c r="AB3" s="712" t="s">
        <v>492</v>
      </c>
      <c r="AD3" s="703"/>
      <c r="AE3" s="703"/>
      <c r="AF3" s="703"/>
    </row>
    <row r="4" spans="1:32" s="725" customFormat="1" ht="11.1" customHeight="1">
      <c r="A4" s="713" t="s">
        <v>493</v>
      </c>
      <c r="B4" s="714"/>
      <c r="C4" s="714"/>
      <c r="D4" s="714"/>
      <c r="E4" s="714"/>
      <c r="F4" s="714"/>
      <c r="G4" s="715">
        <v>5.8998143372191662E-2</v>
      </c>
      <c r="H4" s="716" t="s">
        <v>494</v>
      </c>
      <c r="I4" s="714"/>
      <c r="J4" s="714"/>
      <c r="K4" s="714"/>
      <c r="L4" s="714"/>
      <c r="M4" s="714"/>
      <c r="N4" s="717">
        <v>7.6423666215912567E-2</v>
      </c>
      <c r="O4" s="718"/>
      <c r="P4" s="713" t="s">
        <v>495</v>
      </c>
      <c r="Q4" s="714"/>
      <c r="R4" s="714"/>
      <c r="S4" s="714"/>
      <c r="T4" s="714"/>
      <c r="U4" s="714"/>
      <c r="V4" s="715">
        <v>0.19832550932577839</v>
      </c>
      <c r="W4" s="719"/>
      <c r="X4" s="720" t="s">
        <v>496</v>
      </c>
      <c r="Y4" s="721" t="s">
        <v>497</v>
      </c>
      <c r="Z4" s="722" t="s">
        <v>498</v>
      </c>
      <c r="AA4" s="723">
        <v>3</v>
      </c>
      <c r="AB4" s="724">
        <v>220</v>
      </c>
    </row>
    <row r="5" spans="1:32" s="725" customFormat="1" ht="11.1" customHeight="1">
      <c r="A5" s="726" t="s">
        <v>499</v>
      </c>
      <c r="B5" s="727"/>
      <c r="C5" s="727" t="s">
        <v>500</v>
      </c>
      <c r="D5" s="727"/>
      <c r="E5" s="727"/>
      <c r="F5" s="727"/>
      <c r="G5" s="728" t="s">
        <v>501</v>
      </c>
      <c r="H5" s="729" t="s">
        <v>499</v>
      </c>
      <c r="I5" s="730"/>
      <c r="J5" s="730" t="s">
        <v>502</v>
      </c>
      <c r="K5" s="730"/>
      <c r="L5" s="730"/>
      <c r="M5" s="730"/>
      <c r="N5" s="731" t="s">
        <v>501</v>
      </c>
      <c r="O5" s="732"/>
      <c r="P5" s="726" t="s">
        <v>499</v>
      </c>
      <c r="Q5" s="727"/>
      <c r="R5" s="727" t="s">
        <v>502</v>
      </c>
      <c r="S5" s="727"/>
      <c r="T5" s="727"/>
      <c r="U5" s="727"/>
      <c r="V5" s="733" t="s">
        <v>501</v>
      </c>
      <c r="W5" s="734"/>
      <c r="X5" s="735" t="s">
        <v>503</v>
      </c>
      <c r="Y5" s="736" t="s">
        <v>504</v>
      </c>
      <c r="Z5" s="737" t="s">
        <v>498</v>
      </c>
      <c r="AA5" s="738">
        <v>4</v>
      </c>
      <c r="AB5" s="739">
        <v>750</v>
      </c>
    </row>
    <row r="6" spans="1:32" s="752" customFormat="1" ht="11.1" customHeight="1">
      <c r="A6" s="740"/>
      <c r="B6" s="732" t="s">
        <v>505</v>
      </c>
      <c r="C6" s="741"/>
      <c r="D6" s="742">
        <v>560000</v>
      </c>
      <c r="E6" s="743" t="s">
        <v>498</v>
      </c>
      <c r="F6" s="744">
        <v>2</v>
      </c>
      <c r="G6" s="742">
        <v>2120000</v>
      </c>
      <c r="H6" s="745" t="s">
        <v>506</v>
      </c>
      <c r="I6" s="746" t="s">
        <v>507</v>
      </c>
      <c r="J6" s="747"/>
      <c r="K6" s="748">
        <v>500000</v>
      </c>
      <c r="L6" s="737" t="s">
        <v>498</v>
      </c>
      <c r="M6" s="738">
        <v>8</v>
      </c>
      <c r="N6" s="739">
        <v>4000000</v>
      </c>
      <c r="O6" s="748"/>
      <c r="P6" s="749"/>
      <c r="Q6" s="750" t="s">
        <v>508</v>
      </c>
      <c r="R6" s="741"/>
      <c r="S6" s="742">
        <v>27000</v>
      </c>
      <c r="T6" s="743" t="s">
        <v>498</v>
      </c>
      <c r="U6" s="744">
        <v>4</v>
      </c>
      <c r="V6" s="751">
        <v>108000</v>
      </c>
      <c r="W6" s="734" t="s">
        <v>509</v>
      </c>
      <c r="X6" s="735" t="s">
        <v>510</v>
      </c>
      <c r="Y6" s="736">
        <v>80</v>
      </c>
      <c r="Z6" s="737" t="s">
        <v>498</v>
      </c>
      <c r="AA6" s="738">
        <v>3</v>
      </c>
      <c r="AB6" s="739">
        <v>240</v>
      </c>
    </row>
    <row r="7" spans="1:32" s="752" customFormat="1" ht="11.1" customHeight="1">
      <c r="A7" s="753" t="s">
        <v>506</v>
      </c>
      <c r="B7" s="742"/>
      <c r="C7" s="741"/>
      <c r="D7" s="742">
        <v>500000</v>
      </c>
      <c r="E7" s="743" t="s">
        <v>498</v>
      </c>
      <c r="F7" s="744">
        <v>2</v>
      </c>
      <c r="G7" s="742"/>
      <c r="H7" s="745"/>
      <c r="I7" s="754" t="s">
        <v>511</v>
      </c>
      <c r="J7" s="755"/>
      <c r="K7" s="748">
        <v>1022000</v>
      </c>
      <c r="L7" s="737" t="s">
        <v>498</v>
      </c>
      <c r="M7" s="738">
        <v>2</v>
      </c>
      <c r="N7" s="739">
        <v>2044000</v>
      </c>
      <c r="O7" s="748"/>
      <c r="P7" s="756"/>
      <c r="Q7" s="757" t="s">
        <v>512</v>
      </c>
      <c r="R7" s="741"/>
      <c r="S7" s="742">
        <v>31140</v>
      </c>
      <c r="T7" s="743" t="s">
        <v>498</v>
      </c>
      <c r="U7" s="744">
        <v>2</v>
      </c>
      <c r="V7" s="751">
        <v>62280</v>
      </c>
      <c r="W7" s="734"/>
      <c r="X7" s="735" t="s">
        <v>513</v>
      </c>
      <c r="Y7" s="736" t="s">
        <v>514</v>
      </c>
      <c r="Z7" s="737" t="s">
        <v>498</v>
      </c>
      <c r="AA7" s="738">
        <v>2</v>
      </c>
      <c r="AB7" s="739">
        <v>1500</v>
      </c>
      <c r="AE7" s="758"/>
    </row>
    <row r="8" spans="1:32" s="752" customFormat="1" ht="11.1" customHeight="1">
      <c r="A8" s="753"/>
      <c r="B8" s="732" t="s">
        <v>515</v>
      </c>
      <c r="C8" s="741"/>
      <c r="D8" s="742">
        <v>800000</v>
      </c>
      <c r="E8" s="743" t="s">
        <v>498</v>
      </c>
      <c r="F8" s="744">
        <v>2</v>
      </c>
      <c r="G8" s="742">
        <v>5080000</v>
      </c>
      <c r="H8" s="745" t="s">
        <v>516</v>
      </c>
      <c r="I8" s="754"/>
      <c r="J8" s="755"/>
      <c r="K8" s="748"/>
      <c r="L8" s="737"/>
      <c r="M8" s="738"/>
      <c r="N8" s="739"/>
      <c r="O8" s="748"/>
      <c r="P8" s="756" t="s">
        <v>517</v>
      </c>
      <c r="Q8" s="757" t="s">
        <v>518</v>
      </c>
      <c r="R8" s="741"/>
      <c r="S8" s="742">
        <v>24000</v>
      </c>
      <c r="T8" s="743" t="s">
        <v>498</v>
      </c>
      <c r="U8" s="744">
        <v>2</v>
      </c>
      <c r="V8" s="751">
        <v>48000</v>
      </c>
      <c r="W8" s="734"/>
      <c r="X8" s="735"/>
      <c r="Y8" s="736">
        <v>450</v>
      </c>
      <c r="Z8" s="737" t="s">
        <v>498</v>
      </c>
      <c r="AA8" s="738">
        <v>3</v>
      </c>
      <c r="AB8" s="759">
        <v>1350</v>
      </c>
      <c r="AE8" s="758"/>
    </row>
    <row r="9" spans="1:32" s="752" customFormat="1" ht="11.1" customHeight="1">
      <c r="A9" s="753"/>
      <c r="B9" s="732"/>
      <c r="C9" s="741"/>
      <c r="D9" s="742">
        <v>870000</v>
      </c>
      <c r="E9" s="743" t="s">
        <v>519</v>
      </c>
      <c r="F9" s="744">
        <v>4</v>
      </c>
      <c r="G9" s="742"/>
      <c r="H9" s="760"/>
      <c r="I9" s="761" t="s">
        <v>520</v>
      </c>
      <c r="J9" s="762" t="s">
        <v>521</v>
      </c>
      <c r="K9" s="763">
        <v>150000</v>
      </c>
      <c r="L9" s="764" t="s">
        <v>498</v>
      </c>
      <c r="M9" s="765">
        <v>8</v>
      </c>
      <c r="N9" s="766">
        <v>1800000</v>
      </c>
      <c r="O9" s="748"/>
      <c r="P9" s="756"/>
      <c r="Q9" s="757" t="s">
        <v>522</v>
      </c>
      <c r="R9" s="741"/>
      <c r="S9" s="742">
        <v>19800</v>
      </c>
      <c r="T9" s="743" t="s">
        <v>498</v>
      </c>
      <c r="U9" s="744">
        <v>2</v>
      </c>
      <c r="V9" s="751">
        <v>39600</v>
      </c>
      <c r="W9" s="734"/>
      <c r="X9" s="735" t="s">
        <v>523</v>
      </c>
      <c r="Y9" s="736">
        <v>138</v>
      </c>
      <c r="Z9" s="737" t="s">
        <v>498</v>
      </c>
      <c r="AA9" s="738">
        <v>1</v>
      </c>
      <c r="AB9" s="759">
        <v>138</v>
      </c>
      <c r="AE9" s="758"/>
    </row>
    <row r="10" spans="1:32" s="752" customFormat="1" ht="11.1" customHeight="1">
      <c r="A10" s="753" t="s">
        <v>516</v>
      </c>
      <c r="B10" s="742" t="s">
        <v>524</v>
      </c>
      <c r="C10" s="741"/>
      <c r="D10" s="742">
        <v>328600</v>
      </c>
      <c r="E10" s="743" t="s">
        <v>498</v>
      </c>
      <c r="F10" s="744">
        <v>1</v>
      </c>
      <c r="G10" s="742">
        <v>668600</v>
      </c>
      <c r="H10" s="767"/>
      <c r="I10" s="754"/>
      <c r="J10" s="755" t="s">
        <v>525</v>
      </c>
      <c r="K10" s="748">
        <v>150000</v>
      </c>
      <c r="L10" s="737" t="s">
        <v>498</v>
      </c>
      <c r="M10" s="738">
        <v>4</v>
      </c>
      <c r="N10" s="739"/>
      <c r="O10" s="748"/>
      <c r="P10" s="756"/>
      <c r="Q10" s="757"/>
      <c r="R10" s="741"/>
      <c r="S10" s="742">
        <v>40500</v>
      </c>
      <c r="T10" s="743" t="s">
        <v>498</v>
      </c>
      <c r="U10" s="744">
        <v>1</v>
      </c>
      <c r="V10" s="751">
        <v>40500</v>
      </c>
      <c r="W10" s="734" t="s">
        <v>318</v>
      </c>
      <c r="X10" s="735" t="s">
        <v>526</v>
      </c>
      <c r="Y10" s="736">
        <v>35</v>
      </c>
      <c r="Z10" s="737" t="s">
        <v>498</v>
      </c>
      <c r="AA10" s="738">
        <v>1</v>
      </c>
      <c r="AB10" s="759">
        <v>35</v>
      </c>
      <c r="AE10" s="758"/>
    </row>
    <row r="11" spans="1:32" s="752" customFormat="1" ht="11.1" customHeight="1">
      <c r="A11" s="753"/>
      <c r="B11" s="742"/>
      <c r="C11" s="741"/>
      <c r="D11" s="742">
        <v>340000</v>
      </c>
      <c r="E11" s="743" t="s">
        <v>498</v>
      </c>
      <c r="F11" s="744">
        <v>1</v>
      </c>
      <c r="G11" s="742"/>
      <c r="H11" s="767"/>
      <c r="I11" s="754" t="s">
        <v>527</v>
      </c>
      <c r="J11" s="755" t="s">
        <v>521</v>
      </c>
      <c r="K11" s="748">
        <v>35000</v>
      </c>
      <c r="L11" s="737" t="s">
        <v>498</v>
      </c>
      <c r="M11" s="738">
        <v>2</v>
      </c>
      <c r="N11" s="739">
        <v>105000</v>
      </c>
      <c r="O11" s="748"/>
      <c r="P11" s="756"/>
      <c r="Q11" s="757"/>
      <c r="R11" s="741"/>
      <c r="S11" s="742">
        <v>60000</v>
      </c>
      <c r="T11" s="743" t="s">
        <v>498</v>
      </c>
      <c r="U11" s="744">
        <v>1</v>
      </c>
      <c r="V11" s="751">
        <v>60000</v>
      </c>
      <c r="W11" s="734"/>
      <c r="X11" s="735" t="s">
        <v>528</v>
      </c>
      <c r="Y11" s="736" t="s">
        <v>529</v>
      </c>
      <c r="Z11" s="737" t="s">
        <v>498</v>
      </c>
      <c r="AA11" s="738">
        <v>4</v>
      </c>
      <c r="AB11" s="759">
        <v>1650</v>
      </c>
      <c r="AE11" s="758"/>
    </row>
    <row r="12" spans="1:32" s="752" customFormat="1" ht="11.1" customHeight="1">
      <c r="A12" s="753"/>
      <c r="B12" s="742"/>
      <c r="C12" s="741"/>
      <c r="D12" s="742"/>
      <c r="E12" s="743"/>
      <c r="F12" s="744"/>
      <c r="G12" s="742"/>
      <c r="H12" s="767"/>
      <c r="I12" s="754"/>
      <c r="J12" s="755" t="s">
        <v>525</v>
      </c>
      <c r="K12" s="748">
        <v>35000</v>
      </c>
      <c r="L12" s="737" t="s">
        <v>498</v>
      </c>
      <c r="M12" s="738">
        <v>1</v>
      </c>
      <c r="N12" s="739"/>
      <c r="O12" s="748"/>
      <c r="P12" s="756"/>
      <c r="Q12" s="757" t="s">
        <v>530</v>
      </c>
      <c r="R12" s="741"/>
      <c r="S12" s="742">
        <v>30000</v>
      </c>
      <c r="T12" s="743" t="s">
        <v>498</v>
      </c>
      <c r="U12" s="744">
        <v>4</v>
      </c>
      <c r="V12" s="751">
        <v>120000</v>
      </c>
      <c r="W12" s="734"/>
      <c r="X12" s="735" t="s">
        <v>531</v>
      </c>
      <c r="Y12" s="736">
        <v>200</v>
      </c>
      <c r="Z12" s="737" t="s">
        <v>498</v>
      </c>
      <c r="AA12" s="738">
        <v>3</v>
      </c>
      <c r="AB12" s="759">
        <v>600</v>
      </c>
      <c r="AE12" s="758"/>
    </row>
    <row r="13" spans="1:32" s="752" customFormat="1" ht="11.1" customHeight="1">
      <c r="A13" s="768" t="s">
        <v>533</v>
      </c>
      <c r="B13" s="769" t="s">
        <v>534</v>
      </c>
      <c r="C13" s="770" t="s">
        <v>521</v>
      </c>
      <c r="D13" s="769">
        <v>77758</v>
      </c>
      <c r="E13" s="771" t="s">
        <v>498</v>
      </c>
      <c r="F13" s="772">
        <v>8</v>
      </c>
      <c r="G13" s="773">
        <v>922064</v>
      </c>
      <c r="H13" s="767" t="s">
        <v>533</v>
      </c>
      <c r="I13" s="754" t="s">
        <v>535</v>
      </c>
      <c r="J13" s="755" t="s">
        <v>536</v>
      </c>
      <c r="K13" s="748">
        <v>150000</v>
      </c>
      <c r="L13" s="737" t="s">
        <v>498</v>
      </c>
      <c r="M13" s="738">
        <v>8</v>
      </c>
      <c r="N13" s="739">
        <v>1800000</v>
      </c>
      <c r="O13" s="748"/>
      <c r="P13" s="756" t="s">
        <v>516</v>
      </c>
      <c r="Q13" s="757" t="s">
        <v>537</v>
      </c>
      <c r="R13" s="741"/>
      <c r="S13" s="742">
        <v>6000</v>
      </c>
      <c r="T13" s="743" t="s">
        <v>498</v>
      </c>
      <c r="U13" s="744">
        <v>1</v>
      </c>
      <c r="V13" s="751">
        <v>6000</v>
      </c>
      <c r="W13" s="734"/>
      <c r="X13" s="735" t="s">
        <v>538</v>
      </c>
      <c r="Y13" s="736" t="s">
        <v>539</v>
      </c>
      <c r="Z13" s="737" t="s">
        <v>498</v>
      </c>
      <c r="AA13" s="738">
        <v>5</v>
      </c>
      <c r="AB13" s="759">
        <v>3400</v>
      </c>
    </row>
    <row r="14" spans="1:32" s="752" customFormat="1" ht="11.1" customHeight="1">
      <c r="A14" s="753"/>
      <c r="B14" s="742"/>
      <c r="C14" s="741" t="s">
        <v>525</v>
      </c>
      <c r="D14" s="742">
        <v>185000</v>
      </c>
      <c r="E14" s="743" t="s">
        <v>498</v>
      </c>
      <c r="F14" s="744">
        <v>1</v>
      </c>
      <c r="G14" s="742"/>
      <c r="H14" s="767"/>
      <c r="I14" s="754"/>
      <c r="J14" s="755" t="s">
        <v>525</v>
      </c>
      <c r="K14" s="748">
        <v>150000</v>
      </c>
      <c r="L14" s="737" t="s">
        <v>498</v>
      </c>
      <c r="M14" s="738">
        <v>4</v>
      </c>
      <c r="N14" s="739"/>
      <c r="O14" s="748"/>
      <c r="P14" s="756"/>
      <c r="Q14" s="757"/>
      <c r="R14" s="741"/>
      <c r="S14" s="743" t="s">
        <v>540</v>
      </c>
      <c r="T14" s="743" t="s">
        <v>498</v>
      </c>
      <c r="U14" s="744">
        <v>2</v>
      </c>
      <c r="V14" s="751">
        <v>29000</v>
      </c>
      <c r="W14" s="734" t="s">
        <v>541</v>
      </c>
      <c r="X14" s="735" t="s">
        <v>542</v>
      </c>
      <c r="Y14" s="736">
        <v>250</v>
      </c>
      <c r="Z14" s="737" t="s">
        <v>498</v>
      </c>
      <c r="AA14" s="738">
        <v>3</v>
      </c>
      <c r="AB14" s="759">
        <v>750</v>
      </c>
    </row>
    <row r="15" spans="1:32" s="752" customFormat="1" ht="11.1" customHeight="1">
      <c r="A15" s="734" t="s">
        <v>543</v>
      </c>
      <c r="B15" s="735"/>
      <c r="C15" s="741" t="s">
        <v>525</v>
      </c>
      <c r="D15" s="742">
        <v>115000</v>
      </c>
      <c r="E15" s="743" t="s">
        <v>498</v>
      </c>
      <c r="F15" s="744">
        <v>1</v>
      </c>
      <c r="G15" s="774"/>
      <c r="H15" s="767"/>
      <c r="I15" s="754" t="s">
        <v>544</v>
      </c>
      <c r="J15" s="755" t="s">
        <v>536</v>
      </c>
      <c r="K15" s="748">
        <v>183000</v>
      </c>
      <c r="L15" s="737" t="s">
        <v>498</v>
      </c>
      <c r="M15" s="738">
        <v>3</v>
      </c>
      <c r="N15" s="739">
        <v>848000</v>
      </c>
      <c r="O15" s="748"/>
      <c r="P15" s="756"/>
      <c r="Q15" s="757" t="s">
        <v>545</v>
      </c>
      <c r="R15" s="741"/>
      <c r="S15" s="742">
        <v>41000</v>
      </c>
      <c r="T15" s="743" t="s">
        <v>498</v>
      </c>
      <c r="U15" s="744">
        <v>2</v>
      </c>
      <c r="V15" s="751">
        <v>82000</v>
      </c>
      <c r="W15" s="734"/>
      <c r="X15" s="735" t="s">
        <v>546</v>
      </c>
      <c r="Y15" s="736" t="s">
        <v>547</v>
      </c>
      <c r="Z15" s="737" t="s">
        <v>498</v>
      </c>
      <c r="AA15" s="738">
        <v>3</v>
      </c>
      <c r="AB15" s="759">
        <v>280</v>
      </c>
    </row>
    <row r="16" spans="1:32" s="725" customFormat="1" ht="11.1" customHeight="1">
      <c r="A16" s="775"/>
      <c r="B16" s="776"/>
      <c r="C16" s="777"/>
      <c r="D16" s="777"/>
      <c r="E16" s="778"/>
      <c r="F16" s="777"/>
      <c r="G16" s="779"/>
      <c r="H16" s="767" t="s">
        <v>543</v>
      </c>
      <c r="I16" s="754"/>
      <c r="J16" s="755" t="s">
        <v>525</v>
      </c>
      <c r="K16" s="748">
        <v>299000</v>
      </c>
      <c r="L16" s="737" t="s">
        <v>498</v>
      </c>
      <c r="M16" s="738">
        <v>1</v>
      </c>
      <c r="N16" s="739"/>
      <c r="O16" s="748"/>
      <c r="P16" s="780"/>
      <c r="Q16" s="781" t="s">
        <v>548</v>
      </c>
      <c r="R16" s="782"/>
      <c r="S16" s="783">
        <v>21</v>
      </c>
      <c r="T16" s="784"/>
      <c r="U16" s="785" t="s">
        <v>549</v>
      </c>
      <c r="V16" s="786">
        <v>595380</v>
      </c>
      <c r="W16" s="734"/>
      <c r="X16" s="735" t="s">
        <v>550</v>
      </c>
      <c r="Y16" s="736" t="s">
        <v>551</v>
      </c>
      <c r="Z16" s="737" t="s">
        <v>498</v>
      </c>
      <c r="AA16" s="738">
        <v>7</v>
      </c>
      <c r="AB16" s="759">
        <v>5500</v>
      </c>
    </row>
    <row r="17" spans="1:28" s="725" customFormat="1" ht="11.1" customHeight="1">
      <c r="A17" s="734"/>
      <c r="B17" s="787" t="s">
        <v>552</v>
      </c>
      <c r="C17" s="755"/>
      <c r="D17" s="748"/>
      <c r="E17" s="737"/>
      <c r="F17" s="738">
        <v>2</v>
      </c>
      <c r="G17" s="748">
        <v>325000</v>
      </c>
      <c r="H17" s="788"/>
      <c r="I17" s="754" t="s">
        <v>553</v>
      </c>
      <c r="J17" s="755" t="s">
        <v>536</v>
      </c>
      <c r="K17" s="748">
        <v>234500</v>
      </c>
      <c r="L17" s="737" t="s">
        <v>498</v>
      </c>
      <c r="M17" s="738">
        <v>1</v>
      </c>
      <c r="N17" s="739">
        <v>361600</v>
      </c>
      <c r="O17" s="748"/>
      <c r="P17" s="789" t="s">
        <v>554</v>
      </c>
      <c r="Q17" s="750" t="s">
        <v>555</v>
      </c>
      <c r="R17" s="770"/>
      <c r="S17" s="769"/>
      <c r="T17" s="771"/>
      <c r="U17" s="772">
        <v>10</v>
      </c>
      <c r="V17" s="766">
        <v>11465</v>
      </c>
      <c r="W17" s="734"/>
      <c r="X17" s="735" t="s">
        <v>556</v>
      </c>
      <c r="Y17" s="736">
        <v>80</v>
      </c>
      <c r="Z17" s="737" t="s">
        <v>498</v>
      </c>
      <c r="AA17" s="738">
        <v>3</v>
      </c>
      <c r="AB17" s="759">
        <v>240</v>
      </c>
    </row>
    <row r="18" spans="1:28" s="725" customFormat="1" ht="11.1" customHeight="1">
      <c r="A18" s="734" t="s">
        <v>554</v>
      </c>
      <c r="B18" s="790" t="s">
        <v>555</v>
      </c>
      <c r="C18" s="755"/>
      <c r="D18" s="748"/>
      <c r="E18" s="743"/>
      <c r="F18" s="738">
        <v>4</v>
      </c>
      <c r="G18" s="748">
        <v>17599</v>
      </c>
      <c r="H18" s="788"/>
      <c r="I18" s="754"/>
      <c r="J18" s="755" t="s">
        <v>557</v>
      </c>
      <c r="K18" s="748">
        <v>127100</v>
      </c>
      <c r="L18" s="737" t="s">
        <v>498</v>
      </c>
      <c r="M18" s="738">
        <v>1</v>
      </c>
      <c r="N18" s="759"/>
      <c r="O18" s="748"/>
      <c r="P18" s="791" t="s">
        <v>558</v>
      </c>
      <c r="Q18" s="754" t="s">
        <v>559</v>
      </c>
      <c r="R18" s="755"/>
      <c r="S18" s="748"/>
      <c r="T18" s="743"/>
      <c r="U18" s="738">
        <v>72</v>
      </c>
      <c r="V18" s="739">
        <v>90308.065000000002</v>
      </c>
      <c r="W18" s="734" t="s">
        <v>471</v>
      </c>
      <c r="X18" s="735" t="s">
        <v>560</v>
      </c>
      <c r="Y18" s="736">
        <v>73</v>
      </c>
      <c r="Z18" s="737" t="s">
        <v>498</v>
      </c>
      <c r="AA18" s="738">
        <v>1</v>
      </c>
      <c r="AB18" s="759">
        <v>73</v>
      </c>
    </row>
    <row r="19" spans="1:28" s="752" customFormat="1" ht="11.1" customHeight="1">
      <c r="A19" s="734" t="s">
        <v>558</v>
      </c>
      <c r="B19" s="792" t="s">
        <v>559</v>
      </c>
      <c r="C19" s="755"/>
      <c r="D19" s="748"/>
      <c r="E19" s="743"/>
      <c r="F19" s="738">
        <v>26</v>
      </c>
      <c r="G19" s="748">
        <v>99200.12</v>
      </c>
      <c r="H19" s="788"/>
      <c r="I19" s="754" t="s">
        <v>561</v>
      </c>
      <c r="J19" s="755" t="s">
        <v>536</v>
      </c>
      <c r="K19" s="748">
        <v>51057</v>
      </c>
      <c r="L19" s="737" t="s">
        <v>498</v>
      </c>
      <c r="M19" s="738">
        <v>2</v>
      </c>
      <c r="N19" s="739">
        <v>158796</v>
      </c>
      <c r="O19" s="742"/>
      <c r="P19" s="791" t="s">
        <v>562</v>
      </c>
      <c r="Q19" s="754" t="s">
        <v>399</v>
      </c>
      <c r="R19" s="755"/>
      <c r="S19" s="748"/>
      <c r="T19" s="743"/>
      <c r="U19" s="738">
        <v>1</v>
      </c>
      <c r="V19" s="739">
        <v>750</v>
      </c>
      <c r="W19" s="734"/>
      <c r="X19" s="735" t="s">
        <v>563</v>
      </c>
      <c r="Y19" s="736">
        <v>150</v>
      </c>
      <c r="Z19" s="737" t="s">
        <v>498</v>
      </c>
      <c r="AA19" s="738">
        <v>3</v>
      </c>
      <c r="AB19" s="759">
        <v>450</v>
      </c>
    </row>
    <row r="20" spans="1:28" s="752" customFormat="1" ht="11.1" customHeight="1">
      <c r="A20" s="793" t="s">
        <v>562</v>
      </c>
      <c r="B20" s="794" t="s">
        <v>564</v>
      </c>
      <c r="C20" s="755"/>
      <c r="D20" s="748"/>
      <c r="E20" s="743"/>
      <c r="F20" s="738">
        <v>5</v>
      </c>
      <c r="G20" s="748">
        <v>79300</v>
      </c>
      <c r="H20" s="788"/>
      <c r="I20" s="754"/>
      <c r="J20" s="755" t="s">
        <v>557</v>
      </c>
      <c r="K20" s="748">
        <v>56682</v>
      </c>
      <c r="L20" s="737" t="s">
        <v>498</v>
      </c>
      <c r="M20" s="738">
        <v>1</v>
      </c>
      <c r="N20" s="759"/>
      <c r="O20" s="742"/>
      <c r="P20" s="795"/>
      <c r="Q20" s="754" t="s">
        <v>112</v>
      </c>
      <c r="R20" s="755"/>
      <c r="S20" s="748"/>
      <c r="T20" s="743"/>
      <c r="U20" s="738">
        <v>2</v>
      </c>
      <c r="V20" s="739">
        <v>28600</v>
      </c>
      <c r="W20" s="734"/>
      <c r="X20" s="735" t="s">
        <v>565</v>
      </c>
      <c r="Y20" s="736">
        <v>100</v>
      </c>
      <c r="Z20" s="737" t="s">
        <v>498</v>
      </c>
      <c r="AA20" s="738">
        <v>1</v>
      </c>
      <c r="AB20" s="759">
        <v>100</v>
      </c>
    </row>
    <row r="21" spans="1:28" s="752" customFormat="1" ht="11.1" customHeight="1">
      <c r="A21" s="793"/>
      <c r="B21" s="794" t="s">
        <v>566</v>
      </c>
      <c r="C21" s="755"/>
      <c r="D21" s="748"/>
      <c r="E21" s="743"/>
      <c r="F21" s="738">
        <v>8</v>
      </c>
      <c r="G21" s="748">
        <v>51910</v>
      </c>
      <c r="H21" s="796"/>
      <c r="I21" s="797" t="s">
        <v>567</v>
      </c>
      <c r="J21" s="755" t="s">
        <v>536</v>
      </c>
      <c r="K21" s="748">
        <v>395371</v>
      </c>
      <c r="L21" s="737" t="s">
        <v>498</v>
      </c>
      <c r="M21" s="738">
        <v>1</v>
      </c>
      <c r="N21" s="739">
        <v>597171</v>
      </c>
      <c r="O21" s="742"/>
      <c r="P21" s="798" t="s">
        <v>568</v>
      </c>
      <c r="Q21" s="799"/>
      <c r="R21" s="800"/>
      <c r="S21" s="801">
        <v>148</v>
      </c>
      <c r="T21" s="802"/>
      <c r="U21" s="803" t="s">
        <v>549</v>
      </c>
      <c r="V21" s="804">
        <v>31476503.065000001</v>
      </c>
      <c r="W21" s="734"/>
      <c r="X21" s="735" t="s">
        <v>569</v>
      </c>
      <c r="Y21" s="736">
        <v>200</v>
      </c>
      <c r="Z21" s="737" t="s">
        <v>498</v>
      </c>
      <c r="AA21" s="738">
        <v>3</v>
      </c>
      <c r="AB21" s="759">
        <v>600</v>
      </c>
    </row>
    <row r="22" spans="1:28" s="752" customFormat="1" ht="11.1" customHeight="1">
      <c r="A22" s="805" t="s">
        <v>570</v>
      </c>
      <c r="B22" s="806"/>
      <c r="C22" s="800"/>
      <c r="D22" s="801">
        <v>67</v>
      </c>
      <c r="E22" s="802"/>
      <c r="F22" s="803" t="s">
        <v>549</v>
      </c>
      <c r="G22" s="801">
        <v>9363673.1199999992</v>
      </c>
      <c r="H22" s="796"/>
      <c r="I22" s="792"/>
      <c r="J22" s="755" t="s">
        <v>557</v>
      </c>
      <c r="K22" s="748">
        <v>201800</v>
      </c>
      <c r="L22" s="737" t="s">
        <v>498</v>
      </c>
      <c r="M22" s="738">
        <v>1</v>
      </c>
      <c r="N22" s="739"/>
      <c r="O22" s="742"/>
      <c r="P22" s="807" t="s">
        <v>571</v>
      </c>
      <c r="Q22" s="808"/>
      <c r="R22" s="808"/>
      <c r="S22" s="808"/>
      <c r="T22" s="808"/>
      <c r="U22" s="808"/>
      <c r="V22" s="717">
        <v>1.75135386558592E-3</v>
      </c>
      <c r="W22" s="734"/>
      <c r="X22" s="735" t="s">
        <v>572</v>
      </c>
      <c r="Y22" s="736" t="s">
        <v>573</v>
      </c>
      <c r="Z22" s="737" t="s">
        <v>498</v>
      </c>
      <c r="AA22" s="738">
        <v>3</v>
      </c>
      <c r="AB22" s="759">
        <v>2100</v>
      </c>
    </row>
    <row r="23" spans="1:28" s="752" customFormat="1" ht="11.1" customHeight="1">
      <c r="A23" s="713" t="s">
        <v>574</v>
      </c>
      <c r="B23" s="714"/>
      <c r="C23" s="714"/>
      <c r="D23" s="714"/>
      <c r="E23" s="714"/>
      <c r="F23" s="714"/>
      <c r="G23" s="715">
        <v>6.792688880727403E-2</v>
      </c>
      <c r="H23" s="809"/>
      <c r="I23" s="792"/>
      <c r="J23" s="755"/>
      <c r="K23" s="748"/>
      <c r="L23" s="737"/>
      <c r="M23" s="738"/>
      <c r="N23" s="810"/>
      <c r="O23" s="742"/>
      <c r="P23" s="768" t="s">
        <v>575</v>
      </c>
      <c r="Q23" s="811" t="s">
        <v>576</v>
      </c>
      <c r="R23" s="741"/>
      <c r="S23" s="742">
        <v>3000</v>
      </c>
      <c r="T23" s="743" t="s">
        <v>498</v>
      </c>
      <c r="U23" s="772">
        <v>4</v>
      </c>
      <c r="V23" s="812">
        <v>19200</v>
      </c>
      <c r="W23" s="734"/>
      <c r="X23" s="735"/>
      <c r="Y23" s="736">
        <v>250</v>
      </c>
      <c r="Z23" s="737" t="s">
        <v>498</v>
      </c>
      <c r="AA23" s="738">
        <v>1</v>
      </c>
      <c r="AB23" s="759">
        <v>250</v>
      </c>
    </row>
    <row r="24" spans="1:28" s="752" customFormat="1" ht="11.1" customHeight="1">
      <c r="A24" s="791"/>
      <c r="B24" s="754" t="s">
        <v>577</v>
      </c>
      <c r="C24" s="755"/>
      <c r="D24" s="748">
        <v>500000</v>
      </c>
      <c r="E24" s="737" t="s">
        <v>498</v>
      </c>
      <c r="F24" s="738">
        <v>5</v>
      </c>
      <c r="G24" s="748">
        <v>3050000</v>
      </c>
      <c r="H24" s="813"/>
      <c r="I24" s="814" t="s">
        <v>555</v>
      </c>
      <c r="J24" s="762"/>
      <c r="K24" s="763"/>
      <c r="L24" s="764"/>
      <c r="M24" s="765">
        <v>2</v>
      </c>
      <c r="N24" s="739">
        <v>2810</v>
      </c>
      <c r="O24" s="742"/>
      <c r="P24" s="753" t="s">
        <v>578</v>
      </c>
      <c r="Q24" s="815"/>
      <c r="R24" s="741"/>
      <c r="S24" s="742">
        <v>1000</v>
      </c>
      <c r="T24" s="743" t="s">
        <v>498</v>
      </c>
      <c r="U24" s="744">
        <v>2</v>
      </c>
      <c r="V24" s="812"/>
      <c r="W24" s="734"/>
      <c r="X24" s="735" t="s">
        <v>579</v>
      </c>
      <c r="Y24" s="736">
        <v>80</v>
      </c>
      <c r="Z24" s="737" t="s">
        <v>498</v>
      </c>
      <c r="AA24" s="738">
        <v>3</v>
      </c>
      <c r="AB24" s="759">
        <v>240</v>
      </c>
    </row>
    <row r="25" spans="1:28" s="752" customFormat="1" ht="11.1" customHeight="1">
      <c r="A25" s="791" t="s">
        <v>506</v>
      </c>
      <c r="B25" s="754"/>
      <c r="C25" s="755"/>
      <c r="D25" s="748">
        <v>550000</v>
      </c>
      <c r="E25" s="737" t="s">
        <v>498</v>
      </c>
      <c r="F25" s="738">
        <v>1</v>
      </c>
      <c r="G25" s="748"/>
      <c r="H25" s="796" t="s">
        <v>554</v>
      </c>
      <c r="I25" s="792" t="s">
        <v>580</v>
      </c>
      <c r="J25" s="755"/>
      <c r="K25" s="748"/>
      <c r="L25" s="737"/>
      <c r="M25" s="738">
        <v>56</v>
      </c>
      <c r="N25" s="739">
        <v>44983.824999999997</v>
      </c>
      <c r="O25" s="742"/>
      <c r="P25" s="753" t="s">
        <v>581</v>
      </c>
      <c r="Q25" s="816"/>
      <c r="S25" s="742">
        <v>1500</v>
      </c>
      <c r="T25" s="743" t="s">
        <v>498</v>
      </c>
      <c r="U25" s="744">
        <v>3</v>
      </c>
      <c r="V25" s="817"/>
      <c r="W25" s="734"/>
      <c r="X25" s="735" t="s">
        <v>582</v>
      </c>
      <c r="Y25" s="736">
        <v>60</v>
      </c>
      <c r="Z25" s="737" t="s">
        <v>498</v>
      </c>
      <c r="AA25" s="738">
        <v>1</v>
      </c>
      <c r="AB25" s="759">
        <v>60</v>
      </c>
    </row>
    <row r="26" spans="1:28" s="725" customFormat="1" ht="11.1" customHeight="1">
      <c r="A26" s="791"/>
      <c r="B26" s="755" t="s">
        <v>583</v>
      </c>
      <c r="C26" s="755"/>
      <c r="D26" s="748">
        <v>1019029</v>
      </c>
      <c r="E26" s="737" t="s">
        <v>498</v>
      </c>
      <c r="F26" s="738">
        <v>1</v>
      </c>
      <c r="G26" s="748">
        <v>2038058</v>
      </c>
      <c r="H26" s="809" t="s">
        <v>558</v>
      </c>
      <c r="I26" s="792" t="s">
        <v>191</v>
      </c>
      <c r="J26" s="755"/>
      <c r="K26" s="748"/>
      <c r="L26" s="737"/>
      <c r="M26" s="738">
        <v>4</v>
      </c>
      <c r="N26" s="739">
        <v>39500</v>
      </c>
      <c r="O26" s="742"/>
      <c r="P26" s="753"/>
      <c r="Q26" s="816"/>
      <c r="R26" s="752"/>
      <c r="S26" s="742">
        <v>600</v>
      </c>
      <c r="T26" s="737" t="s">
        <v>498</v>
      </c>
      <c r="U26" s="738">
        <v>1</v>
      </c>
      <c r="V26" s="817"/>
      <c r="W26" s="734"/>
      <c r="X26" s="735" t="s">
        <v>584</v>
      </c>
      <c r="Y26" s="736" t="s">
        <v>585</v>
      </c>
      <c r="Z26" s="737" t="s">
        <v>498</v>
      </c>
      <c r="AA26" s="738">
        <v>4</v>
      </c>
      <c r="AB26" s="759">
        <v>3500</v>
      </c>
    </row>
    <row r="27" spans="1:28" s="725" customFormat="1" ht="11.1" customHeight="1">
      <c r="A27" s="793" t="s">
        <v>516</v>
      </c>
      <c r="B27" s="755"/>
      <c r="C27" s="755"/>
      <c r="D27" s="748">
        <v>1019029</v>
      </c>
      <c r="E27" s="737" t="s">
        <v>498</v>
      </c>
      <c r="F27" s="738">
        <v>1</v>
      </c>
      <c r="G27" s="748"/>
      <c r="H27" s="809" t="s">
        <v>562</v>
      </c>
      <c r="I27" s="792" t="s">
        <v>112</v>
      </c>
      <c r="J27" s="755"/>
      <c r="K27" s="748"/>
      <c r="L27" s="737"/>
      <c r="M27" s="738">
        <v>3</v>
      </c>
      <c r="N27" s="739">
        <v>127440</v>
      </c>
      <c r="O27" s="742"/>
      <c r="P27" s="753"/>
      <c r="Q27" s="818"/>
      <c r="R27" s="741"/>
      <c r="S27" s="742">
        <v>100</v>
      </c>
      <c r="T27" s="737" t="s">
        <v>498</v>
      </c>
      <c r="U27" s="738">
        <v>1</v>
      </c>
      <c r="V27" s="812"/>
      <c r="W27" s="734"/>
      <c r="X27" s="735"/>
      <c r="Y27" s="736">
        <v>500</v>
      </c>
      <c r="Z27" s="737" t="s">
        <v>498</v>
      </c>
      <c r="AA27" s="738">
        <v>1</v>
      </c>
      <c r="AB27" s="759">
        <v>500</v>
      </c>
    </row>
    <row r="28" spans="1:28" s="725" customFormat="1" ht="11.1" customHeight="1">
      <c r="A28" s="793"/>
      <c r="B28" s="755" t="s">
        <v>586</v>
      </c>
      <c r="C28" s="755"/>
      <c r="D28" s="748">
        <v>1018000</v>
      </c>
      <c r="E28" s="737" t="s">
        <v>498</v>
      </c>
      <c r="F28" s="738">
        <v>1</v>
      </c>
      <c r="G28" s="819">
        <v>1018000</v>
      </c>
      <c r="H28" s="809"/>
      <c r="I28" s="792" t="s">
        <v>587</v>
      </c>
      <c r="J28" s="820"/>
      <c r="K28" s="752"/>
      <c r="L28" s="752"/>
      <c r="M28" s="738">
        <v>2</v>
      </c>
      <c r="N28" s="739">
        <v>200000</v>
      </c>
      <c r="O28" s="742"/>
      <c r="P28" s="780"/>
      <c r="Q28" s="785" t="s">
        <v>588</v>
      </c>
      <c r="R28" s="782"/>
      <c r="S28" s="783">
        <v>11</v>
      </c>
      <c r="T28" s="783"/>
      <c r="U28" s="821" t="s">
        <v>589</v>
      </c>
      <c r="V28" s="822">
        <v>19200</v>
      </c>
      <c r="W28" s="734"/>
      <c r="X28" s="735"/>
      <c r="Y28" s="736"/>
      <c r="Z28" s="737"/>
      <c r="AA28" s="738"/>
      <c r="AB28" s="759"/>
    </row>
    <row r="29" spans="1:28" s="725" customFormat="1" ht="11.1" customHeight="1">
      <c r="A29" s="823"/>
      <c r="B29" s="762" t="s">
        <v>590</v>
      </c>
      <c r="C29" s="762"/>
      <c r="D29" s="763">
        <v>150000</v>
      </c>
      <c r="E29" s="764" t="s">
        <v>498</v>
      </c>
      <c r="F29" s="765">
        <v>9</v>
      </c>
      <c r="G29" s="824">
        <v>1350000</v>
      </c>
      <c r="H29" s="825" t="s">
        <v>568</v>
      </c>
      <c r="I29" s="826"/>
      <c r="J29" s="827"/>
      <c r="K29" s="828">
        <v>115</v>
      </c>
      <c r="L29" s="829"/>
      <c r="M29" s="803" t="s">
        <v>549</v>
      </c>
      <c r="N29" s="830">
        <v>12129300.824999999</v>
      </c>
      <c r="O29" s="742"/>
      <c r="P29" s="831"/>
      <c r="Q29" s="772" t="s">
        <v>591</v>
      </c>
      <c r="R29" s="762"/>
      <c r="S29" s="764" t="s">
        <v>592</v>
      </c>
      <c r="T29" s="743" t="s">
        <v>498</v>
      </c>
      <c r="U29" s="765">
        <v>4</v>
      </c>
      <c r="V29" s="766">
        <v>1800</v>
      </c>
      <c r="W29" s="734"/>
      <c r="X29" s="832" t="s">
        <v>593</v>
      </c>
      <c r="Y29" s="800">
        <v>209</v>
      </c>
      <c r="Z29" s="802"/>
      <c r="AA29" s="826" t="s">
        <v>549</v>
      </c>
      <c r="AB29" s="833">
        <v>78892</v>
      </c>
    </row>
    <row r="30" spans="1:28" s="725" customFormat="1" ht="11.1" customHeight="1">
      <c r="A30" s="834"/>
      <c r="B30" s="835" t="s">
        <v>594</v>
      </c>
      <c r="C30" s="755" t="s">
        <v>521</v>
      </c>
      <c r="D30" s="748">
        <v>160729</v>
      </c>
      <c r="E30" s="737" t="s">
        <v>498</v>
      </c>
      <c r="F30" s="738">
        <v>2</v>
      </c>
      <c r="G30" s="819">
        <v>949416</v>
      </c>
      <c r="H30" s="716" t="s">
        <v>595</v>
      </c>
      <c r="I30" s="714"/>
      <c r="J30" s="714"/>
      <c r="K30" s="714"/>
      <c r="L30" s="714"/>
      <c r="M30" s="714"/>
      <c r="N30" s="717">
        <v>6.117020207217954E-2</v>
      </c>
      <c r="O30" s="742"/>
      <c r="P30" s="834"/>
      <c r="Q30" s="744" t="s">
        <v>596</v>
      </c>
      <c r="R30" s="741"/>
      <c r="S30" s="742">
        <v>80</v>
      </c>
      <c r="T30" s="743" t="s">
        <v>498</v>
      </c>
      <c r="U30" s="744">
        <v>3</v>
      </c>
      <c r="V30" s="812">
        <v>240</v>
      </c>
      <c r="W30" s="836" t="s">
        <v>1461</v>
      </c>
      <c r="X30" s="837"/>
      <c r="Y30" s="838">
        <v>220</v>
      </c>
      <c r="Z30" s="839"/>
      <c r="AA30" s="839" t="s">
        <v>549</v>
      </c>
      <c r="AB30" s="840">
        <v>98092</v>
      </c>
    </row>
    <row r="31" spans="1:28" s="725" customFormat="1" ht="11.1" customHeight="1">
      <c r="A31" s="841"/>
      <c r="B31" s="755"/>
      <c r="C31" s="755"/>
      <c r="D31" s="748">
        <v>163979</v>
      </c>
      <c r="E31" s="737" t="s">
        <v>498</v>
      </c>
      <c r="F31" s="738">
        <v>2</v>
      </c>
      <c r="G31" s="748"/>
      <c r="H31" s="842"/>
      <c r="I31" s="754" t="s">
        <v>597</v>
      </c>
      <c r="J31" s="762"/>
      <c r="K31" s="763">
        <v>500000</v>
      </c>
      <c r="L31" s="764" t="s">
        <v>498</v>
      </c>
      <c r="M31" s="765">
        <v>8</v>
      </c>
      <c r="N31" s="739">
        <v>4000000</v>
      </c>
      <c r="O31" s="742"/>
      <c r="P31" s="843"/>
      <c r="Q31" s="744" t="s">
        <v>598</v>
      </c>
      <c r="R31" s="844"/>
      <c r="S31" s="743">
        <v>150</v>
      </c>
      <c r="T31" s="743" t="s">
        <v>498</v>
      </c>
      <c r="U31" s="744">
        <v>3</v>
      </c>
      <c r="V31" s="812">
        <v>450</v>
      </c>
      <c r="W31" s="845" t="s">
        <v>1462</v>
      </c>
      <c r="X31" s="846"/>
      <c r="Y31" s="847">
        <v>654</v>
      </c>
      <c r="Z31" s="848"/>
      <c r="AA31" s="848" t="s">
        <v>549</v>
      </c>
      <c r="AB31" s="849">
        <v>83978395.359999999</v>
      </c>
    </row>
    <row r="32" spans="1:28" s="725" customFormat="1" ht="11.1" customHeight="1">
      <c r="A32" s="793" t="s">
        <v>533</v>
      </c>
      <c r="B32" s="755"/>
      <c r="C32" s="755"/>
      <c r="D32" s="748">
        <v>150000</v>
      </c>
      <c r="E32" s="737" t="s">
        <v>498</v>
      </c>
      <c r="F32" s="738">
        <v>2</v>
      </c>
      <c r="G32" s="748"/>
      <c r="H32" s="745" t="s">
        <v>509</v>
      </c>
      <c r="I32" s="754"/>
      <c r="J32" s="755"/>
      <c r="K32" s="748">
        <v>1020000</v>
      </c>
      <c r="L32" s="737" t="s">
        <v>498</v>
      </c>
      <c r="M32" s="738">
        <v>1</v>
      </c>
      <c r="N32" s="739">
        <v>1020000</v>
      </c>
      <c r="O32" s="742"/>
      <c r="P32" s="850"/>
      <c r="Q32" s="744" t="s">
        <v>599</v>
      </c>
      <c r="R32" s="741"/>
      <c r="S32" s="743" t="s">
        <v>600</v>
      </c>
      <c r="T32" s="743" t="s">
        <v>498</v>
      </c>
      <c r="U32" s="744">
        <v>4</v>
      </c>
      <c r="V32" s="812">
        <v>1500</v>
      </c>
      <c r="W32" s="845" t="s">
        <v>1463</v>
      </c>
      <c r="X32" s="846"/>
      <c r="Y32" s="851">
        <v>874</v>
      </c>
      <c r="Z32" s="852"/>
      <c r="AA32" s="852" t="s">
        <v>549</v>
      </c>
      <c r="AB32" s="853">
        <v>84076487.359999999</v>
      </c>
    </row>
    <row r="33" spans="1:32" s="725" customFormat="1" ht="11.1" customHeight="1">
      <c r="A33" s="793"/>
      <c r="B33" s="755"/>
      <c r="C33" s="755" t="s">
        <v>525</v>
      </c>
      <c r="D33" s="748">
        <v>182081</v>
      </c>
      <c r="E33" s="737" t="s">
        <v>498</v>
      </c>
      <c r="F33" s="738">
        <v>1</v>
      </c>
      <c r="G33" s="748">
        <v>513031</v>
      </c>
      <c r="H33" s="745"/>
      <c r="I33" s="754"/>
      <c r="J33" s="755"/>
      <c r="K33" s="748">
        <v>1020000</v>
      </c>
      <c r="L33" s="737" t="s">
        <v>498</v>
      </c>
      <c r="M33" s="738">
        <v>1</v>
      </c>
      <c r="N33" s="739">
        <v>1020000</v>
      </c>
      <c r="O33" s="748"/>
      <c r="P33" s="850"/>
      <c r="Q33" s="854" t="s">
        <v>601</v>
      </c>
      <c r="R33" s="741"/>
      <c r="S33" s="737" t="s">
        <v>602</v>
      </c>
      <c r="T33" s="737" t="s">
        <v>498</v>
      </c>
      <c r="U33" s="738">
        <v>5</v>
      </c>
      <c r="V33" s="739">
        <v>4500</v>
      </c>
      <c r="W33" s="855" t="s">
        <v>603</v>
      </c>
      <c r="X33" s="856"/>
      <c r="Y33" s="857">
        <v>98</v>
      </c>
      <c r="Z33" s="732"/>
      <c r="AA33" s="732" t="s">
        <v>549</v>
      </c>
      <c r="AB33" s="858">
        <v>27437780</v>
      </c>
    </row>
    <row r="34" spans="1:32" s="752" customFormat="1" ht="11.1" customHeight="1">
      <c r="A34" s="793"/>
      <c r="B34" s="755"/>
      <c r="C34" s="755"/>
      <c r="D34" s="748">
        <v>180950</v>
      </c>
      <c r="E34" s="737" t="s">
        <v>498</v>
      </c>
      <c r="F34" s="738">
        <v>1</v>
      </c>
      <c r="G34" s="748"/>
      <c r="H34" s="745" t="s">
        <v>604</v>
      </c>
      <c r="I34" s="754" t="s">
        <v>605</v>
      </c>
      <c r="J34" s="755"/>
      <c r="K34" s="748">
        <v>200000</v>
      </c>
      <c r="L34" s="737" t="s">
        <v>498</v>
      </c>
      <c r="M34" s="738">
        <v>2</v>
      </c>
      <c r="N34" s="739">
        <v>400000</v>
      </c>
      <c r="O34" s="748"/>
      <c r="P34" s="753" t="s">
        <v>506</v>
      </c>
      <c r="Q34" s="854" t="s">
        <v>606</v>
      </c>
      <c r="R34" s="741"/>
      <c r="S34" s="737" t="s">
        <v>607</v>
      </c>
      <c r="T34" s="737" t="s">
        <v>498</v>
      </c>
      <c r="U34" s="738">
        <v>3</v>
      </c>
      <c r="V34" s="739">
        <v>400</v>
      </c>
      <c r="W34" s="855" t="s">
        <v>608</v>
      </c>
      <c r="X34" s="856"/>
      <c r="Y34" s="857">
        <v>83</v>
      </c>
      <c r="Z34" s="732"/>
      <c r="AA34" s="735" t="s">
        <v>549</v>
      </c>
      <c r="AB34" s="859">
        <v>9481236</v>
      </c>
      <c r="AC34" s="860"/>
    </row>
    <row r="35" spans="1:32" s="752" customFormat="1" ht="11.1" customHeight="1">
      <c r="A35" s="793" t="s">
        <v>543</v>
      </c>
      <c r="B35" s="755"/>
      <c r="C35" s="755"/>
      <c r="D35" s="748">
        <v>150000</v>
      </c>
      <c r="E35" s="737" t="s">
        <v>498</v>
      </c>
      <c r="F35" s="738">
        <v>1</v>
      </c>
      <c r="G35" s="748"/>
      <c r="H35" s="745"/>
      <c r="I35" s="746"/>
      <c r="J35" s="747"/>
      <c r="K35" s="748"/>
      <c r="L35" s="737"/>
      <c r="M35" s="738"/>
      <c r="N35" s="739"/>
      <c r="O35" s="748"/>
      <c r="P35" s="850"/>
      <c r="Q35" s="854" t="s">
        <v>609</v>
      </c>
      <c r="R35" s="741"/>
      <c r="S35" s="737">
        <v>45</v>
      </c>
      <c r="T35" s="737" t="s">
        <v>498</v>
      </c>
      <c r="U35" s="738">
        <v>1</v>
      </c>
      <c r="V35" s="739">
        <v>45</v>
      </c>
      <c r="W35" s="855" t="s">
        <v>610</v>
      </c>
      <c r="X35" s="856"/>
      <c r="Y35" s="861">
        <v>183441</v>
      </c>
      <c r="Z35" s="732"/>
      <c r="AA35" s="732" t="s">
        <v>589</v>
      </c>
      <c r="AB35" s="862">
        <v>37715815.078089997</v>
      </c>
      <c r="AC35" s="860"/>
    </row>
    <row r="36" spans="1:32" s="752" customFormat="1" ht="11.1" customHeight="1">
      <c r="A36" s="793"/>
      <c r="B36" s="755" t="s">
        <v>611</v>
      </c>
      <c r="C36" s="755" t="s">
        <v>521</v>
      </c>
      <c r="D36" s="748">
        <v>167104</v>
      </c>
      <c r="E36" s="737" t="s">
        <v>498</v>
      </c>
      <c r="F36" s="738">
        <v>2</v>
      </c>
      <c r="G36" s="748">
        <v>530441</v>
      </c>
      <c r="H36" s="863"/>
      <c r="I36" s="761" t="s">
        <v>612</v>
      </c>
      <c r="J36" s="864" t="s">
        <v>521</v>
      </c>
      <c r="K36" s="763">
        <v>100000</v>
      </c>
      <c r="L36" s="764" t="s">
        <v>498</v>
      </c>
      <c r="M36" s="765">
        <v>6</v>
      </c>
      <c r="N36" s="766">
        <v>900000</v>
      </c>
      <c r="O36" s="748"/>
      <c r="P36" s="850"/>
      <c r="Q36" s="744" t="s">
        <v>613</v>
      </c>
      <c r="R36" s="741"/>
      <c r="S36" s="742">
        <v>80</v>
      </c>
      <c r="T36" s="743" t="s">
        <v>498</v>
      </c>
      <c r="U36" s="744">
        <v>3</v>
      </c>
      <c r="V36" s="812">
        <v>240</v>
      </c>
      <c r="W36" s="865" t="s">
        <v>1464</v>
      </c>
      <c r="X36" s="866"/>
      <c r="Y36" s="867">
        <v>183622</v>
      </c>
      <c r="Z36" s="868"/>
      <c r="AA36" s="868" t="s">
        <v>549</v>
      </c>
      <c r="AB36" s="869">
        <v>74634831.078089997</v>
      </c>
      <c r="AC36" s="860"/>
    </row>
    <row r="37" spans="1:32" s="752" customFormat="1" ht="11.1" customHeight="1">
      <c r="A37" s="793"/>
      <c r="B37" s="755"/>
      <c r="C37" s="755" t="s">
        <v>525</v>
      </c>
      <c r="D37" s="748">
        <v>196233</v>
      </c>
      <c r="E37" s="737" t="s">
        <v>614</v>
      </c>
      <c r="F37" s="738">
        <v>1</v>
      </c>
      <c r="G37" s="748"/>
      <c r="H37" s="870" t="s">
        <v>533</v>
      </c>
      <c r="I37" s="746"/>
      <c r="J37" s="747" t="s">
        <v>525</v>
      </c>
      <c r="K37" s="748">
        <v>200000</v>
      </c>
      <c r="L37" s="737" t="s">
        <v>498</v>
      </c>
      <c r="M37" s="738">
        <v>1</v>
      </c>
      <c r="N37" s="739"/>
      <c r="O37" s="748"/>
      <c r="P37" s="850"/>
      <c r="Q37" s="744" t="s">
        <v>615</v>
      </c>
      <c r="R37" s="741"/>
      <c r="S37" s="742">
        <v>250</v>
      </c>
      <c r="T37" s="743" t="s">
        <v>498</v>
      </c>
      <c r="U37" s="744">
        <v>3</v>
      </c>
      <c r="V37" s="812">
        <v>750</v>
      </c>
      <c r="W37" s="871" t="s">
        <v>1465</v>
      </c>
      <c r="X37" s="872"/>
      <c r="Y37" s="873">
        <v>184496</v>
      </c>
      <c r="Z37" s="874"/>
      <c r="AA37" s="874" t="s">
        <v>589</v>
      </c>
      <c r="AB37" s="875">
        <v>158711318.43809</v>
      </c>
      <c r="AC37" s="860"/>
      <c r="AF37" s="758"/>
    </row>
    <row r="38" spans="1:32" s="752" customFormat="1" ht="11.1" customHeight="1">
      <c r="A38" s="793"/>
      <c r="B38" s="755" t="s">
        <v>616</v>
      </c>
      <c r="C38" s="755" t="s">
        <v>521</v>
      </c>
      <c r="D38" s="748">
        <v>71893</v>
      </c>
      <c r="E38" s="737" t="s">
        <v>498</v>
      </c>
      <c r="F38" s="738">
        <v>2</v>
      </c>
      <c r="G38" s="876">
        <v>228734</v>
      </c>
      <c r="H38" s="842"/>
      <c r="I38" s="746"/>
      <c r="J38" s="747" t="s">
        <v>525</v>
      </c>
      <c r="K38" s="748">
        <v>100000</v>
      </c>
      <c r="L38" s="737" t="s">
        <v>498</v>
      </c>
      <c r="M38" s="738">
        <v>1</v>
      </c>
      <c r="N38" s="739"/>
      <c r="O38" s="748"/>
      <c r="P38" s="850"/>
      <c r="Q38" s="744" t="s">
        <v>617</v>
      </c>
      <c r="R38" s="741"/>
      <c r="S38" s="742">
        <v>60</v>
      </c>
      <c r="T38" s="737" t="s">
        <v>498</v>
      </c>
      <c r="U38" s="738">
        <v>1</v>
      </c>
      <c r="V38" s="812">
        <v>60</v>
      </c>
      <c r="W38" s="877" t="s">
        <v>618</v>
      </c>
      <c r="X38" s="878"/>
      <c r="Y38" s="878"/>
      <c r="Z38" s="878"/>
      <c r="AA38" s="878"/>
      <c r="AB38" s="879"/>
      <c r="AC38" s="860"/>
      <c r="AF38" s="758"/>
    </row>
    <row r="39" spans="1:32" s="752" customFormat="1" ht="11.1" customHeight="1">
      <c r="A39" s="793"/>
      <c r="B39" s="754"/>
      <c r="C39" s="748" t="s">
        <v>525</v>
      </c>
      <c r="D39" s="748">
        <v>42474</v>
      </c>
      <c r="E39" s="737" t="s">
        <v>498</v>
      </c>
      <c r="F39" s="738">
        <v>2</v>
      </c>
      <c r="G39" s="876"/>
      <c r="H39" s="870" t="s">
        <v>543</v>
      </c>
      <c r="I39" s="880" t="s">
        <v>619</v>
      </c>
      <c r="J39" s="747" t="s">
        <v>521</v>
      </c>
      <c r="K39" s="748">
        <v>100000</v>
      </c>
      <c r="L39" s="737" t="s">
        <v>498</v>
      </c>
      <c r="M39" s="738">
        <v>2</v>
      </c>
      <c r="N39" s="739">
        <v>2071900</v>
      </c>
      <c r="O39" s="748"/>
      <c r="P39" s="850"/>
      <c r="Q39" s="744" t="s">
        <v>620</v>
      </c>
      <c r="R39" s="741"/>
      <c r="S39" s="743">
        <v>45</v>
      </c>
      <c r="T39" s="737" t="s">
        <v>498</v>
      </c>
      <c r="U39" s="738">
        <v>1</v>
      </c>
      <c r="V39" s="812">
        <v>45</v>
      </c>
      <c r="W39" s="881" t="s">
        <v>621</v>
      </c>
      <c r="X39" s="882"/>
      <c r="Y39" s="882"/>
      <c r="Z39" s="882"/>
      <c r="AA39" s="882"/>
      <c r="AB39" s="883"/>
      <c r="AC39" s="860"/>
      <c r="AF39" s="758"/>
    </row>
    <row r="40" spans="1:32" s="752" customFormat="1" ht="11.1" customHeight="1">
      <c r="A40" s="793"/>
      <c r="B40" s="755" t="s">
        <v>622</v>
      </c>
      <c r="C40" s="755" t="s">
        <v>521</v>
      </c>
      <c r="D40" s="748">
        <v>241298</v>
      </c>
      <c r="E40" s="737" t="s">
        <v>498</v>
      </c>
      <c r="F40" s="738">
        <v>2</v>
      </c>
      <c r="G40" s="819">
        <v>738346</v>
      </c>
      <c r="H40" s="884"/>
      <c r="I40" s="757" t="s">
        <v>623</v>
      </c>
      <c r="J40" s="741" t="s">
        <v>536</v>
      </c>
      <c r="K40" s="742">
        <v>150000</v>
      </c>
      <c r="L40" s="743" t="s">
        <v>498</v>
      </c>
      <c r="M40" s="744">
        <v>4</v>
      </c>
      <c r="N40" s="812"/>
      <c r="O40" s="748"/>
      <c r="P40" s="753" t="s">
        <v>318</v>
      </c>
      <c r="Q40" s="744" t="s">
        <v>624</v>
      </c>
      <c r="R40" s="741"/>
      <c r="S40" s="743">
        <v>136</v>
      </c>
      <c r="T40" s="737" t="s">
        <v>498</v>
      </c>
      <c r="U40" s="738">
        <v>1</v>
      </c>
      <c r="V40" s="812">
        <v>136</v>
      </c>
      <c r="W40" s="881" t="s">
        <v>625</v>
      </c>
      <c r="X40" s="882"/>
      <c r="Y40" s="882"/>
      <c r="Z40" s="882"/>
      <c r="AA40" s="882"/>
      <c r="AB40" s="883"/>
      <c r="AC40" s="860"/>
      <c r="AF40" s="758"/>
    </row>
    <row r="41" spans="1:32" s="752" customFormat="1" ht="11.1" customHeight="1">
      <c r="A41" s="793"/>
      <c r="B41" s="755"/>
      <c r="C41" s="755" t="s">
        <v>525</v>
      </c>
      <c r="D41" s="748">
        <v>127875</v>
      </c>
      <c r="E41" s="737" t="s">
        <v>498</v>
      </c>
      <c r="F41" s="738">
        <v>2</v>
      </c>
      <c r="G41" s="819"/>
      <c r="H41" s="870"/>
      <c r="I41" s="757"/>
      <c r="J41" s="741" t="s">
        <v>536</v>
      </c>
      <c r="K41" s="742">
        <v>286600</v>
      </c>
      <c r="L41" s="743" t="s">
        <v>498</v>
      </c>
      <c r="M41" s="744">
        <v>2</v>
      </c>
      <c r="N41" s="812"/>
      <c r="O41" s="748"/>
      <c r="P41" s="753"/>
      <c r="Q41" s="744" t="s">
        <v>626</v>
      </c>
      <c r="R41" s="741"/>
      <c r="S41" s="742">
        <v>1300</v>
      </c>
      <c r="T41" s="743" t="s">
        <v>498</v>
      </c>
      <c r="U41" s="744">
        <v>2</v>
      </c>
      <c r="V41" s="812">
        <v>2600</v>
      </c>
      <c r="W41" s="881" t="s">
        <v>627</v>
      </c>
      <c r="X41" s="882"/>
      <c r="Y41" s="882"/>
      <c r="Z41" s="882"/>
      <c r="AA41" s="882"/>
      <c r="AB41" s="883"/>
      <c r="AC41" s="860"/>
      <c r="AF41" s="758"/>
    </row>
    <row r="42" spans="1:32" s="752" customFormat="1" ht="11.1" customHeight="1">
      <c r="A42" s="885"/>
      <c r="B42" s="762" t="s">
        <v>185</v>
      </c>
      <c r="C42" s="762"/>
      <c r="D42" s="763"/>
      <c r="E42" s="764"/>
      <c r="F42" s="765">
        <v>4</v>
      </c>
      <c r="G42" s="824">
        <v>15086</v>
      </c>
      <c r="H42" s="870"/>
      <c r="I42" s="757"/>
      <c r="J42" s="741" t="s">
        <v>557</v>
      </c>
      <c r="K42" s="742">
        <v>100000</v>
      </c>
      <c r="L42" s="743" t="s">
        <v>498</v>
      </c>
      <c r="M42" s="744">
        <v>1</v>
      </c>
      <c r="N42" s="812"/>
      <c r="O42" s="886"/>
      <c r="P42" s="841"/>
      <c r="Q42" s="738"/>
      <c r="R42" s="755"/>
      <c r="S42" s="737" t="s">
        <v>628</v>
      </c>
      <c r="T42" s="737" t="s">
        <v>498</v>
      </c>
      <c r="U42" s="738">
        <v>2</v>
      </c>
      <c r="V42" s="739">
        <v>950</v>
      </c>
      <c r="W42" s="881" t="s">
        <v>629</v>
      </c>
      <c r="X42" s="882"/>
      <c r="Y42" s="882"/>
      <c r="Z42" s="882"/>
      <c r="AA42" s="882"/>
      <c r="AB42" s="883"/>
      <c r="AC42" s="860"/>
      <c r="AF42" s="758"/>
    </row>
    <row r="43" spans="1:32" s="752" customFormat="1" ht="11.1" customHeight="1">
      <c r="A43" s="734" t="s">
        <v>630</v>
      </c>
      <c r="B43" s="755" t="s">
        <v>580</v>
      </c>
      <c r="C43" s="755"/>
      <c r="D43" s="748"/>
      <c r="E43" s="737"/>
      <c r="F43" s="738">
        <v>25</v>
      </c>
      <c r="G43" s="748">
        <v>26414.080000000002</v>
      </c>
      <c r="H43" s="788"/>
      <c r="I43" s="797"/>
      <c r="J43" s="755" t="s">
        <v>557</v>
      </c>
      <c r="K43" s="742">
        <v>150000</v>
      </c>
      <c r="L43" s="743" t="s">
        <v>498</v>
      </c>
      <c r="M43" s="738">
        <v>2</v>
      </c>
      <c r="N43" s="812"/>
      <c r="O43" s="886"/>
      <c r="P43" s="841"/>
      <c r="Q43" s="738" t="s">
        <v>631</v>
      </c>
      <c r="R43" s="755"/>
      <c r="S43" s="737" t="s">
        <v>632</v>
      </c>
      <c r="T43" s="737" t="s">
        <v>498</v>
      </c>
      <c r="U43" s="738">
        <v>4</v>
      </c>
      <c r="V43" s="739">
        <v>390</v>
      </c>
      <c r="W43" s="881" t="s">
        <v>633</v>
      </c>
      <c r="AB43" s="817"/>
      <c r="AF43" s="758"/>
    </row>
    <row r="44" spans="1:32" s="752" customFormat="1" ht="11.1" customHeight="1">
      <c r="A44" s="793" t="s">
        <v>634</v>
      </c>
      <c r="B44" s="748" t="s">
        <v>191</v>
      </c>
      <c r="C44" s="755"/>
      <c r="D44" s="748"/>
      <c r="E44" s="737"/>
      <c r="F44" s="738">
        <v>4</v>
      </c>
      <c r="G44" s="748">
        <v>32800</v>
      </c>
      <c r="H44" s="887"/>
      <c r="I44" s="888"/>
      <c r="J44" s="777" t="s">
        <v>557</v>
      </c>
      <c r="K44" s="777">
        <v>298700</v>
      </c>
      <c r="L44" s="889" t="s">
        <v>498</v>
      </c>
      <c r="M44" s="890">
        <v>1</v>
      </c>
      <c r="N44" s="891"/>
      <c r="O44" s="892"/>
      <c r="P44" s="841"/>
      <c r="Q44" s="738" t="s">
        <v>635</v>
      </c>
      <c r="R44" s="755"/>
      <c r="S44" s="737" t="s">
        <v>636</v>
      </c>
      <c r="T44" s="737" t="s">
        <v>498</v>
      </c>
      <c r="U44" s="738">
        <v>7</v>
      </c>
      <c r="V44" s="739">
        <v>2900</v>
      </c>
      <c r="W44" s="881" t="s">
        <v>637</v>
      </c>
      <c r="AB44" s="817"/>
      <c r="AF44" s="758"/>
    </row>
    <row r="45" spans="1:32" s="752" customFormat="1" ht="11.1" customHeight="1">
      <c r="A45" s="793" t="s">
        <v>638</v>
      </c>
      <c r="B45" s="787" t="s">
        <v>203</v>
      </c>
      <c r="C45" s="755"/>
      <c r="D45" s="748"/>
      <c r="E45" s="737"/>
      <c r="F45" s="738">
        <v>4</v>
      </c>
      <c r="G45" s="748">
        <v>50440</v>
      </c>
      <c r="H45" s="893" t="s">
        <v>554</v>
      </c>
      <c r="I45" s="894" t="s">
        <v>580</v>
      </c>
      <c r="J45" s="895"/>
      <c r="K45" s="896"/>
      <c r="L45" s="737"/>
      <c r="M45" s="744">
        <v>114</v>
      </c>
      <c r="N45" s="812">
        <v>191253.42</v>
      </c>
      <c r="O45" s="748"/>
      <c r="P45" s="841"/>
      <c r="Q45" s="738" t="s">
        <v>639</v>
      </c>
      <c r="R45" s="755"/>
      <c r="S45" s="737" t="s">
        <v>640</v>
      </c>
      <c r="T45" s="737" t="s">
        <v>498</v>
      </c>
      <c r="U45" s="738">
        <v>3</v>
      </c>
      <c r="V45" s="739">
        <v>160</v>
      </c>
      <c r="W45" s="897" t="s">
        <v>641</v>
      </c>
      <c r="AB45" s="817"/>
    </row>
    <row r="46" spans="1:32" s="752" customFormat="1" ht="11.1" customHeight="1">
      <c r="A46" s="793"/>
      <c r="B46" s="787" t="s">
        <v>642</v>
      </c>
      <c r="C46" s="755"/>
      <c r="D46" s="748">
        <v>75000</v>
      </c>
      <c r="E46" s="737" t="s">
        <v>498</v>
      </c>
      <c r="F46" s="738">
        <v>2</v>
      </c>
      <c r="G46" s="748">
        <v>150000</v>
      </c>
      <c r="H46" s="893" t="s">
        <v>558</v>
      </c>
      <c r="I46" s="898" t="s">
        <v>191</v>
      </c>
      <c r="J46" s="741"/>
      <c r="K46" s="742"/>
      <c r="L46" s="737"/>
      <c r="M46" s="744">
        <v>1</v>
      </c>
      <c r="N46" s="812">
        <v>3000</v>
      </c>
      <c r="O46" s="748"/>
      <c r="P46" s="841"/>
      <c r="Q46" s="738" t="s">
        <v>643</v>
      </c>
      <c r="R46" s="755"/>
      <c r="S46" s="748">
        <v>100</v>
      </c>
      <c r="T46" s="737" t="s">
        <v>498</v>
      </c>
      <c r="U46" s="738">
        <v>3</v>
      </c>
      <c r="V46" s="739">
        <v>300</v>
      </c>
      <c r="W46" s="897" t="s">
        <v>644</v>
      </c>
      <c r="AB46" s="817"/>
    </row>
    <row r="47" spans="1:32" s="752" customFormat="1" ht="11.1" customHeight="1">
      <c r="A47" s="793"/>
      <c r="B47" s="899" t="s">
        <v>645</v>
      </c>
      <c r="C47" s="755"/>
      <c r="D47" s="748">
        <v>40000</v>
      </c>
      <c r="E47" s="737" t="s">
        <v>498</v>
      </c>
      <c r="F47" s="738">
        <v>2</v>
      </c>
      <c r="G47" s="748">
        <v>80000</v>
      </c>
      <c r="H47" s="893" t="s">
        <v>562</v>
      </c>
      <c r="I47" s="732" t="s">
        <v>203</v>
      </c>
      <c r="J47" s="741"/>
      <c r="K47" s="742"/>
      <c r="L47" s="737"/>
      <c r="M47" s="744">
        <v>10</v>
      </c>
      <c r="N47" s="812">
        <v>102250</v>
      </c>
      <c r="O47" s="742"/>
      <c r="P47" s="841"/>
      <c r="Q47" s="854" t="s">
        <v>646</v>
      </c>
      <c r="R47" s="755"/>
      <c r="S47" s="737" t="s">
        <v>647</v>
      </c>
      <c r="T47" s="737" t="s">
        <v>498</v>
      </c>
      <c r="U47" s="738">
        <v>3</v>
      </c>
      <c r="V47" s="739">
        <v>700</v>
      </c>
      <c r="W47" s="897" t="s">
        <v>648</v>
      </c>
      <c r="AB47" s="817"/>
    </row>
    <row r="48" spans="1:32" s="752" customFormat="1" ht="11.1" customHeight="1">
      <c r="A48" s="900"/>
      <c r="B48" s="899"/>
      <c r="C48" s="901"/>
      <c r="D48" s="777"/>
      <c r="E48" s="889"/>
      <c r="F48" s="890"/>
      <c r="G48" s="902"/>
      <c r="H48" s="903"/>
      <c r="I48" s="732"/>
      <c r="J48" s="904"/>
      <c r="K48" s="905"/>
      <c r="L48" s="737"/>
      <c r="M48" s="744"/>
      <c r="N48" s="812"/>
      <c r="O48" s="742"/>
      <c r="P48" s="753" t="s">
        <v>541</v>
      </c>
      <c r="Q48" s="854" t="s">
        <v>649</v>
      </c>
      <c r="R48" s="755"/>
      <c r="S48" s="748">
        <v>150</v>
      </c>
      <c r="T48" s="737" t="s">
        <v>498</v>
      </c>
      <c r="U48" s="738">
        <v>3</v>
      </c>
      <c r="V48" s="739">
        <v>450</v>
      </c>
      <c r="W48" s="897" t="s">
        <v>650</v>
      </c>
      <c r="AB48" s="817"/>
    </row>
    <row r="49" spans="1:29" s="725" customFormat="1" ht="11.1" customHeight="1">
      <c r="A49" s="789" t="s">
        <v>506</v>
      </c>
      <c r="B49" s="762" t="s">
        <v>436</v>
      </c>
      <c r="C49" s="762"/>
      <c r="D49" s="763"/>
      <c r="E49" s="764"/>
      <c r="F49" s="765">
        <v>1</v>
      </c>
      <c r="G49" s="824">
        <v>10000</v>
      </c>
      <c r="H49" s="825" t="s">
        <v>568</v>
      </c>
      <c r="I49" s="826"/>
      <c r="J49" s="800"/>
      <c r="K49" s="801">
        <v>157</v>
      </c>
      <c r="L49" s="802"/>
      <c r="M49" s="803" t="s">
        <v>549</v>
      </c>
      <c r="N49" s="830">
        <v>9708403.4199999999</v>
      </c>
      <c r="O49" s="742"/>
      <c r="P49" s="753"/>
      <c r="Q49" s="854" t="s">
        <v>651</v>
      </c>
      <c r="R49" s="755"/>
      <c r="S49" s="748">
        <v>80</v>
      </c>
      <c r="T49" s="737" t="s">
        <v>498</v>
      </c>
      <c r="U49" s="738">
        <v>3</v>
      </c>
      <c r="V49" s="739">
        <v>240</v>
      </c>
      <c r="W49" s="897" t="s">
        <v>652</v>
      </c>
      <c r="X49" s="752"/>
      <c r="Y49" s="752"/>
      <c r="Z49" s="752"/>
      <c r="AA49" s="752"/>
      <c r="AB49" s="817"/>
    </row>
    <row r="50" spans="1:29" s="725" customFormat="1" ht="11.1" customHeight="1">
      <c r="A50" s="906" t="s">
        <v>318</v>
      </c>
      <c r="B50" s="901"/>
      <c r="C50" s="901"/>
      <c r="D50" s="777"/>
      <c r="E50" s="889"/>
      <c r="F50" s="890"/>
      <c r="G50" s="902"/>
      <c r="H50" s="716" t="s">
        <v>495</v>
      </c>
      <c r="I50" s="714"/>
      <c r="J50" s="714"/>
      <c r="K50" s="714"/>
      <c r="L50" s="714"/>
      <c r="M50" s="714"/>
      <c r="N50" s="907">
        <v>0.19832550932577839</v>
      </c>
      <c r="O50" s="742"/>
      <c r="P50" s="753"/>
      <c r="Q50" s="854" t="s">
        <v>653</v>
      </c>
      <c r="R50" s="755"/>
      <c r="S50" s="737" t="s">
        <v>654</v>
      </c>
      <c r="T50" s="737" t="s">
        <v>498</v>
      </c>
      <c r="U50" s="738">
        <v>8</v>
      </c>
      <c r="V50" s="739">
        <v>15000</v>
      </c>
      <c r="W50" s="897" t="s">
        <v>655</v>
      </c>
      <c r="X50" s="752"/>
      <c r="Y50" s="752"/>
      <c r="Z50" s="752"/>
      <c r="AA50" s="752"/>
      <c r="AB50" s="817"/>
    </row>
    <row r="51" spans="1:29" s="752" customFormat="1" ht="11.1" customHeight="1">
      <c r="A51" s="798" t="s">
        <v>568</v>
      </c>
      <c r="B51" s="826"/>
      <c r="C51" s="800"/>
      <c r="D51" s="801">
        <v>80</v>
      </c>
      <c r="E51" s="802"/>
      <c r="F51" s="803" t="s">
        <v>549</v>
      </c>
      <c r="G51" s="800">
        <v>10780766.08</v>
      </c>
      <c r="H51" s="908"/>
      <c r="I51" s="744" t="s">
        <v>656</v>
      </c>
      <c r="J51" s="755"/>
      <c r="K51" s="748">
        <v>650000</v>
      </c>
      <c r="L51" s="748" t="s">
        <v>498</v>
      </c>
      <c r="M51" s="738">
        <v>1</v>
      </c>
      <c r="N51" s="739">
        <v>2550000</v>
      </c>
      <c r="O51" s="909"/>
      <c r="P51" s="910"/>
      <c r="Q51" s="854" t="s">
        <v>657</v>
      </c>
      <c r="R51" s="755"/>
      <c r="S51" s="737">
        <v>150</v>
      </c>
      <c r="T51" s="737" t="s">
        <v>498</v>
      </c>
      <c r="U51" s="738">
        <v>3</v>
      </c>
      <c r="V51" s="739">
        <v>450</v>
      </c>
      <c r="W51" s="897" t="s">
        <v>658</v>
      </c>
      <c r="AB51" s="817"/>
      <c r="AC51" s="911"/>
    </row>
    <row r="52" spans="1:29" s="752" customFormat="1" ht="11.1" customHeight="1">
      <c r="A52" s="713" t="s">
        <v>659</v>
      </c>
      <c r="B52" s="714"/>
      <c r="C52" s="714"/>
      <c r="D52" s="714"/>
      <c r="E52" s="714"/>
      <c r="F52" s="714"/>
      <c r="G52" s="715">
        <v>6.6282285053939211E-2</v>
      </c>
      <c r="H52" s="767"/>
      <c r="I52" s="738"/>
      <c r="J52" s="755"/>
      <c r="K52" s="748">
        <v>950000</v>
      </c>
      <c r="L52" s="748" t="s">
        <v>498</v>
      </c>
      <c r="M52" s="738">
        <v>2</v>
      </c>
      <c r="N52" s="739"/>
      <c r="O52" s="886"/>
      <c r="P52" s="910"/>
      <c r="Q52" s="854" t="s">
        <v>660</v>
      </c>
      <c r="R52" s="748"/>
      <c r="S52" s="748">
        <v>80</v>
      </c>
      <c r="T52" s="737" t="s">
        <v>498</v>
      </c>
      <c r="U52" s="738">
        <v>3</v>
      </c>
      <c r="V52" s="739">
        <v>240</v>
      </c>
      <c r="W52" s="897" t="s">
        <v>661</v>
      </c>
      <c r="AB52" s="817"/>
    </row>
    <row r="53" spans="1:29" s="752" customFormat="1" ht="11.1" customHeight="1">
      <c r="A53" s="791" t="s">
        <v>506</v>
      </c>
      <c r="B53" s="754" t="s">
        <v>662</v>
      </c>
      <c r="C53" s="755"/>
      <c r="D53" s="748">
        <v>500000</v>
      </c>
      <c r="E53" s="737" t="s">
        <v>498</v>
      </c>
      <c r="F53" s="738">
        <v>7</v>
      </c>
      <c r="G53" s="912">
        <v>3500000</v>
      </c>
      <c r="H53" s="767" t="s">
        <v>663</v>
      </c>
      <c r="I53" s="738" t="s">
        <v>664</v>
      </c>
      <c r="J53" s="755"/>
      <c r="K53" s="748">
        <v>1000000</v>
      </c>
      <c r="L53" s="748" t="s">
        <v>498</v>
      </c>
      <c r="M53" s="738">
        <v>2</v>
      </c>
      <c r="N53" s="739">
        <v>4800000</v>
      </c>
      <c r="O53" s="751"/>
      <c r="P53" s="753"/>
      <c r="Q53" s="854" t="s">
        <v>665</v>
      </c>
      <c r="R53" s="732"/>
      <c r="S53" s="913" t="s">
        <v>666</v>
      </c>
      <c r="T53" s="737" t="s">
        <v>498</v>
      </c>
      <c r="U53" s="738">
        <v>4</v>
      </c>
      <c r="V53" s="739">
        <v>1600</v>
      </c>
      <c r="W53" s="897" t="s">
        <v>667</v>
      </c>
      <c r="AB53" s="817"/>
    </row>
    <row r="54" spans="1:29" s="752" customFormat="1" ht="11.1" customHeight="1">
      <c r="A54" s="791"/>
      <c r="B54" s="754"/>
      <c r="C54" s="755"/>
      <c r="D54" s="748">
        <v>1050000</v>
      </c>
      <c r="E54" s="737" t="s">
        <v>498</v>
      </c>
      <c r="F54" s="738">
        <v>2</v>
      </c>
      <c r="G54" s="876">
        <v>2100000</v>
      </c>
      <c r="H54" s="767"/>
      <c r="I54" s="738" t="s">
        <v>668</v>
      </c>
      <c r="J54" s="755"/>
      <c r="K54" s="748">
        <v>1400000</v>
      </c>
      <c r="L54" s="748" t="s">
        <v>498</v>
      </c>
      <c r="M54" s="738">
        <v>2</v>
      </c>
      <c r="N54" s="739"/>
      <c r="O54" s="751"/>
      <c r="P54" s="753" t="s">
        <v>471</v>
      </c>
      <c r="Q54" s="854" t="s">
        <v>669</v>
      </c>
      <c r="R54" s="755"/>
      <c r="S54" s="748">
        <v>80</v>
      </c>
      <c r="T54" s="737" t="s">
        <v>498</v>
      </c>
      <c r="U54" s="738">
        <v>3</v>
      </c>
      <c r="V54" s="759">
        <v>240</v>
      </c>
      <c r="W54" s="897" t="s">
        <v>670</v>
      </c>
      <c r="AB54" s="817"/>
    </row>
    <row r="55" spans="1:29" s="752" customFormat="1" ht="11.1" customHeight="1">
      <c r="A55" s="906" t="s">
        <v>516</v>
      </c>
      <c r="B55" s="914"/>
      <c r="C55" s="901"/>
      <c r="D55" s="777"/>
      <c r="E55" s="889"/>
      <c r="F55" s="890"/>
      <c r="G55" s="777"/>
      <c r="H55" s="767" t="s">
        <v>380</v>
      </c>
      <c r="I55" s="738" t="s">
        <v>671</v>
      </c>
      <c r="J55" s="755"/>
      <c r="K55" s="748">
        <v>700000</v>
      </c>
      <c r="L55" s="748" t="s">
        <v>498</v>
      </c>
      <c r="M55" s="738">
        <v>3</v>
      </c>
      <c r="N55" s="739">
        <v>2100000</v>
      </c>
      <c r="O55" s="751"/>
      <c r="P55" s="753"/>
      <c r="Q55" s="854" t="s">
        <v>672</v>
      </c>
      <c r="R55" s="755"/>
      <c r="S55" s="737" t="s">
        <v>673</v>
      </c>
      <c r="T55" s="737" t="s">
        <v>498</v>
      </c>
      <c r="U55" s="738">
        <v>3</v>
      </c>
      <c r="V55" s="759">
        <v>160</v>
      </c>
      <c r="W55" s="897" t="s">
        <v>674</v>
      </c>
      <c r="AB55" s="817"/>
    </row>
    <row r="56" spans="1:29" s="752" customFormat="1" ht="11.1" customHeight="1">
      <c r="A56" s="791"/>
      <c r="B56" s="754" t="s">
        <v>675</v>
      </c>
      <c r="C56" s="755" t="s">
        <v>521</v>
      </c>
      <c r="D56" s="748">
        <v>286300</v>
      </c>
      <c r="E56" s="737" t="s">
        <v>498</v>
      </c>
      <c r="F56" s="738">
        <v>2</v>
      </c>
      <c r="G56" s="748">
        <v>868500</v>
      </c>
      <c r="H56" s="767"/>
      <c r="I56" s="738" t="s">
        <v>676</v>
      </c>
      <c r="J56" s="755"/>
      <c r="K56" s="748">
        <v>1000000</v>
      </c>
      <c r="L56" s="748" t="s">
        <v>498</v>
      </c>
      <c r="M56" s="738">
        <v>2</v>
      </c>
      <c r="N56" s="739">
        <v>2000000</v>
      </c>
      <c r="O56" s="751"/>
      <c r="P56" s="910"/>
      <c r="Q56" s="854" t="s">
        <v>677</v>
      </c>
      <c r="R56" s="732"/>
      <c r="S56" s="737" t="s">
        <v>678</v>
      </c>
      <c r="T56" s="737" t="s">
        <v>498</v>
      </c>
      <c r="U56" s="738">
        <v>3</v>
      </c>
      <c r="V56" s="739">
        <v>600</v>
      </c>
      <c r="W56" s="897" t="s">
        <v>679</v>
      </c>
      <c r="AB56" s="817"/>
    </row>
    <row r="57" spans="1:29" s="752" customFormat="1" ht="11.1" customHeight="1">
      <c r="A57" s="791" t="s">
        <v>533</v>
      </c>
      <c r="B57" s="754"/>
      <c r="C57" s="755" t="s">
        <v>525</v>
      </c>
      <c r="D57" s="748">
        <v>295900</v>
      </c>
      <c r="E57" s="737" t="s">
        <v>498</v>
      </c>
      <c r="F57" s="738">
        <v>1</v>
      </c>
      <c r="G57" s="748"/>
      <c r="H57" s="767" t="s">
        <v>516</v>
      </c>
      <c r="I57" s="738" t="s">
        <v>680</v>
      </c>
      <c r="J57" s="755"/>
      <c r="K57" s="748">
        <v>950000</v>
      </c>
      <c r="L57" s="748" t="s">
        <v>498</v>
      </c>
      <c r="M57" s="738">
        <v>2</v>
      </c>
      <c r="N57" s="739">
        <v>5900000</v>
      </c>
      <c r="O57" s="751"/>
      <c r="P57" s="753"/>
      <c r="Q57" s="854" t="s">
        <v>681</v>
      </c>
      <c r="R57" s="725"/>
      <c r="S57" s="748">
        <v>800</v>
      </c>
      <c r="T57" s="737" t="s">
        <v>498</v>
      </c>
      <c r="U57" s="738">
        <v>3</v>
      </c>
      <c r="V57" s="739">
        <v>2400</v>
      </c>
      <c r="W57" s="897" t="s">
        <v>682</v>
      </c>
      <c r="AB57" s="817"/>
    </row>
    <row r="58" spans="1:29" s="752" customFormat="1" ht="11.1" customHeight="1">
      <c r="A58" s="791"/>
      <c r="B58" s="754" t="s">
        <v>683</v>
      </c>
      <c r="C58" s="755" t="s">
        <v>521</v>
      </c>
      <c r="D58" s="748">
        <v>150000</v>
      </c>
      <c r="E58" s="737" t="s">
        <v>498</v>
      </c>
      <c r="F58" s="738">
        <v>8</v>
      </c>
      <c r="G58" s="819">
        <v>1800000</v>
      </c>
      <c r="H58" s="767"/>
      <c r="I58" s="738"/>
      <c r="J58" s="755"/>
      <c r="K58" s="748">
        <v>1000000</v>
      </c>
      <c r="L58" s="748" t="s">
        <v>498</v>
      </c>
      <c r="M58" s="738">
        <v>4</v>
      </c>
      <c r="N58" s="739"/>
      <c r="O58" s="732"/>
      <c r="P58" s="753"/>
      <c r="Q58" s="854" t="s">
        <v>684</v>
      </c>
      <c r="R58" s="725"/>
      <c r="S58" s="748">
        <v>100</v>
      </c>
      <c r="T58" s="737" t="s">
        <v>498</v>
      </c>
      <c r="U58" s="738">
        <v>3</v>
      </c>
      <c r="V58" s="739">
        <v>300</v>
      </c>
      <c r="W58" s="897" t="s">
        <v>685</v>
      </c>
      <c r="AB58" s="817"/>
    </row>
    <row r="59" spans="1:29" s="752" customFormat="1" ht="11.1" customHeight="1">
      <c r="A59" s="915"/>
      <c r="B59" s="754"/>
      <c r="C59" s="755" t="s">
        <v>525</v>
      </c>
      <c r="D59" s="748">
        <v>75000</v>
      </c>
      <c r="E59" s="737" t="s">
        <v>498</v>
      </c>
      <c r="F59" s="738">
        <v>8</v>
      </c>
      <c r="G59" s="819"/>
      <c r="H59" s="788"/>
      <c r="I59" s="738" t="s">
        <v>686</v>
      </c>
      <c r="J59" s="755"/>
      <c r="K59" s="748">
        <v>950000</v>
      </c>
      <c r="L59" s="748" t="s">
        <v>498</v>
      </c>
      <c r="M59" s="738">
        <v>2</v>
      </c>
      <c r="N59" s="739">
        <v>5900000</v>
      </c>
      <c r="O59" s="732"/>
      <c r="P59" s="753"/>
      <c r="Q59" s="735" t="s">
        <v>687</v>
      </c>
      <c r="R59" s="755"/>
      <c r="S59" s="913">
        <v>100</v>
      </c>
      <c r="T59" s="737" t="s">
        <v>498</v>
      </c>
      <c r="U59" s="738">
        <v>3</v>
      </c>
      <c r="V59" s="739">
        <v>300</v>
      </c>
      <c r="W59" s="897" t="s">
        <v>688</v>
      </c>
      <c r="AB59" s="817"/>
    </row>
    <row r="60" spans="1:29" s="752" customFormat="1" ht="11.1" customHeight="1">
      <c r="A60" s="791" t="s">
        <v>543</v>
      </c>
      <c r="B60" s="754" t="s">
        <v>689</v>
      </c>
      <c r="C60" s="755" t="s">
        <v>521</v>
      </c>
      <c r="D60" s="748">
        <v>233300</v>
      </c>
      <c r="E60" s="737" t="s">
        <v>498</v>
      </c>
      <c r="F60" s="738">
        <v>2</v>
      </c>
      <c r="G60" s="748">
        <v>718400</v>
      </c>
      <c r="H60" s="788"/>
      <c r="I60" s="738"/>
      <c r="J60" s="755"/>
      <c r="K60" s="748">
        <v>1000000</v>
      </c>
      <c r="L60" s="748" t="s">
        <v>498</v>
      </c>
      <c r="M60" s="738">
        <v>4</v>
      </c>
      <c r="N60" s="739"/>
      <c r="O60" s="751"/>
      <c r="P60" s="916"/>
      <c r="Q60" s="854" t="s">
        <v>690</v>
      </c>
      <c r="R60" s="732"/>
      <c r="S60" s="737" t="s">
        <v>673</v>
      </c>
      <c r="T60" s="737" t="s">
        <v>498</v>
      </c>
      <c r="U60" s="738">
        <v>3</v>
      </c>
      <c r="V60" s="739">
        <v>160</v>
      </c>
      <c r="W60" s="897" t="s">
        <v>691</v>
      </c>
      <c r="AB60" s="817"/>
    </row>
    <row r="61" spans="1:29" s="752" customFormat="1" ht="11.1" customHeight="1">
      <c r="A61" s="915"/>
      <c r="B61" s="754"/>
      <c r="C61" s="755" t="s">
        <v>525</v>
      </c>
      <c r="D61" s="748">
        <v>251800</v>
      </c>
      <c r="E61" s="737" t="s">
        <v>498</v>
      </c>
      <c r="F61" s="738">
        <v>1</v>
      </c>
      <c r="G61" s="748"/>
      <c r="H61" s="788"/>
      <c r="I61" s="754" t="s">
        <v>692</v>
      </c>
      <c r="J61" s="755"/>
      <c r="K61" s="748">
        <v>1400000</v>
      </c>
      <c r="L61" s="748" t="s">
        <v>693</v>
      </c>
      <c r="M61" s="738">
        <v>2</v>
      </c>
      <c r="N61" s="759">
        <v>2800000</v>
      </c>
      <c r="O61" s="751"/>
      <c r="P61" s="917"/>
      <c r="Q61" s="735" t="s">
        <v>694</v>
      </c>
      <c r="R61" s="725"/>
      <c r="S61" s="743">
        <v>80</v>
      </c>
      <c r="T61" s="737" t="s">
        <v>498</v>
      </c>
      <c r="U61" s="744">
        <v>3</v>
      </c>
      <c r="V61" s="812">
        <v>240</v>
      </c>
      <c r="W61" s="897" t="s">
        <v>695</v>
      </c>
      <c r="AB61" s="817"/>
    </row>
    <row r="62" spans="1:29" s="752" customFormat="1" ht="11.1" customHeight="1">
      <c r="A62" s="918"/>
      <c r="B62" s="754" t="s">
        <v>696</v>
      </c>
      <c r="C62" s="755" t="s">
        <v>536</v>
      </c>
      <c r="D62" s="748">
        <v>229620</v>
      </c>
      <c r="E62" s="737" t="s">
        <v>498</v>
      </c>
      <c r="F62" s="738">
        <v>1</v>
      </c>
      <c r="G62" s="819">
        <v>350460</v>
      </c>
      <c r="H62" s="919"/>
      <c r="I62" s="914"/>
      <c r="J62" s="920"/>
      <c r="K62" s="777"/>
      <c r="L62" s="778"/>
      <c r="M62" s="890"/>
      <c r="N62" s="921"/>
      <c r="O62" s="751"/>
      <c r="P62" s="916"/>
      <c r="Q62" s="735" t="s">
        <v>697</v>
      </c>
      <c r="R62" s="725"/>
      <c r="S62" s="743" t="s">
        <v>698</v>
      </c>
      <c r="T62" s="737" t="s">
        <v>498</v>
      </c>
      <c r="U62" s="744">
        <v>6</v>
      </c>
      <c r="V62" s="812">
        <v>1950</v>
      </c>
      <c r="W62" s="897" t="s">
        <v>699</v>
      </c>
      <c r="AB62" s="817"/>
    </row>
    <row r="63" spans="1:29" s="725" customFormat="1" ht="11.1" customHeight="1">
      <c r="A63" s="918"/>
      <c r="B63" s="754"/>
      <c r="C63" s="755" t="s">
        <v>557</v>
      </c>
      <c r="D63" s="748">
        <v>120840</v>
      </c>
      <c r="E63" s="737" t="s">
        <v>498</v>
      </c>
      <c r="F63" s="738">
        <v>1</v>
      </c>
      <c r="G63" s="819"/>
      <c r="H63" s="922"/>
      <c r="I63" s="923" t="s">
        <v>700</v>
      </c>
      <c r="J63" s="924"/>
      <c r="K63" s="925">
        <v>26</v>
      </c>
      <c r="L63" s="926"/>
      <c r="M63" s="821" t="s">
        <v>549</v>
      </c>
      <c r="N63" s="927">
        <v>26050000</v>
      </c>
      <c r="O63" s="751"/>
      <c r="P63" s="916"/>
      <c r="Q63" s="735" t="s">
        <v>701</v>
      </c>
      <c r="R63" s="820"/>
      <c r="S63" s="743">
        <v>250</v>
      </c>
      <c r="T63" s="737" t="s">
        <v>498</v>
      </c>
      <c r="U63" s="744">
        <v>3</v>
      </c>
      <c r="V63" s="812">
        <v>750</v>
      </c>
      <c r="W63" s="897" t="s">
        <v>702</v>
      </c>
      <c r="X63" s="752"/>
      <c r="Y63" s="752"/>
      <c r="Z63" s="752"/>
      <c r="AA63" s="752"/>
      <c r="AB63" s="817"/>
    </row>
    <row r="64" spans="1:29" s="725" customFormat="1" ht="11.1" customHeight="1">
      <c r="A64" s="918"/>
      <c r="B64" s="754" t="s">
        <v>703</v>
      </c>
      <c r="C64" s="755" t="s">
        <v>521</v>
      </c>
      <c r="D64" s="748">
        <v>337500</v>
      </c>
      <c r="E64" s="737" t="s">
        <v>498</v>
      </c>
      <c r="F64" s="738">
        <v>1</v>
      </c>
      <c r="G64" s="819">
        <v>501400</v>
      </c>
      <c r="H64" s="928"/>
      <c r="I64" s="748" t="s">
        <v>704</v>
      </c>
      <c r="J64" s="898"/>
      <c r="K64" s="748">
        <v>300000</v>
      </c>
      <c r="L64" s="743" t="s">
        <v>498</v>
      </c>
      <c r="M64" s="738">
        <v>2</v>
      </c>
      <c r="N64" s="929">
        <v>600000</v>
      </c>
      <c r="O64" s="751"/>
      <c r="P64" s="917"/>
      <c r="Q64" s="735" t="s">
        <v>705</v>
      </c>
      <c r="R64" s="930"/>
      <c r="S64" s="743">
        <v>80</v>
      </c>
      <c r="T64" s="737" t="s">
        <v>498</v>
      </c>
      <c r="U64" s="744">
        <v>3</v>
      </c>
      <c r="V64" s="812">
        <v>240</v>
      </c>
      <c r="W64" s="897" t="s">
        <v>706</v>
      </c>
      <c r="X64" s="752"/>
      <c r="Y64" s="752"/>
      <c r="Z64" s="752"/>
      <c r="AA64" s="752"/>
      <c r="AB64" s="817"/>
    </row>
    <row r="65" spans="1:34" s="752" customFormat="1" ht="11.1" customHeight="1">
      <c r="A65" s="734"/>
      <c r="B65" s="738"/>
      <c r="C65" s="755" t="s">
        <v>525</v>
      </c>
      <c r="D65" s="748">
        <v>163900</v>
      </c>
      <c r="E65" s="737" t="s">
        <v>498</v>
      </c>
      <c r="F65" s="738">
        <v>1</v>
      </c>
      <c r="G65" s="876"/>
      <c r="H65" s="767"/>
      <c r="I65" s="748" t="s">
        <v>707</v>
      </c>
      <c r="J65" s="898"/>
      <c r="K65" s="748">
        <v>250000</v>
      </c>
      <c r="L65" s="743" t="s">
        <v>498</v>
      </c>
      <c r="M65" s="738">
        <v>4</v>
      </c>
      <c r="N65" s="929">
        <v>1000000</v>
      </c>
      <c r="O65" s="751"/>
      <c r="P65" s="917"/>
      <c r="Q65" s="894" t="s">
        <v>708</v>
      </c>
      <c r="R65" s="930"/>
      <c r="S65" s="743" t="s">
        <v>673</v>
      </c>
      <c r="T65" s="737" t="s">
        <v>498</v>
      </c>
      <c r="U65" s="744">
        <v>3</v>
      </c>
      <c r="V65" s="812">
        <v>160</v>
      </c>
      <c r="W65" s="897" t="s">
        <v>709</v>
      </c>
      <c r="AB65" s="817"/>
    </row>
    <row r="66" spans="1:34" s="725" customFormat="1" ht="11.1" customHeight="1">
      <c r="A66" s="734"/>
      <c r="B66" s="931"/>
      <c r="C66" s="755"/>
      <c r="D66" s="748"/>
      <c r="E66" s="737"/>
      <c r="F66" s="738"/>
      <c r="G66" s="876"/>
      <c r="H66" s="767" t="s">
        <v>710</v>
      </c>
      <c r="I66" s="748" t="s">
        <v>711</v>
      </c>
      <c r="J66" s="755"/>
      <c r="K66" s="748">
        <v>300000</v>
      </c>
      <c r="L66" s="743" t="s">
        <v>498</v>
      </c>
      <c r="M66" s="738">
        <v>2</v>
      </c>
      <c r="N66" s="929">
        <v>600000</v>
      </c>
      <c r="O66" s="751"/>
      <c r="P66" s="916"/>
      <c r="Q66" s="735" t="s">
        <v>712</v>
      </c>
      <c r="R66" s="820"/>
      <c r="S66" s="743" t="s">
        <v>713</v>
      </c>
      <c r="T66" s="737" t="s">
        <v>498</v>
      </c>
      <c r="U66" s="738">
        <v>3</v>
      </c>
      <c r="V66" s="739">
        <v>1100</v>
      </c>
      <c r="W66" s="897" t="s">
        <v>714</v>
      </c>
      <c r="X66" s="752"/>
      <c r="Y66" s="752"/>
      <c r="Z66" s="752"/>
      <c r="AA66" s="752"/>
      <c r="AB66" s="817"/>
    </row>
    <row r="67" spans="1:34" s="725" customFormat="1" ht="11.1" customHeight="1">
      <c r="A67" s="932"/>
      <c r="B67" s="761" t="s">
        <v>715</v>
      </c>
      <c r="C67" s="762" t="s">
        <v>536</v>
      </c>
      <c r="D67" s="763">
        <v>210640</v>
      </c>
      <c r="E67" s="764" t="s">
        <v>498</v>
      </c>
      <c r="F67" s="765">
        <v>1</v>
      </c>
      <c r="G67" s="824">
        <v>346330</v>
      </c>
      <c r="H67" s="928"/>
      <c r="I67" s="754" t="s">
        <v>716</v>
      </c>
      <c r="J67" s="933"/>
      <c r="K67" s="748">
        <v>300000</v>
      </c>
      <c r="L67" s="743" t="s">
        <v>498</v>
      </c>
      <c r="M67" s="738">
        <v>2</v>
      </c>
      <c r="N67" s="929">
        <v>600000</v>
      </c>
      <c r="O67" s="751"/>
      <c r="P67" s="917"/>
      <c r="Q67" s="735"/>
      <c r="R67" s="930"/>
      <c r="S67" s="743">
        <v>150</v>
      </c>
      <c r="T67" s="737" t="s">
        <v>498</v>
      </c>
      <c r="U67" s="738">
        <v>1</v>
      </c>
      <c r="V67" s="739">
        <v>150</v>
      </c>
      <c r="W67" s="897" t="s">
        <v>717</v>
      </c>
      <c r="X67" s="752"/>
      <c r="Y67" s="752"/>
      <c r="Z67" s="752"/>
      <c r="AA67" s="752"/>
      <c r="AB67" s="817"/>
    </row>
    <row r="68" spans="1:34" s="725" customFormat="1" ht="11.1" customHeight="1">
      <c r="A68" s="734" t="s">
        <v>630</v>
      </c>
      <c r="B68" s="738"/>
      <c r="C68" s="755" t="s">
        <v>557</v>
      </c>
      <c r="D68" s="748">
        <v>135690</v>
      </c>
      <c r="E68" s="737" t="s">
        <v>498</v>
      </c>
      <c r="F68" s="738">
        <v>1</v>
      </c>
      <c r="G68" s="876"/>
      <c r="H68" s="896"/>
      <c r="I68" s="754" t="s">
        <v>718</v>
      </c>
      <c r="J68" s="732"/>
      <c r="K68" s="748">
        <v>350000</v>
      </c>
      <c r="L68" s="743" t="s">
        <v>498</v>
      </c>
      <c r="M68" s="738">
        <v>2</v>
      </c>
      <c r="N68" s="929">
        <v>700000</v>
      </c>
      <c r="O68" s="751"/>
      <c r="P68" s="917"/>
      <c r="Q68" s="735" t="s">
        <v>719</v>
      </c>
      <c r="R68" s="930"/>
      <c r="S68" s="743">
        <v>80</v>
      </c>
      <c r="T68" s="737" t="s">
        <v>498</v>
      </c>
      <c r="U68" s="738">
        <v>3</v>
      </c>
      <c r="V68" s="739">
        <v>240</v>
      </c>
      <c r="W68" s="897" t="s">
        <v>720</v>
      </c>
      <c r="X68" s="934"/>
      <c r="Y68" s="934"/>
      <c r="Z68" s="934"/>
      <c r="AA68" s="934"/>
      <c r="AB68" s="935"/>
    </row>
    <row r="69" spans="1:34" s="725" customFormat="1" ht="11.1" customHeight="1">
      <c r="A69" s="734" t="s">
        <v>634</v>
      </c>
      <c r="B69" s="738" t="s">
        <v>721</v>
      </c>
      <c r="C69" s="755"/>
      <c r="D69" s="748"/>
      <c r="E69" s="737"/>
      <c r="F69" s="738">
        <v>2</v>
      </c>
      <c r="G69" s="876">
        <v>7200</v>
      </c>
      <c r="H69" s="936" t="s">
        <v>517</v>
      </c>
      <c r="I69" s="754" t="s">
        <v>722</v>
      </c>
      <c r="J69" s="898"/>
      <c r="K69" s="748">
        <v>200000</v>
      </c>
      <c r="L69" s="743" t="s">
        <v>498</v>
      </c>
      <c r="M69" s="738">
        <v>2</v>
      </c>
      <c r="N69" s="929">
        <v>400000</v>
      </c>
      <c r="O69" s="751"/>
      <c r="P69" s="917"/>
      <c r="Q69" s="735" t="s">
        <v>723</v>
      </c>
      <c r="R69" s="820"/>
      <c r="S69" s="743">
        <v>150</v>
      </c>
      <c r="T69" s="737" t="s">
        <v>498</v>
      </c>
      <c r="U69" s="738">
        <v>3</v>
      </c>
      <c r="V69" s="739">
        <v>450</v>
      </c>
      <c r="W69" s="937"/>
      <c r="X69" s="934"/>
      <c r="Y69" s="934"/>
      <c r="Z69" s="934"/>
      <c r="AA69" s="934"/>
      <c r="AB69" s="935"/>
    </row>
    <row r="70" spans="1:34" s="725" customFormat="1" ht="11.1" customHeight="1">
      <c r="A70" s="734" t="s">
        <v>638</v>
      </c>
      <c r="B70" s="931" t="s">
        <v>580</v>
      </c>
      <c r="C70" s="755"/>
      <c r="D70" s="748"/>
      <c r="E70" s="737"/>
      <c r="F70" s="738">
        <v>33</v>
      </c>
      <c r="G70" s="876">
        <v>94558.85</v>
      </c>
      <c r="H70" s="896"/>
      <c r="I70" s="754" t="s">
        <v>724</v>
      </c>
      <c r="J70" s="898"/>
      <c r="K70" s="748">
        <v>400000</v>
      </c>
      <c r="L70" s="743" t="s">
        <v>498</v>
      </c>
      <c r="M70" s="738">
        <v>2</v>
      </c>
      <c r="N70" s="929">
        <v>800000</v>
      </c>
      <c r="O70" s="751"/>
      <c r="P70" s="917"/>
      <c r="Q70" s="894" t="s">
        <v>725</v>
      </c>
      <c r="R70" s="930"/>
      <c r="S70" s="743">
        <v>200</v>
      </c>
      <c r="T70" s="737" t="s">
        <v>498</v>
      </c>
      <c r="U70" s="738">
        <v>3</v>
      </c>
      <c r="V70" s="759">
        <v>600</v>
      </c>
      <c r="W70" s="937"/>
      <c r="X70" s="938"/>
      <c r="Y70" s="938"/>
      <c r="Z70" s="938"/>
      <c r="AA70" s="938"/>
      <c r="AB70" s="939"/>
    </row>
    <row r="71" spans="1:34" s="725" customFormat="1" ht="11.1" customHeight="1">
      <c r="A71" s="834"/>
      <c r="B71" s="790" t="s">
        <v>191</v>
      </c>
      <c r="C71" s="755"/>
      <c r="D71" s="748"/>
      <c r="E71" s="737"/>
      <c r="F71" s="738">
        <v>2</v>
      </c>
      <c r="G71" s="876">
        <v>34000</v>
      </c>
      <c r="H71" s="896"/>
      <c r="I71" s="755"/>
      <c r="J71" s="898"/>
      <c r="K71" s="748"/>
      <c r="L71" s="743"/>
      <c r="M71" s="738"/>
      <c r="N71" s="929"/>
      <c r="O71" s="751"/>
      <c r="P71" s="917"/>
      <c r="Q71" s="894" t="s">
        <v>726</v>
      </c>
      <c r="R71" s="930"/>
      <c r="S71" s="743" t="s">
        <v>727</v>
      </c>
      <c r="T71" s="737" t="s">
        <v>498</v>
      </c>
      <c r="U71" s="738">
        <v>5</v>
      </c>
      <c r="V71" s="759">
        <v>7700</v>
      </c>
      <c r="W71" s="937"/>
      <c r="X71" s="938"/>
      <c r="Y71" s="938"/>
      <c r="Z71" s="938"/>
      <c r="AA71" s="938"/>
      <c r="AB71" s="939"/>
    </row>
    <row r="72" spans="1:34" s="725" customFormat="1" ht="11.1" customHeight="1">
      <c r="A72" s="940"/>
      <c r="B72" s="790" t="s">
        <v>203</v>
      </c>
      <c r="C72" s="941"/>
      <c r="D72" s="942"/>
      <c r="E72" s="942"/>
      <c r="F72" s="890">
        <v>13</v>
      </c>
      <c r="G72" s="876">
        <v>198900</v>
      </c>
      <c r="H72" s="896"/>
      <c r="I72" s="755"/>
      <c r="J72" s="898"/>
      <c r="K72" s="748"/>
      <c r="L72" s="743"/>
      <c r="M72" s="738"/>
      <c r="N72" s="929"/>
      <c r="O72" s="751"/>
      <c r="P72" s="917"/>
      <c r="Q72" s="894" t="s">
        <v>728</v>
      </c>
      <c r="R72" s="930"/>
      <c r="S72" s="743">
        <v>80</v>
      </c>
      <c r="T72" s="737" t="s">
        <v>498</v>
      </c>
      <c r="U72" s="738">
        <v>3</v>
      </c>
      <c r="V72" s="759">
        <v>240</v>
      </c>
      <c r="W72" s="937"/>
      <c r="X72" s="938"/>
      <c r="Y72" s="938"/>
      <c r="Z72" s="938"/>
      <c r="AA72" s="938"/>
      <c r="AB72" s="939"/>
    </row>
    <row r="73" spans="1:34" s="725" customFormat="1" ht="11.1" customHeight="1">
      <c r="A73" s="798" t="s">
        <v>568</v>
      </c>
      <c r="B73" s="826"/>
      <c r="C73" s="800"/>
      <c r="D73" s="801">
        <v>87</v>
      </c>
      <c r="E73" s="802"/>
      <c r="F73" s="803" t="s">
        <v>549</v>
      </c>
      <c r="G73" s="943">
        <v>10519748.85</v>
      </c>
      <c r="H73" s="944"/>
      <c r="I73" s="945" t="s">
        <v>729</v>
      </c>
      <c r="J73" s="945"/>
      <c r="K73" s="801">
        <v>16</v>
      </c>
      <c r="L73" s="829"/>
      <c r="M73" s="946" t="s">
        <v>549</v>
      </c>
      <c r="N73" s="947">
        <v>4700000</v>
      </c>
      <c r="O73" s="948"/>
      <c r="P73" s="917"/>
      <c r="Q73" s="894" t="s">
        <v>730</v>
      </c>
      <c r="R73" s="949"/>
      <c r="S73" s="743">
        <v>80</v>
      </c>
      <c r="T73" s="737" t="s">
        <v>498</v>
      </c>
      <c r="U73" s="738">
        <v>3</v>
      </c>
      <c r="V73" s="759">
        <v>240</v>
      </c>
      <c r="W73" s="950"/>
      <c r="X73" s="951"/>
      <c r="Y73" s="951"/>
      <c r="Z73" s="951"/>
      <c r="AA73" s="951"/>
      <c r="AB73" s="952"/>
      <c r="AH73" s="953"/>
    </row>
    <row r="74" spans="1:34" s="725" customFormat="1" ht="10.35" customHeight="1">
      <c r="A74" s="537"/>
      <c r="B74" s="954"/>
      <c r="C74" s="955"/>
      <c r="D74" s="955"/>
      <c r="E74" s="956"/>
      <c r="F74" s="955"/>
      <c r="G74" s="955"/>
      <c r="H74" s="748"/>
      <c r="I74" s="748"/>
      <c r="J74" s="748"/>
      <c r="K74" s="748"/>
      <c r="L74" s="748"/>
      <c r="M74" s="748"/>
      <c r="N74" s="748"/>
      <c r="O74" s="751"/>
      <c r="P74" s="957"/>
      <c r="Q74" s="718"/>
      <c r="R74" s="957"/>
      <c r="S74" s="958"/>
      <c r="T74" s="722"/>
      <c r="U74" s="959"/>
      <c r="V74" s="959"/>
      <c r="W74" s="938"/>
      <c r="X74" s="938"/>
      <c r="Y74" s="938"/>
      <c r="Z74" s="938"/>
      <c r="AA74" s="938"/>
      <c r="AB74" s="938"/>
      <c r="AH74" s="953"/>
    </row>
    <row r="75" spans="1:34" s="752" customFormat="1" ht="10.35" customHeight="1">
      <c r="A75" s="960"/>
      <c r="B75" s="961"/>
      <c r="C75" s="938"/>
      <c r="D75" s="938"/>
      <c r="E75" s="962"/>
      <c r="F75" s="938"/>
      <c r="G75" s="938"/>
      <c r="H75" s="748"/>
      <c r="I75" s="748"/>
      <c r="J75" s="748"/>
      <c r="K75" s="748"/>
      <c r="L75" s="748"/>
      <c r="M75" s="748"/>
      <c r="N75" s="748"/>
      <c r="O75" s="948"/>
      <c r="P75" s="892"/>
      <c r="Q75" s="732"/>
      <c r="R75" s="725"/>
      <c r="S75" s="743"/>
      <c r="T75" s="737"/>
      <c r="U75" s="743"/>
      <c r="V75" s="743"/>
      <c r="W75" s="938"/>
      <c r="X75" s="938"/>
      <c r="Y75" s="938"/>
      <c r="Z75" s="938"/>
      <c r="AA75" s="938"/>
      <c r="AB75" s="938"/>
      <c r="AH75" s="953"/>
    </row>
    <row r="76" spans="1:34">
      <c r="H76" s="963"/>
      <c r="I76" s="964"/>
      <c r="J76" s="964"/>
      <c r="K76" s="964"/>
      <c r="L76" s="965"/>
      <c r="M76" s="964"/>
      <c r="N76" s="966"/>
      <c r="P76" s="892"/>
      <c r="Q76" s="735"/>
      <c r="R76" s="930"/>
      <c r="S76" s="743"/>
      <c r="T76" s="737"/>
      <c r="U76" s="743"/>
      <c r="V76" s="743"/>
    </row>
    <row r="77" spans="1:34">
      <c r="H77" s="963"/>
      <c r="I77" s="964"/>
      <c r="J77" s="964"/>
      <c r="K77" s="964"/>
      <c r="L77" s="965"/>
      <c r="M77" s="964"/>
      <c r="N77" s="966"/>
      <c r="P77" s="892"/>
      <c r="Q77" s="735"/>
      <c r="R77" s="930"/>
      <c r="S77" s="743"/>
      <c r="T77" s="743"/>
      <c r="U77" s="743"/>
      <c r="V77" s="743"/>
    </row>
    <row r="78" spans="1:34">
      <c r="H78" s="963"/>
      <c r="I78" s="963"/>
      <c r="J78" s="963"/>
      <c r="K78" s="963"/>
      <c r="L78" s="965"/>
      <c r="M78" s="963"/>
      <c r="N78" s="963"/>
      <c r="P78" s="892"/>
      <c r="Q78" s="735"/>
      <c r="R78" s="930"/>
      <c r="S78" s="743"/>
      <c r="T78" s="743"/>
      <c r="U78" s="743"/>
      <c r="V78" s="743"/>
    </row>
    <row r="79" spans="1:34">
      <c r="H79" s="967"/>
      <c r="J79" s="963"/>
      <c r="K79" s="963"/>
      <c r="L79" s="968"/>
      <c r="M79" s="963"/>
      <c r="N79" s="963"/>
      <c r="P79" s="969"/>
      <c r="Q79" s="732"/>
      <c r="R79" s="930"/>
      <c r="S79" s="743"/>
      <c r="T79" s="743"/>
      <c r="U79" s="743"/>
      <c r="V79" s="743"/>
    </row>
    <row r="80" spans="1:34">
      <c r="P80" s="963"/>
      <c r="Q80" s="970"/>
      <c r="R80" s="964"/>
      <c r="S80" s="964"/>
      <c r="T80" s="968"/>
      <c r="U80" s="964"/>
      <c r="V80" s="964"/>
    </row>
    <row r="81" spans="14:22">
      <c r="P81" s="963"/>
      <c r="Q81" s="971"/>
      <c r="R81" s="964"/>
      <c r="S81" s="972"/>
      <c r="T81" s="968"/>
      <c r="U81" s="964"/>
      <c r="V81" s="964"/>
    </row>
    <row r="82" spans="14:22">
      <c r="P82" s="963"/>
      <c r="Q82" s="971"/>
      <c r="R82" s="963"/>
      <c r="S82" s="972"/>
      <c r="T82" s="968"/>
      <c r="U82" s="963"/>
      <c r="V82" s="963"/>
    </row>
    <row r="83" spans="14:22">
      <c r="P83" s="963"/>
      <c r="Q83" s="971"/>
      <c r="R83" s="963"/>
      <c r="S83" s="972"/>
      <c r="T83" s="968"/>
      <c r="U83" s="963"/>
      <c r="V83" s="963"/>
    </row>
    <row r="84" spans="14:22">
      <c r="N84" s="725"/>
      <c r="P84" s="963"/>
      <c r="Q84" s="971"/>
      <c r="R84" s="963"/>
      <c r="S84" s="972"/>
      <c r="T84" s="968"/>
      <c r="U84" s="963"/>
      <c r="V84" s="963"/>
    </row>
    <row r="85" spans="14:22">
      <c r="P85" s="963"/>
      <c r="Q85" s="971"/>
      <c r="R85" s="963"/>
      <c r="S85" s="972"/>
      <c r="T85" s="968"/>
      <c r="U85" s="963"/>
      <c r="V85" s="963"/>
    </row>
    <row r="86" spans="14:22">
      <c r="P86" s="963"/>
      <c r="Q86" s="973"/>
      <c r="R86" s="963"/>
      <c r="S86" s="972"/>
      <c r="T86" s="968"/>
      <c r="U86" s="963"/>
      <c r="V86" s="963"/>
    </row>
    <row r="87" spans="14:22">
      <c r="N87" s="974"/>
      <c r="Q87" s="973"/>
      <c r="R87" s="963"/>
      <c r="S87" s="972"/>
      <c r="T87" s="968"/>
      <c r="U87" s="963"/>
      <c r="V87" s="963"/>
    </row>
    <row r="88" spans="14:22">
      <c r="Q88" s="973"/>
      <c r="R88" s="963"/>
      <c r="S88" s="972"/>
      <c r="T88" s="968"/>
      <c r="U88" s="963"/>
      <c r="V88" s="963"/>
    </row>
    <row r="89" spans="14:22">
      <c r="Q89" s="973"/>
      <c r="R89" s="963"/>
      <c r="S89" s="972"/>
      <c r="T89" s="968"/>
      <c r="U89" s="963"/>
      <c r="V89" s="963"/>
    </row>
    <row r="90" spans="14:22">
      <c r="R90" s="963"/>
      <c r="S90" s="972"/>
      <c r="T90" s="968"/>
      <c r="U90" s="963"/>
      <c r="V90" s="963"/>
    </row>
    <row r="91" spans="14:22">
      <c r="R91" s="963"/>
      <c r="S91" s="972"/>
      <c r="T91" s="968"/>
      <c r="U91" s="963"/>
      <c r="V91" s="963"/>
    </row>
  </sheetData>
  <mergeCells count="15">
    <mergeCell ref="A23:F23"/>
    <mergeCell ref="H30:M30"/>
    <mergeCell ref="W38:AB38"/>
    <mergeCell ref="H50:M50"/>
    <mergeCell ref="A52:F52"/>
    <mergeCell ref="AD2:AF3"/>
    <mergeCell ref="A4:F4"/>
    <mergeCell ref="H4:M4"/>
    <mergeCell ref="P4:U4"/>
    <mergeCell ref="A5:B5"/>
    <mergeCell ref="C5:F5"/>
    <mergeCell ref="H5:I5"/>
    <mergeCell ref="J5:M5"/>
    <mergeCell ref="P5:Q5"/>
    <mergeCell ref="R5:U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2" firstPageNumber="18" orientation="portrait" useFirstPageNumber="1" r:id="rId1"/>
  <headerFooter differentOddEven="1" scaleWithDoc="0" alignWithMargins="0">
    <firstFooter>&amp;R&amp;P</firstFooter>
  </headerFooter>
  <colBreaks count="1" manualBreakCount="1">
    <brk id="1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8800-D56D-410C-8876-84C4A5528B26}">
  <sheetPr>
    <tabColor theme="8"/>
  </sheetPr>
  <dimension ref="A1:I36"/>
  <sheetViews>
    <sheetView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3.5"/>
  <cols>
    <col min="1" max="1" width="9.875" style="13" customWidth="1"/>
    <col min="2" max="8" width="10.5" style="13" customWidth="1"/>
    <col min="9" max="9" width="11" style="13" customWidth="1"/>
    <col min="10" max="16384" width="10" style="13"/>
  </cols>
  <sheetData>
    <row r="1" spans="1:9" s="977" customFormat="1" ht="26.25">
      <c r="A1" s="975" t="s">
        <v>731</v>
      </c>
      <c r="B1" s="975"/>
      <c r="C1" s="975"/>
      <c r="D1" s="975"/>
      <c r="E1" s="975"/>
      <c r="F1" s="975"/>
      <c r="G1" s="975"/>
      <c r="H1" s="975"/>
      <c r="I1" s="976"/>
    </row>
    <row r="2" spans="1:9" ht="17.25">
      <c r="A2" s="590" t="s">
        <v>732</v>
      </c>
      <c r="B2" s="590"/>
      <c r="C2" s="590"/>
      <c r="D2" s="590"/>
      <c r="E2" s="590"/>
      <c r="F2" s="590"/>
      <c r="G2" s="590"/>
      <c r="H2" s="590"/>
      <c r="I2" s="12"/>
    </row>
    <row r="3" spans="1:9" s="979" customFormat="1" ht="15" customHeight="1">
      <c r="A3" s="281"/>
      <c r="B3" s="281"/>
      <c r="C3" s="281"/>
      <c r="D3" s="281"/>
      <c r="E3" s="281"/>
      <c r="F3" s="281"/>
      <c r="G3" s="281"/>
      <c r="H3" s="281"/>
      <c r="I3" s="978" t="s">
        <v>733</v>
      </c>
    </row>
    <row r="4" spans="1:9" s="353" customFormat="1" ht="24.95" customHeight="1">
      <c r="A4" s="980" t="s">
        <v>734</v>
      </c>
      <c r="B4" s="981" t="s">
        <v>12</v>
      </c>
      <c r="C4" s="982" t="s">
        <v>453</v>
      </c>
      <c r="D4" s="982" t="s">
        <v>735</v>
      </c>
      <c r="E4" s="982" t="s">
        <v>202</v>
      </c>
      <c r="F4" s="982" t="s">
        <v>186</v>
      </c>
      <c r="G4" s="983" t="s">
        <v>452</v>
      </c>
      <c r="H4" s="984" t="s">
        <v>112</v>
      </c>
      <c r="I4" s="985" t="s">
        <v>160</v>
      </c>
    </row>
    <row r="5" spans="1:9" s="287" customFormat="1" ht="24.95" customHeight="1">
      <c r="A5" s="986">
        <v>2014</v>
      </c>
      <c r="B5" s="987">
        <v>20715.683000000001</v>
      </c>
      <c r="C5" s="988">
        <v>27035.51</v>
      </c>
      <c r="D5" s="988">
        <v>30292.69</v>
      </c>
      <c r="E5" s="988">
        <v>6240.8810000000003</v>
      </c>
      <c r="F5" s="988">
        <v>4230.99</v>
      </c>
      <c r="G5" s="989">
        <v>4700</v>
      </c>
      <c r="H5" s="990" t="s">
        <v>133</v>
      </c>
      <c r="I5" s="991">
        <v>93215.754000000001</v>
      </c>
    </row>
    <row r="6" spans="1:9" s="287" customFormat="1" ht="24.95" customHeight="1">
      <c r="A6" s="986">
        <v>2015</v>
      </c>
      <c r="B6" s="987">
        <v>21715.683000000001</v>
      </c>
      <c r="C6" s="988">
        <v>27338.51</v>
      </c>
      <c r="D6" s="988">
        <v>32243.501</v>
      </c>
      <c r="E6" s="988">
        <v>7420.076</v>
      </c>
      <c r="F6" s="988">
        <v>4230.99</v>
      </c>
      <c r="G6" s="989">
        <v>4700</v>
      </c>
      <c r="H6" s="990" t="s">
        <v>133</v>
      </c>
      <c r="I6" s="991">
        <v>97648.76</v>
      </c>
    </row>
    <row r="7" spans="1:9" s="287" customFormat="1" ht="24.95" customHeight="1">
      <c r="A7" s="986">
        <v>2016</v>
      </c>
      <c r="B7" s="987">
        <v>23115.683000000001</v>
      </c>
      <c r="C7" s="988">
        <v>32035.024000000001</v>
      </c>
      <c r="D7" s="988">
        <v>32623.611000000001</v>
      </c>
      <c r="E7" s="988">
        <v>9262.2990000000009</v>
      </c>
      <c r="F7" s="988">
        <v>4128.9399999999996</v>
      </c>
      <c r="G7" s="989">
        <v>4700</v>
      </c>
      <c r="H7" s="990">
        <v>0</v>
      </c>
      <c r="I7" s="991">
        <v>105865.557</v>
      </c>
    </row>
    <row r="8" spans="1:9" s="287" customFormat="1" ht="24.95" customHeight="1">
      <c r="A8" s="986">
        <v>2017</v>
      </c>
      <c r="B8" s="987">
        <v>22528.683000000001</v>
      </c>
      <c r="C8" s="988">
        <v>36709.402000000002</v>
      </c>
      <c r="D8" s="988">
        <v>37854.207000000002</v>
      </c>
      <c r="E8" s="988">
        <v>10976.379000000001</v>
      </c>
      <c r="F8" s="988">
        <v>4138.97</v>
      </c>
      <c r="G8" s="989">
        <v>4700</v>
      </c>
      <c r="H8" s="990">
        <v>0</v>
      </c>
      <c r="I8" s="991">
        <v>116907.641</v>
      </c>
    </row>
    <row r="9" spans="1:9" s="287" customFormat="1" ht="24.95" customHeight="1">
      <c r="A9" s="986">
        <v>2018</v>
      </c>
      <c r="B9" s="987">
        <v>21850</v>
      </c>
      <c r="C9" s="988">
        <v>36970.337</v>
      </c>
      <c r="D9" s="988">
        <v>37851.087</v>
      </c>
      <c r="E9" s="988">
        <v>13413.22</v>
      </c>
      <c r="F9" s="988">
        <v>4307.0159999999996</v>
      </c>
      <c r="G9" s="989">
        <v>4700</v>
      </c>
      <c r="H9" s="990">
        <v>0</v>
      </c>
      <c r="I9" s="991">
        <v>119091.66</v>
      </c>
    </row>
    <row r="10" spans="1:9" s="287" customFormat="1" ht="24.95" customHeight="1">
      <c r="A10" s="986">
        <v>2019</v>
      </c>
      <c r="B10" s="987">
        <v>23250</v>
      </c>
      <c r="C10" s="988">
        <v>37003.381999999998</v>
      </c>
      <c r="D10" s="988">
        <v>39550.400000000001</v>
      </c>
      <c r="E10" s="988">
        <v>16057.656999999999</v>
      </c>
      <c r="F10" s="988">
        <v>3864.44</v>
      </c>
      <c r="G10" s="989">
        <v>4700</v>
      </c>
      <c r="H10" s="990">
        <v>911.79</v>
      </c>
      <c r="I10" s="991">
        <v>125337.66899999999</v>
      </c>
    </row>
    <row r="11" spans="1:9" s="287" customFormat="1" ht="24.95" customHeight="1">
      <c r="A11" s="986">
        <v>2020</v>
      </c>
      <c r="B11" s="987">
        <v>23250</v>
      </c>
      <c r="C11" s="988">
        <v>36853.381999999998</v>
      </c>
      <c r="D11" s="988">
        <v>41169.767</v>
      </c>
      <c r="E11" s="988">
        <v>20544.895</v>
      </c>
      <c r="F11" s="988">
        <v>2247.0250000000001</v>
      </c>
      <c r="G11" s="989">
        <v>4700</v>
      </c>
      <c r="H11" s="990">
        <v>426.20400000000001</v>
      </c>
      <c r="I11" s="991">
        <v>129191.273</v>
      </c>
    </row>
    <row r="12" spans="1:9" s="287" customFormat="1" ht="24.95" customHeight="1">
      <c r="A12" s="986">
        <v>2021</v>
      </c>
      <c r="B12" s="992">
        <v>23250</v>
      </c>
      <c r="C12" s="988">
        <v>37337.881999999998</v>
      </c>
      <c r="D12" s="988">
        <v>41201.457000000002</v>
      </c>
      <c r="E12" s="988">
        <v>24855.496999999999</v>
      </c>
      <c r="F12" s="988">
        <v>2160.1550000000002</v>
      </c>
      <c r="G12" s="989">
        <v>4700</v>
      </c>
      <c r="H12" s="990">
        <v>514.78399999999999</v>
      </c>
      <c r="I12" s="993">
        <v>134019.77499999999</v>
      </c>
    </row>
    <row r="13" spans="1:9" s="287" customFormat="1" ht="24.95" customHeight="1">
      <c r="A13" s="986">
        <v>2022</v>
      </c>
      <c r="B13" s="992">
        <v>24650</v>
      </c>
      <c r="C13" s="994">
        <v>38127.881999999998</v>
      </c>
      <c r="D13" s="994">
        <v>41201.457000000002</v>
      </c>
      <c r="E13" s="994">
        <v>28138.666000000001</v>
      </c>
      <c r="F13" s="994">
        <v>920.15499999999997</v>
      </c>
      <c r="G13" s="989">
        <v>4700</v>
      </c>
      <c r="H13" s="990">
        <v>456.59500000000003</v>
      </c>
      <c r="I13" s="993">
        <v>138194.755</v>
      </c>
    </row>
    <row r="14" spans="1:9" s="287" customFormat="1" ht="24.95" customHeight="1">
      <c r="A14" s="986">
        <v>2023</v>
      </c>
      <c r="B14" s="987">
        <v>24650</v>
      </c>
      <c r="C14" s="995">
        <v>39167.881999999998</v>
      </c>
      <c r="D14" s="995">
        <v>43191.288999999997</v>
      </c>
      <c r="E14" s="995">
        <v>31395.507000000001</v>
      </c>
      <c r="F14" s="995">
        <v>857.29499999999996</v>
      </c>
      <c r="G14" s="996">
        <v>4700</v>
      </c>
      <c r="H14" s="990">
        <v>458.935</v>
      </c>
      <c r="I14" s="991">
        <v>144420.908</v>
      </c>
    </row>
    <row r="15" spans="1:9" s="287" customFormat="1" ht="24.95" customHeight="1">
      <c r="A15" s="997">
        <v>2024</v>
      </c>
      <c r="B15" s="992">
        <v>26050</v>
      </c>
      <c r="C15" s="994">
        <v>40217.881999999998</v>
      </c>
      <c r="D15" s="994">
        <v>46333.856</v>
      </c>
      <c r="E15" s="994">
        <v>34692.663</v>
      </c>
      <c r="F15" s="994">
        <v>627.70000000000005</v>
      </c>
      <c r="G15" s="998">
        <v>4700</v>
      </c>
      <c r="H15" s="999">
        <v>449.375</v>
      </c>
      <c r="I15" s="993">
        <v>153071.476</v>
      </c>
    </row>
    <row r="16" spans="1:9" s="287" customFormat="1" ht="26.1" customHeight="1">
      <c r="A16" s="1000">
        <v>2025</v>
      </c>
      <c r="B16" s="1001">
        <v>26050</v>
      </c>
      <c r="C16" s="1002">
        <v>40766.677000000003</v>
      </c>
      <c r="D16" s="1002">
        <v>45203.856</v>
      </c>
      <c r="E16" s="1002">
        <v>38747.139000000003</v>
      </c>
      <c r="F16" s="1002">
        <v>627.70000000000005</v>
      </c>
      <c r="G16" s="1003">
        <v>4700</v>
      </c>
      <c r="H16" s="1004">
        <v>467.375</v>
      </c>
      <c r="I16" s="1005">
        <v>156562.747</v>
      </c>
    </row>
    <row r="17" spans="1:9" s="287" customFormat="1" ht="26.1" customHeight="1">
      <c r="A17" s="1006">
        <v>2025.04</v>
      </c>
      <c r="B17" s="1007">
        <v>26050</v>
      </c>
      <c r="C17" s="1008">
        <v>41267.881999999998</v>
      </c>
      <c r="D17" s="1008">
        <v>45203.856</v>
      </c>
      <c r="E17" s="1008">
        <v>36004.197</v>
      </c>
      <c r="F17" s="1008">
        <v>627.70000000000005</v>
      </c>
      <c r="G17" s="1009">
        <v>4700</v>
      </c>
      <c r="H17" s="1010">
        <v>448.875</v>
      </c>
      <c r="I17" s="1011">
        <v>154302.51</v>
      </c>
    </row>
    <row r="18" spans="1:9" s="287" customFormat="1" ht="26.1" customHeight="1">
      <c r="A18" s="1012">
        <v>2025.05</v>
      </c>
      <c r="B18" s="992">
        <v>26050</v>
      </c>
      <c r="C18" s="994">
        <v>41267.881999999998</v>
      </c>
      <c r="D18" s="994">
        <v>45203.856</v>
      </c>
      <c r="E18" s="994">
        <v>36373.925999999999</v>
      </c>
      <c r="F18" s="994">
        <v>627.70000000000005</v>
      </c>
      <c r="G18" s="998">
        <v>4700</v>
      </c>
      <c r="H18" s="999">
        <v>449.375</v>
      </c>
      <c r="I18" s="993">
        <v>154672.739</v>
      </c>
    </row>
    <row r="19" spans="1:9" s="287" customFormat="1" ht="26.1" customHeight="1">
      <c r="A19" s="1012">
        <v>2025.06</v>
      </c>
      <c r="B19" s="992">
        <v>26050</v>
      </c>
      <c r="C19" s="994">
        <v>41267.881999999998</v>
      </c>
      <c r="D19" s="994">
        <v>45203.856</v>
      </c>
      <c r="E19" s="994">
        <v>36655.745999999999</v>
      </c>
      <c r="F19" s="994">
        <v>627.70000000000005</v>
      </c>
      <c r="G19" s="998">
        <v>4700</v>
      </c>
      <c r="H19" s="999">
        <v>449.375</v>
      </c>
      <c r="I19" s="993">
        <v>154954.55900000001</v>
      </c>
    </row>
    <row r="20" spans="1:9" s="287" customFormat="1" ht="26.1" customHeight="1">
      <c r="A20" s="1012">
        <v>2025.07</v>
      </c>
      <c r="B20" s="992">
        <v>26050</v>
      </c>
      <c r="C20" s="994">
        <v>41267.881999999998</v>
      </c>
      <c r="D20" s="994">
        <v>45203.856</v>
      </c>
      <c r="E20" s="994">
        <v>37009.502999999997</v>
      </c>
      <c r="F20" s="994">
        <v>627.70000000000005</v>
      </c>
      <c r="G20" s="998">
        <v>4700</v>
      </c>
      <c r="H20" s="999">
        <v>449.375</v>
      </c>
      <c r="I20" s="993">
        <v>155308.31599999999</v>
      </c>
    </row>
    <row r="21" spans="1:9" s="287" customFormat="1" ht="26.1" customHeight="1">
      <c r="A21" s="1012">
        <v>2025.08</v>
      </c>
      <c r="B21" s="992">
        <v>26050</v>
      </c>
      <c r="C21" s="994">
        <v>41266.677000000003</v>
      </c>
      <c r="D21" s="994">
        <v>45203.856</v>
      </c>
      <c r="E21" s="994">
        <v>37368.745000000003</v>
      </c>
      <c r="F21" s="994">
        <v>627.70000000000005</v>
      </c>
      <c r="G21" s="998">
        <v>4700</v>
      </c>
      <c r="H21" s="999">
        <v>449.375</v>
      </c>
      <c r="I21" s="993">
        <v>155666.353</v>
      </c>
    </row>
    <row r="22" spans="1:9" s="287" customFormat="1" ht="26.1" customHeight="1">
      <c r="A22" s="1012">
        <v>2025.09</v>
      </c>
      <c r="B22" s="992">
        <v>26050</v>
      </c>
      <c r="C22" s="994">
        <v>41266.677000000003</v>
      </c>
      <c r="D22" s="994">
        <v>45203.856</v>
      </c>
      <c r="E22" s="994">
        <v>37616.743999999999</v>
      </c>
      <c r="F22" s="994">
        <v>627.70000000000005</v>
      </c>
      <c r="G22" s="998">
        <v>4700</v>
      </c>
      <c r="H22" s="999">
        <v>449.375</v>
      </c>
      <c r="I22" s="993">
        <v>155914.35200000001</v>
      </c>
    </row>
    <row r="23" spans="1:9" s="287" customFormat="1" ht="26.1" customHeight="1">
      <c r="A23" s="1012">
        <v>2025.1</v>
      </c>
      <c r="B23" s="992">
        <v>26050</v>
      </c>
      <c r="C23" s="994">
        <v>41266.677000000003</v>
      </c>
      <c r="D23" s="994">
        <v>45203.856</v>
      </c>
      <c r="E23" s="994">
        <v>37969.671000000002</v>
      </c>
      <c r="F23" s="994">
        <v>627.70000000000005</v>
      </c>
      <c r="G23" s="998">
        <v>4700</v>
      </c>
      <c r="H23" s="999">
        <v>455.375</v>
      </c>
      <c r="I23" s="993">
        <v>156273.27900000001</v>
      </c>
    </row>
    <row r="24" spans="1:9" s="287" customFormat="1" ht="26.1" customHeight="1">
      <c r="A24" s="1012">
        <v>2025.11</v>
      </c>
      <c r="B24" s="992">
        <v>26050</v>
      </c>
      <c r="C24" s="994">
        <v>41266.677000000003</v>
      </c>
      <c r="D24" s="994">
        <v>45203.856</v>
      </c>
      <c r="E24" s="994">
        <v>38188.658000000003</v>
      </c>
      <c r="F24" s="994">
        <v>627.70000000000005</v>
      </c>
      <c r="G24" s="998">
        <v>4700</v>
      </c>
      <c r="H24" s="999">
        <v>455.375</v>
      </c>
      <c r="I24" s="993">
        <v>156492.266</v>
      </c>
    </row>
    <row r="25" spans="1:9" s="287" customFormat="1" ht="26.1" customHeight="1">
      <c r="A25" s="1012">
        <v>2025.12</v>
      </c>
      <c r="B25" s="992">
        <v>26050</v>
      </c>
      <c r="C25" s="994">
        <v>40766.677000000003</v>
      </c>
      <c r="D25" s="994">
        <v>45203.856</v>
      </c>
      <c r="E25" s="994">
        <v>38747.139000000003</v>
      </c>
      <c r="F25" s="994">
        <v>627.70000000000005</v>
      </c>
      <c r="G25" s="998">
        <v>4700</v>
      </c>
      <c r="H25" s="999">
        <v>467.375</v>
      </c>
      <c r="I25" s="993">
        <v>156562.747</v>
      </c>
    </row>
    <row r="26" spans="1:9" s="287" customFormat="1" ht="26.1" customHeight="1">
      <c r="A26" s="1006">
        <v>2026.01</v>
      </c>
      <c r="B26" s="1007">
        <v>26050</v>
      </c>
      <c r="C26" s="1008">
        <v>40766.677000000003</v>
      </c>
      <c r="D26" s="1008">
        <v>45203.856</v>
      </c>
      <c r="E26" s="1008">
        <v>39429.525999999998</v>
      </c>
      <c r="F26" s="1008">
        <v>627.70000000000005</v>
      </c>
      <c r="G26" s="1009">
        <v>4700</v>
      </c>
      <c r="H26" s="1010">
        <v>507.255</v>
      </c>
      <c r="I26" s="1011">
        <v>157285.014</v>
      </c>
    </row>
    <row r="27" spans="1:9" s="287" customFormat="1" ht="26.1" customHeight="1">
      <c r="A27" s="1012">
        <v>2026.02</v>
      </c>
      <c r="B27" s="992">
        <v>26050</v>
      </c>
      <c r="C27" s="994">
        <v>40766.677000000003</v>
      </c>
      <c r="D27" s="994">
        <v>45705.256000000001</v>
      </c>
      <c r="E27" s="994">
        <v>39790.493000000002</v>
      </c>
      <c r="F27" s="994">
        <v>627.70000000000005</v>
      </c>
      <c r="G27" s="998">
        <v>4700</v>
      </c>
      <c r="H27" s="999">
        <v>507.255</v>
      </c>
      <c r="I27" s="993">
        <v>158147.38099999999</v>
      </c>
    </row>
    <row r="28" spans="1:9" s="287" customFormat="1" ht="26.1" customHeight="1">
      <c r="A28" s="1012">
        <v>2026.03</v>
      </c>
      <c r="B28" s="992">
        <v>26050</v>
      </c>
      <c r="C28" s="994">
        <v>40766.677000000003</v>
      </c>
      <c r="D28" s="994">
        <v>45705.256000000001</v>
      </c>
      <c r="E28" s="994">
        <v>39904.646000000001</v>
      </c>
      <c r="F28" s="994">
        <v>627.70000000000005</v>
      </c>
      <c r="G28" s="998">
        <v>4700</v>
      </c>
      <c r="H28" s="1013">
        <v>531.255</v>
      </c>
      <c r="I28" s="993">
        <v>158285.53400000001</v>
      </c>
    </row>
    <row r="29" spans="1:9" s="287" customFormat="1" ht="25.5" customHeight="1">
      <c r="A29" s="1014">
        <v>2026.04</v>
      </c>
      <c r="B29" s="1015">
        <v>26050</v>
      </c>
      <c r="C29" s="1016">
        <v>40766.677000000003</v>
      </c>
      <c r="D29" s="1016">
        <v>45705.256000000001</v>
      </c>
      <c r="E29" s="1016">
        <v>40330.43</v>
      </c>
      <c r="F29" s="1016">
        <v>627.70000000000005</v>
      </c>
      <c r="G29" s="1017">
        <v>4700</v>
      </c>
      <c r="H29" s="1018">
        <v>531.255</v>
      </c>
      <c r="I29" s="1019">
        <v>158711.318</v>
      </c>
    </row>
    <row r="30" spans="1:9" s="287" customFormat="1" ht="15" customHeight="1">
      <c r="A30" s="1020" t="s">
        <v>736</v>
      </c>
      <c r="B30" s="1020"/>
      <c r="C30" s="1020"/>
      <c r="D30" s="1020"/>
      <c r="E30" s="1020"/>
      <c r="F30" s="1020"/>
      <c r="G30" s="1020"/>
      <c r="H30" s="1020"/>
      <c r="I30" s="1021"/>
    </row>
    <row r="31" spans="1:9" s="287" customFormat="1" ht="15" customHeight="1">
      <c r="A31" s="346" t="s">
        <v>737</v>
      </c>
      <c r="B31" s="1020"/>
      <c r="C31" s="1020"/>
      <c r="D31" s="1020"/>
      <c r="E31" s="1020"/>
      <c r="F31" s="1020"/>
      <c r="G31" s="1020"/>
      <c r="H31" s="1020"/>
      <c r="I31" s="1021"/>
    </row>
    <row r="32" spans="1:9" s="287" customFormat="1" ht="15" customHeight="1">
      <c r="A32" s="346" t="s">
        <v>738</v>
      </c>
      <c r="I32" s="1020"/>
    </row>
    <row r="33" spans="1:9" s="287" customFormat="1" ht="15" customHeight="1">
      <c r="A33" s="346"/>
      <c r="B33" s="1022"/>
      <c r="C33" s="1022"/>
      <c r="D33" s="1022"/>
      <c r="E33" s="1022"/>
      <c r="F33" s="1022"/>
      <c r="G33" s="1022"/>
      <c r="H33" s="1022"/>
      <c r="I33" s="1020"/>
    </row>
    <row r="34" spans="1:9" s="1024" customFormat="1" ht="12" customHeight="1">
      <c r="A34" s="1022"/>
      <c r="B34" s="1020"/>
      <c r="C34" s="1020"/>
      <c r="D34" s="1020"/>
      <c r="E34" s="1020"/>
      <c r="F34" s="1020"/>
      <c r="G34" s="1020"/>
      <c r="H34" s="1020"/>
      <c r="I34" s="1023"/>
    </row>
    <row r="35" spans="1:9" s="1024" customFormat="1" ht="12.75" customHeight="1">
      <c r="A35" s="1020"/>
      <c r="B35" s="351"/>
      <c r="C35" s="351"/>
      <c r="D35" s="351"/>
      <c r="E35" s="351"/>
      <c r="F35" s="351"/>
      <c r="G35" s="351"/>
      <c r="H35" s="351"/>
      <c r="I35" s="1025"/>
    </row>
    <row r="36" spans="1:9">
      <c r="A36" s="351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0" orientation="portrait" useFirstPageNumber="1" r:id="rId1"/>
  <headerFooter differentOddEven="1" scaleWithDoc="0" alignWithMargins="0">
    <firstFooter>&amp;R&amp;P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E082-D4DC-4238-BF3B-8BCFC651FE21}">
  <sheetPr>
    <tabColor theme="8"/>
  </sheetPr>
  <dimension ref="A1:O28"/>
  <sheetViews>
    <sheetView view="pageBreakPreview" zoomScale="95" zoomScaleNormal="100" zoomScaleSheetLayoutView="9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7.125" style="12" customWidth="1"/>
    <col min="2" max="12" width="7.25" style="12" customWidth="1"/>
    <col min="13" max="13" width="7.625" style="12" customWidth="1"/>
    <col min="14" max="16384" width="10" style="1066"/>
  </cols>
  <sheetData>
    <row r="1" spans="1:15" s="1026" customFormat="1" ht="20.25" customHeight="1">
      <c r="A1" s="609" t="s">
        <v>739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</row>
    <row r="2" spans="1:15" s="1027" customFormat="1" ht="17.25" customHeight="1">
      <c r="A2" s="590" t="s">
        <v>740</v>
      </c>
      <c r="B2" s="590"/>
      <c r="C2" s="590"/>
      <c r="D2" s="590"/>
      <c r="E2" s="590"/>
      <c r="F2" s="590"/>
      <c r="G2" s="590"/>
      <c r="H2" s="590"/>
      <c r="I2" s="590"/>
      <c r="J2" s="590"/>
      <c r="K2" s="590"/>
      <c r="L2" s="590"/>
      <c r="M2" s="590"/>
    </row>
    <row r="3" spans="1:15" s="1031" customFormat="1" ht="15" customHeight="1">
      <c r="A3" s="1028" t="str">
        <f>'3-1. 발전설비용량(한전 및 발전자회사 상세)'!A3</f>
        <v>2026년 4월</v>
      </c>
      <c r="B3" s="438"/>
      <c r="C3" s="1029"/>
      <c r="D3" s="438"/>
      <c r="E3" s="438"/>
      <c r="F3" s="1029"/>
      <c r="G3" s="1029"/>
      <c r="H3" s="1029"/>
      <c r="I3" s="1029"/>
      <c r="J3" s="1029"/>
      <c r="K3" s="1030" t="s">
        <v>741</v>
      </c>
      <c r="L3" s="1030"/>
      <c r="M3" s="1030"/>
    </row>
    <row r="4" spans="1:15" s="1039" customFormat="1" ht="30" customHeight="1">
      <c r="A4" s="1032" t="s">
        <v>200</v>
      </c>
      <c r="B4" s="1033" t="s">
        <v>154</v>
      </c>
      <c r="C4" s="284" t="s">
        <v>164</v>
      </c>
      <c r="D4" s="284"/>
      <c r="E4" s="284"/>
      <c r="F4" s="284"/>
      <c r="G4" s="1034"/>
      <c r="H4" s="1035" t="s">
        <v>163</v>
      </c>
      <c r="I4" s="1035" t="s">
        <v>157</v>
      </c>
      <c r="J4" s="1036" t="s">
        <v>12</v>
      </c>
      <c r="K4" s="1037" t="s">
        <v>158</v>
      </c>
      <c r="L4" s="1038" t="s">
        <v>159</v>
      </c>
      <c r="M4" s="283" t="s">
        <v>160</v>
      </c>
    </row>
    <row r="5" spans="1:15" s="1039" customFormat="1" ht="30" customHeight="1">
      <c r="A5" s="1040"/>
      <c r="B5" s="301"/>
      <c r="C5" s="622" t="s">
        <v>108</v>
      </c>
      <c r="D5" s="302" t="s">
        <v>107</v>
      </c>
      <c r="E5" s="302" t="s">
        <v>186</v>
      </c>
      <c r="F5" s="302" t="s">
        <v>187</v>
      </c>
      <c r="G5" s="302" t="s">
        <v>160</v>
      </c>
      <c r="H5" s="304"/>
      <c r="I5" s="304"/>
      <c r="J5" s="303"/>
      <c r="K5" s="303"/>
      <c r="L5" s="1041"/>
      <c r="M5" s="300"/>
    </row>
    <row r="6" spans="1:15" s="1039" customFormat="1" ht="33.6" customHeight="1">
      <c r="A6" s="1042" t="s">
        <v>742</v>
      </c>
      <c r="B6" s="1043">
        <v>0</v>
      </c>
      <c r="C6" s="1044">
        <v>0</v>
      </c>
      <c r="D6" s="1045">
        <v>0</v>
      </c>
      <c r="E6" s="1045">
        <v>0</v>
      </c>
      <c r="F6" s="1045">
        <v>64</v>
      </c>
      <c r="G6" s="1045">
        <v>64</v>
      </c>
      <c r="H6" s="1045">
        <v>738.346</v>
      </c>
      <c r="I6" s="1045">
        <v>0</v>
      </c>
      <c r="J6" s="1045">
        <v>0</v>
      </c>
      <c r="K6" s="1045">
        <v>139.554</v>
      </c>
      <c r="L6" s="1046">
        <v>27.95</v>
      </c>
      <c r="M6" s="1047">
        <v>969.85</v>
      </c>
      <c r="O6" s="1048"/>
    </row>
    <row r="7" spans="1:15" s="1039" customFormat="1" ht="33.6" customHeight="1">
      <c r="A7" s="1049" t="s">
        <v>743</v>
      </c>
      <c r="B7" s="1050">
        <v>0.02</v>
      </c>
      <c r="C7" s="1051">
        <v>0</v>
      </c>
      <c r="D7" s="1052">
        <v>19</v>
      </c>
      <c r="E7" s="1052">
        <v>0</v>
      </c>
      <c r="F7" s="1052">
        <v>0</v>
      </c>
      <c r="G7" s="1052">
        <v>19</v>
      </c>
      <c r="H7" s="1052">
        <v>1845.836</v>
      </c>
      <c r="I7" s="1052">
        <v>0</v>
      </c>
      <c r="J7" s="1052">
        <v>4550</v>
      </c>
      <c r="K7" s="1052">
        <v>416.42500000000001</v>
      </c>
      <c r="L7" s="1053">
        <v>33.9</v>
      </c>
      <c r="M7" s="1054">
        <v>6865.1809999999996</v>
      </c>
      <c r="O7" s="1048"/>
    </row>
    <row r="8" spans="1:15" s="1039" customFormat="1" ht="33.6" customHeight="1">
      <c r="A8" s="1049" t="s">
        <v>744</v>
      </c>
      <c r="B8" s="1050">
        <v>4.0599999999999996</v>
      </c>
      <c r="C8" s="1051">
        <v>0</v>
      </c>
      <c r="D8" s="1052">
        <v>72.900000000000006</v>
      </c>
      <c r="E8" s="1052">
        <v>0</v>
      </c>
      <c r="F8" s="1052">
        <v>0</v>
      </c>
      <c r="G8" s="1052">
        <v>72.900000000000006</v>
      </c>
      <c r="H8" s="1052">
        <v>640.70000000000005</v>
      </c>
      <c r="I8" s="1052">
        <v>0</v>
      </c>
      <c r="J8" s="1052">
        <v>0</v>
      </c>
      <c r="K8" s="1052">
        <v>571.72900000000004</v>
      </c>
      <c r="L8" s="1053">
        <v>9.9</v>
      </c>
      <c r="M8" s="1054">
        <v>1299.289</v>
      </c>
      <c r="O8" s="1048"/>
    </row>
    <row r="9" spans="1:15" s="1039" customFormat="1" ht="33.6" customHeight="1">
      <c r="A9" s="1049" t="s">
        <v>745</v>
      </c>
      <c r="B9" s="1050">
        <v>12.599</v>
      </c>
      <c r="C9" s="1051">
        <v>0</v>
      </c>
      <c r="D9" s="1052">
        <v>5080</v>
      </c>
      <c r="E9" s="1052">
        <v>0</v>
      </c>
      <c r="F9" s="1052">
        <v>24</v>
      </c>
      <c r="G9" s="1052">
        <v>5104</v>
      </c>
      <c r="H9" s="1052">
        <v>8552.7469999999994</v>
      </c>
      <c r="I9" s="1052">
        <v>36.229999999999997</v>
      </c>
      <c r="J9" s="1052">
        <v>0</v>
      </c>
      <c r="K9" s="1052">
        <v>624.64</v>
      </c>
      <c r="L9" s="1053">
        <v>30.78</v>
      </c>
      <c r="M9" s="1054">
        <v>14360.995999999999</v>
      </c>
      <c r="O9" s="1048"/>
    </row>
    <row r="10" spans="1:15" s="1039" customFormat="1" ht="33.6" customHeight="1">
      <c r="A10" s="1049" t="s">
        <v>746</v>
      </c>
      <c r="B10" s="1050">
        <v>1.83</v>
      </c>
      <c r="C10" s="1051">
        <v>0</v>
      </c>
      <c r="D10" s="1052">
        <v>0</v>
      </c>
      <c r="E10" s="1052">
        <v>0</v>
      </c>
      <c r="F10" s="1052">
        <v>0</v>
      </c>
      <c r="G10" s="1052">
        <v>0</v>
      </c>
      <c r="H10" s="1052">
        <v>115.246</v>
      </c>
      <c r="I10" s="1052">
        <v>0</v>
      </c>
      <c r="J10" s="1052">
        <v>0</v>
      </c>
      <c r="K10" s="1052">
        <v>442.464</v>
      </c>
      <c r="L10" s="1053">
        <v>3.96</v>
      </c>
      <c r="M10" s="1054">
        <v>563.5</v>
      </c>
      <c r="O10" s="1048"/>
    </row>
    <row r="11" spans="1:15" s="1039" customFormat="1" ht="33.6" customHeight="1">
      <c r="A11" s="1049" t="s">
        <v>747</v>
      </c>
      <c r="B11" s="1050">
        <v>0</v>
      </c>
      <c r="C11" s="1051">
        <v>0</v>
      </c>
      <c r="D11" s="1052">
        <v>0</v>
      </c>
      <c r="E11" s="1052">
        <v>0</v>
      </c>
      <c r="F11" s="1052">
        <v>48.3</v>
      </c>
      <c r="G11" s="1052">
        <v>48.3</v>
      </c>
      <c r="H11" s="1052">
        <v>0</v>
      </c>
      <c r="I11" s="1052">
        <v>0</v>
      </c>
      <c r="J11" s="1052">
        <v>0</v>
      </c>
      <c r="K11" s="1052">
        <v>82.64</v>
      </c>
      <c r="L11" s="1053">
        <v>88</v>
      </c>
      <c r="M11" s="1054">
        <v>218.94</v>
      </c>
      <c r="O11" s="1048"/>
    </row>
    <row r="12" spans="1:15" s="1039" customFormat="1" ht="33.6" customHeight="1">
      <c r="A12" s="1049" t="s">
        <v>748</v>
      </c>
      <c r="B12" s="1050">
        <v>0.3</v>
      </c>
      <c r="C12" s="1051">
        <v>0</v>
      </c>
      <c r="D12" s="1052">
        <v>0</v>
      </c>
      <c r="E12" s="1052">
        <v>0</v>
      </c>
      <c r="F12" s="1052">
        <v>0</v>
      </c>
      <c r="G12" s="1052">
        <v>0</v>
      </c>
      <c r="H12" s="1052">
        <v>3619.3</v>
      </c>
      <c r="I12" s="1052">
        <v>0</v>
      </c>
      <c r="J12" s="1052">
        <v>2800</v>
      </c>
      <c r="K12" s="1052">
        <v>306.572</v>
      </c>
      <c r="L12" s="1053">
        <v>18.2</v>
      </c>
      <c r="M12" s="1054">
        <v>6744.3720000000003</v>
      </c>
      <c r="O12" s="1048"/>
    </row>
    <row r="13" spans="1:15" s="1039" customFormat="1" ht="33.6" customHeight="1">
      <c r="A13" s="1049" t="s">
        <v>749</v>
      </c>
      <c r="B13" s="1050">
        <v>2.31</v>
      </c>
      <c r="C13" s="1051">
        <v>0</v>
      </c>
      <c r="D13" s="1052">
        <v>0</v>
      </c>
      <c r="E13" s="1052">
        <v>0</v>
      </c>
      <c r="F13" s="1052">
        <v>0</v>
      </c>
      <c r="G13" s="1052">
        <v>0</v>
      </c>
      <c r="H13" s="1052">
        <v>1127.6120000000001</v>
      </c>
      <c r="I13" s="1052">
        <v>0</v>
      </c>
      <c r="J13" s="1052">
        <v>0</v>
      </c>
      <c r="K13" s="1052">
        <v>115.848</v>
      </c>
      <c r="L13" s="1053">
        <v>3.25</v>
      </c>
      <c r="M13" s="1054">
        <v>1249.02</v>
      </c>
      <c r="O13" s="1048"/>
    </row>
    <row r="14" spans="1:15" s="1039" customFormat="1" ht="33.6" customHeight="1">
      <c r="A14" s="1049" t="s">
        <v>750</v>
      </c>
      <c r="B14" s="1050">
        <v>675.95399999999995</v>
      </c>
      <c r="C14" s="1051">
        <v>0</v>
      </c>
      <c r="D14" s="1052">
        <v>252.15</v>
      </c>
      <c r="E14" s="1052">
        <v>38.9</v>
      </c>
      <c r="F14" s="1052">
        <v>60</v>
      </c>
      <c r="G14" s="1052">
        <v>351.05</v>
      </c>
      <c r="H14" s="1052">
        <v>17527.717000000001</v>
      </c>
      <c r="I14" s="1052">
        <v>0.45</v>
      </c>
      <c r="J14" s="1052">
        <v>0</v>
      </c>
      <c r="K14" s="1052">
        <v>3240.8679999999999</v>
      </c>
      <c r="L14" s="1053">
        <v>55.155000000000001</v>
      </c>
      <c r="M14" s="1054">
        <v>21851.194</v>
      </c>
      <c r="O14" s="1048"/>
    </row>
    <row r="15" spans="1:15" s="1039" customFormat="1" ht="33.6" customHeight="1">
      <c r="A15" s="1049" t="s">
        <v>751</v>
      </c>
      <c r="B15" s="1050">
        <v>1525.845</v>
      </c>
      <c r="C15" s="1051">
        <v>400</v>
      </c>
      <c r="D15" s="1052">
        <v>7414</v>
      </c>
      <c r="E15" s="1052">
        <v>0</v>
      </c>
      <c r="F15" s="1052">
        <v>0</v>
      </c>
      <c r="G15" s="1052">
        <v>7814</v>
      </c>
      <c r="H15" s="1052">
        <v>1279.2</v>
      </c>
      <c r="I15" s="1052">
        <v>0</v>
      </c>
      <c r="J15" s="1052">
        <v>0</v>
      </c>
      <c r="K15" s="1052">
        <v>3195.893</v>
      </c>
      <c r="L15" s="1053">
        <v>18.97</v>
      </c>
      <c r="M15" s="1054">
        <v>13833.907999999999</v>
      </c>
      <c r="O15" s="1048"/>
    </row>
    <row r="16" spans="1:15" s="1039" customFormat="1" ht="33.6" customHeight="1">
      <c r="A16" s="1049" t="s">
        <v>752</v>
      </c>
      <c r="B16" s="1050">
        <v>518.83000000000004</v>
      </c>
      <c r="C16" s="1051">
        <v>0</v>
      </c>
      <c r="D16" s="1052">
        <v>0</v>
      </c>
      <c r="E16" s="1052">
        <v>0</v>
      </c>
      <c r="F16" s="1052">
        <v>0</v>
      </c>
      <c r="G16" s="1052">
        <v>0</v>
      </c>
      <c r="H16" s="1052">
        <v>270</v>
      </c>
      <c r="I16" s="1052">
        <v>0</v>
      </c>
      <c r="J16" s="1052">
        <v>0</v>
      </c>
      <c r="K16" s="1052">
        <v>2032.8340000000001</v>
      </c>
      <c r="L16" s="1053">
        <v>51.296999999999997</v>
      </c>
      <c r="M16" s="1054">
        <v>2872.9609999999998</v>
      </c>
      <c r="O16" s="1048"/>
    </row>
    <row r="17" spans="1:15" s="1039" customFormat="1" ht="33.6" customHeight="1">
      <c r="A17" s="1049" t="s">
        <v>753</v>
      </c>
      <c r="B17" s="1050">
        <v>32.250999999999998</v>
      </c>
      <c r="C17" s="1051">
        <v>0</v>
      </c>
      <c r="D17" s="1052">
        <v>17746.058000000001</v>
      </c>
      <c r="E17" s="1052">
        <v>0</v>
      </c>
      <c r="F17" s="1052">
        <v>0</v>
      </c>
      <c r="G17" s="1052">
        <v>17746.058000000001</v>
      </c>
      <c r="H17" s="1052">
        <v>4674.25</v>
      </c>
      <c r="I17" s="1052">
        <v>3.81</v>
      </c>
      <c r="J17" s="1052">
        <v>0</v>
      </c>
      <c r="K17" s="1052">
        <v>5299.0159999999996</v>
      </c>
      <c r="L17" s="1053">
        <v>12.59</v>
      </c>
      <c r="M17" s="1054">
        <v>27767.974999999999</v>
      </c>
      <c r="O17" s="1048"/>
    </row>
    <row r="18" spans="1:15" s="1039" customFormat="1" ht="33.6" customHeight="1">
      <c r="A18" s="1049" t="s">
        <v>754</v>
      </c>
      <c r="B18" s="1050">
        <v>677.26700000000005</v>
      </c>
      <c r="C18" s="1051">
        <v>0</v>
      </c>
      <c r="D18" s="1052">
        <v>445.36900000000003</v>
      </c>
      <c r="E18" s="1052">
        <v>0</v>
      </c>
      <c r="F18" s="1052">
        <v>0</v>
      </c>
      <c r="G18" s="1052">
        <v>445.36900000000003</v>
      </c>
      <c r="H18" s="1052">
        <v>718.4</v>
      </c>
      <c r="I18" s="1052">
        <v>7.49</v>
      </c>
      <c r="J18" s="1052">
        <v>0</v>
      </c>
      <c r="K18" s="1052">
        <v>5444.0169999999998</v>
      </c>
      <c r="L18" s="1053">
        <v>14.535</v>
      </c>
      <c r="M18" s="1054">
        <v>7307.0780000000004</v>
      </c>
      <c r="O18" s="1048"/>
    </row>
    <row r="19" spans="1:15" s="1039" customFormat="1" ht="33.6" customHeight="1">
      <c r="A19" s="1049" t="s">
        <v>755</v>
      </c>
      <c r="B19" s="1050">
        <v>38.56</v>
      </c>
      <c r="C19" s="1051">
        <v>0</v>
      </c>
      <c r="D19" s="1052">
        <v>981.1</v>
      </c>
      <c r="E19" s="1052">
        <v>0</v>
      </c>
      <c r="F19" s="1052">
        <v>0</v>
      </c>
      <c r="G19" s="1052">
        <v>981.1</v>
      </c>
      <c r="H19" s="1052">
        <v>2378.9</v>
      </c>
      <c r="I19" s="1052">
        <v>22.44</v>
      </c>
      <c r="J19" s="1052">
        <v>5900</v>
      </c>
      <c r="K19" s="1052">
        <v>7130.88</v>
      </c>
      <c r="L19" s="1053">
        <v>22.87</v>
      </c>
      <c r="M19" s="1054">
        <v>16474.75</v>
      </c>
      <c r="O19" s="1048"/>
    </row>
    <row r="20" spans="1:15" s="1039" customFormat="1" ht="33.6" customHeight="1">
      <c r="A20" s="1049" t="s">
        <v>756</v>
      </c>
      <c r="B20" s="1050">
        <v>1579.4549999999999</v>
      </c>
      <c r="C20" s="1051">
        <v>0</v>
      </c>
      <c r="D20" s="1052">
        <v>156.1</v>
      </c>
      <c r="E20" s="1052">
        <v>0</v>
      </c>
      <c r="F20" s="1052">
        <v>0</v>
      </c>
      <c r="G20" s="1052">
        <v>156.1</v>
      </c>
      <c r="H20" s="1052">
        <v>863</v>
      </c>
      <c r="I20" s="1052">
        <v>18.5</v>
      </c>
      <c r="J20" s="1052">
        <v>12800</v>
      </c>
      <c r="K20" s="1052">
        <v>5280.82</v>
      </c>
      <c r="L20" s="1053">
        <v>38.935000000000002</v>
      </c>
      <c r="M20" s="1054">
        <v>20736.810000000001</v>
      </c>
      <c r="O20" s="1048"/>
    </row>
    <row r="21" spans="1:15" s="1039" customFormat="1" ht="33.6" customHeight="1">
      <c r="A21" s="1049" t="s">
        <v>757</v>
      </c>
      <c r="B21" s="1050">
        <v>1445.569</v>
      </c>
      <c r="C21" s="1051">
        <v>0</v>
      </c>
      <c r="D21" s="1052">
        <v>8200</v>
      </c>
      <c r="E21" s="1052">
        <v>26.3</v>
      </c>
      <c r="F21" s="1052">
        <v>0</v>
      </c>
      <c r="G21" s="1052">
        <v>8226.2999999999993</v>
      </c>
      <c r="H21" s="1052">
        <v>1130.972</v>
      </c>
      <c r="I21" s="1052">
        <v>0.89</v>
      </c>
      <c r="J21" s="1052">
        <v>0</v>
      </c>
      <c r="K21" s="1052">
        <v>2611.471</v>
      </c>
      <c r="L21" s="1053">
        <v>9.5830000000000002</v>
      </c>
      <c r="M21" s="1054">
        <v>13424.785</v>
      </c>
      <c r="O21" s="1048"/>
    </row>
    <row r="22" spans="1:15" s="1039" customFormat="1" ht="33.6" customHeight="1">
      <c r="A22" s="1055" t="s">
        <v>758</v>
      </c>
      <c r="B22" s="1056">
        <v>0.81599999999999995</v>
      </c>
      <c r="C22" s="1057">
        <v>0</v>
      </c>
      <c r="D22" s="1058">
        <v>0</v>
      </c>
      <c r="E22" s="1058">
        <v>0</v>
      </c>
      <c r="F22" s="1058">
        <v>0</v>
      </c>
      <c r="G22" s="1058">
        <v>0</v>
      </c>
      <c r="H22" s="1058">
        <v>492.53</v>
      </c>
      <c r="I22" s="1058">
        <v>6.89</v>
      </c>
      <c r="J22" s="1058">
        <v>0</v>
      </c>
      <c r="K22" s="1058">
        <v>1579.0930000000001</v>
      </c>
      <c r="L22" s="1059">
        <v>91.38</v>
      </c>
      <c r="M22" s="1060">
        <v>2170.7089999999998</v>
      </c>
      <c r="O22" s="1048"/>
    </row>
    <row r="23" spans="1:15" s="1039" customFormat="1" ht="33.6" customHeight="1">
      <c r="A23" s="1061" t="s">
        <v>113</v>
      </c>
      <c r="B23" s="1015">
        <v>6515.6660000000002</v>
      </c>
      <c r="C23" s="1062">
        <v>400</v>
      </c>
      <c r="D23" s="1016">
        <v>40366.677000000003</v>
      </c>
      <c r="E23" s="1016">
        <v>65.2</v>
      </c>
      <c r="F23" s="1016">
        <v>196.3</v>
      </c>
      <c r="G23" s="1016">
        <v>41028.177000000003</v>
      </c>
      <c r="H23" s="1016">
        <v>45974.756000000001</v>
      </c>
      <c r="I23" s="1016">
        <v>96.7</v>
      </c>
      <c r="J23" s="1016">
        <v>26050</v>
      </c>
      <c r="K23" s="1016">
        <v>38514.764000000003</v>
      </c>
      <c r="L23" s="1017">
        <v>531.255</v>
      </c>
      <c r="M23" s="1063">
        <v>158711.318</v>
      </c>
      <c r="O23" s="1048"/>
    </row>
    <row r="24" spans="1:15" s="1064" customFormat="1" ht="15" customHeight="1">
      <c r="A24" s="346" t="s">
        <v>759</v>
      </c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46"/>
    </row>
    <row r="25" spans="1:15" s="1064" customFormat="1" ht="15" customHeight="1">
      <c r="A25" s="346" t="s">
        <v>760</v>
      </c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</row>
    <row r="26" spans="1:15" s="1064" customFormat="1" ht="15" customHeight="1">
      <c r="A26" s="346" t="s">
        <v>738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</row>
    <row r="27" spans="1:15" s="1039" customFormat="1" ht="3" customHeight="1">
      <c r="A27" s="346"/>
      <c r="B27" s="1065"/>
      <c r="C27" s="1065"/>
      <c r="D27" s="1065"/>
      <c r="E27" s="1065"/>
      <c r="F27" s="1065"/>
      <c r="G27" s="1065"/>
      <c r="H27" s="1065"/>
      <c r="I27" s="1065"/>
      <c r="J27" s="1065"/>
      <c r="K27" s="1065"/>
      <c r="L27" s="1065"/>
      <c r="M27" s="1065"/>
    </row>
    <row r="28" spans="1:15">
      <c r="A28" s="1065"/>
    </row>
  </sheetData>
  <mergeCells count="10">
    <mergeCell ref="K3:M3"/>
    <mergeCell ref="A4:A5"/>
    <mergeCell ref="B4:B5"/>
    <mergeCell ref="C4:G4"/>
    <mergeCell ref="H4:H5"/>
    <mergeCell ref="I4:I5"/>
    <mergeCell ref="J4:J5"/>
    <mergeCell ref="K4:K5"/>
    <mergeCell ref="L4:L5"/>
    <mergeCell ref="M4:M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1" orientation="portrait" useFirstPageNumber="1" r:id="rId1"/>
  <headerFooter differentOddEven="1" scaleWithDoc="0" alignWithMargins="0">
    <firstFooter>&amp;R&amp;P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262E-765E-4A3B-8E66-09BDA6F4D343}">
  <sheetPr>
    <tabColor theme="8"/>
    <pageSetUpPr fitToPage="1"/>
  </sheetPr>
  <dimension ref="A1:V21"/>
  <sheetViews>
    <sheetView showGridLines="0" view="pageBreakPreview" topLeftCell="A2" zoomScale="115" zoomScaleNormal="100" zoomScaleSheetLayoutView="115" workbookViewId="0"/>
  </sheetViews>
  <sheetFormatPr defaultColWidth="10" defaultRowHeight="12"/>
  <cols>
    <col min="1" max="1" width="6.875" style="1081" customWidth="1"/>
    <col min="2" max="2" width="6.125" style="1111" customWidth="1"/>
    <col min="3" max="3" width="20.25" style="1111" customWidth="1"/>
    <col min="4" max="4" width="20.25" style="1115" customWidth="1"/>
    <col min="5" max="6" width="20.25" style="1111" customWidth="1"/>
    <col min="7" max="16384" width="10" style="1081"/>
  </cols>
  <sheetData>
    <row r="1" spans="1:22" s="1071" customFormat="1" ht="23.25" customHeight="1">
      <c r="A1" s="354" t="s">
        <v>761</v>
      </c>
      <c r="B1" s="896"/>
      <c r="C1" s="1067"/>
      <c r="D1" s="1068"/>
      <c r="E1" s="1067"/>
      <c r="F1" s="1067"/>
      <c r="G1" s="1069"/>
      <c r="H1" s="1070"/>
      <c r="I1" s="1069"/>
      <c r="J1" s="1070"/>
      <c r="K1" s="1069"/>
      <c r="L1" s="1069"/>
      <c r="M1" s="1069"/>
      <c r="N1" s="1069"/>
      <c r="O1" s="1069"/>
      <c r="P1" s="1069"/>
      <c r="Q1" s="1069"/>
      <c r="R1" s="1069"/>
      <c r="S1" s="1069"/>
      <c r="T1" s="1069"/>
      <c r="U1" s="1069"/>
      <c r="V1" s="1069"/>
    </row>
    <row r="2" spans="1:22" s="1074" customFormat="1" ht="21" customHeight="1">
      <c r="A2" s="355" t="s">
        <v>762</v>
      </c>
      <c r="B2" s="896"/>
      <c r="C2" s="1067"/>
      <c r="D2" s="1068"/>
      <c r="E2" s="1067"/>
      <c r="F2" s="1067"/>
      <c r="G2" s="1072"/>
      <c r="H2" s="1073"/>
      <c r="I2" s="1072"/>
      <c r="J2" s="1073"/>
      <c r="K2" s="1072"/>
      <c r="L2" s="1072"/>
      <c r="M2" s="1072"/>
      <c r="N2" s="1072"/>
      <c r="O2" s="1072"/>
      <c r="P2" s="1072"/>
      <c r="Q2" s="1072"/>
      <c r="R2" s="1072"/>
      <c r="S2" s="1072"/>
      <c r="T2" s="1072"/>
      <c r="U2" s="1072"/>
      <c r="V2" s="1072"/>
    </row>
    <row r="3" spans="1:22" s="1074" customFormat="1" ht="21" customHeight="1">
      <c r="A3" s="355"/>
      <c r="B3" s="896"/>
      <c r="C3" s="1067"/>
      <c r="D3" s="1068"/>
      <c r="E3" s="1067"/>
      <c r="F3" s="1067"/>
      <c r="G3" s="1072"/>
      <c r="H3" s="1073"/>
      <c r="I3" s="1072"/>
      <c r="J3" s="1073"/>
      <c r="K3" s="1072"/>
      <c r="L3" s="1072"/>
      <c r="M3" s="1072"/>
      <c r="N3" s="1072"/>
      <c r="O3" s="1072"/>
      <c r="P3" s="1072"/>
      <c r="Q3" s="1072"/>
      <c r="R3" s="1072"/>
      <c r="S3" s="1072"/>
      <c r="T3" s="1072"/>
      <c r="U3" s="1072"/>
      <c r="V3" s="1072"/>
    </row>
    <row r="4" spans="1:22" s="1074" customFormat="1" ht="18" customHeight="1">
      <c r="A4" s="355"/>
      <c r="B4" s="896"/>
      <c r="C4" s="1067"/>
      <c r="D4" s="1068"/>
      <c r="E4" s="1067"/>
      <c r="F4" s="1075" t="s">
        <v>763</v>
      </c>
      <c r="G4" s="1072"/>
      <c r="H4" s="1073"/>
      <c r="I4" s="1072"/>
      <c r="J4" s="1073"/>
      <c r="K4" s="1072"/>
      <c r="L4" s="1072"/>
      <c r="M4" s="1072"/>
      <c r="N4" s="1072"/>
      <c r="O4" s="1072"/>
      <c r="P4" s="1072"/>
      <c r="Q4" s="1072"/>
      <c r="R4" s="1072"/>
      <c r="S4" s="1072"/>
      <c r="T4" s="1072"/>
      <c r="U4" s="1072"/>
      <c r="V4" s="1072"/>
    </row>
    <row r="5" spans="1:22" ht="26.25" customHeight="1">
      <c r="A5" s="1076" t="s">
        <v>764</v>
      </c>
      <c r="B5" s="1077"/>
      <c r="C5" s="1077" t="s">
        <v>765</v>
      </c>
      <c r="D5" s="1078" t="s">
        <v>501</v>
      </c>
      <c r="E5" s="1079" t="s">
        <v>766</v>
      </c>
      <c r="F5" s="1080" t="s">
        <v>767</v>
      </c>
    </row>
    <row r="6" spans="1:22" ht="26.25" customHeight="1">
      <c r="A6" s="1082"/>
      <c r="B6" s="1083"/>
      <c r="C6" s="1083"/>
      <c r="D6" s="1084" t="s">
        <v>768</v>
      </c>
      <c r="E6" s="1083"/>
      <c r="F6" s="1085"/>
      <c r="H6" s="1086"/>
    </row>
    <row r="7" spans="1:22" ht="53.1" customHeight="1">
      <c r="A7" s="1087" t="s">
        <v>97</v>
      </c>
      <c r="B7" s="1088"/>
      <c r="C7" s="1089" t="s">
        <v>769</v>
      </c>
      <c r="D7" s="1090" t="s">
        <v>770</v>
      </c>
      <c r="E7" s="1091" t="s">
        <v>771</v>
      </c>
      <c r="F7" s="1092" t="s">
        <v>772</v>
      </c>
    </row>
    <row r="8" spans="1:22" ht="53.1" customHeight="1">
      <c r="A8" s="1093"/>
      <c r="B8" s="1094"/>
      <c r="C8" s="1089" t="s">
        <v>773</v>
      </c>
      <c r="D8" s="1090" t="s">
        <v>770</v>
      </c>
      <c r="E8" s="1091" t="s">
        <v>774</v>
      </c>
      <c r="F8" s="1092" t="s">
        <v>775</v>
      </c>
    </row>
    <row r="9" spans="1:22" ht="53.1" customHeight="1">
      <c r="A9" s="1087" t="s">
        <v>776</v>
      </c>
      <c r="B9" s="1088"/>
      <c r="C9" s="1095" t="s">
        <v>777</v>
      </c>
      <c r="D9" s="1096" t="s">
        <v>778</v>
      </c>
      <c r="E9" s="1097" t="s">
        <v>779</v>
      </c>
      <c r="F9" s="1098" t="s">
        <v>780</v>
      </c>
    </row>
    <row r="10" spans="1:22" ht="53.1" customHeight="1">
      <c r="A10" s="1099"/>
      <c r="B10" s="1100"/>
      <c r="C10" s="1095" t="s">
        <v>781</v>
      </c>
      <c r="D10" s="1096" t="s">
        <v>782</v>
      </c>
      <c r="E10" s="1097" t="s">
        <v>783</v>
      </c>
      <c r="F10" s="1098" t="s">
        <v>784</v>
      </c>
    </row>
    <row r="11" spans="1:22" ht="53.1" customHeight="1">
      <c r="A11" s="1099"/>
      <c r="B11" s="1100"/>
      <c r="C11" s="1095" t="s">
        <v>785</v>
      </c>
      <c r="D11" s="1096" t="s">
        <v>786</v>
      </c>
      <c r="E11" s="1097" t="s">
        <v>787</v>
      </c>
      <c r="F11" s="1098" t="s">
        <v>784</v>
      </c>
    </row>
    <row r="12" spans="1:22" ht="53.1" customHeight="1">
      <c r="A12" s="1099"/>
      <c r="B12" s="1100"/>
      <c r="C12" s="1095" t="s">
        <v>788</v>
      </c>
      <c r="D12" s="1096" t="s">
        <v>789</v>
      </c>
      <c r="E12" s="1097" t="s">
        <v>790</v>
      </c>
      <c r="F12" s="1098" t="s">
        <v>791</v>
      </c>
    </row>
    <row r="13" spans="1:22" ht="53.1" customHeight="1">
      <c r="A13" s="1099"/>
      <c r="B13" s="1100"/>
      <c r="C13" s="1095" t="s">
        <v>792</v>
      </c>
      <c r="D13" s="1096" t="s">
        <v>793</v>
      </c>
      <c r="E13" s="1097" t="s">
        <v>794</v>
      </c>
      <c r="F13" s="1098" t="s">
        <v>791</v>
      </c>
    </row>
    <row r="14" spans="1:22" ht="53.1" customHeight="1">
      <c r="A14" s="1099"/>
      <c r="B14" s="1100"/>
      <c r="C14" s="1095" t="s">
        <v>795</v>
      </c>
      <c r="D14" s="1101" t="s">
        <v>796</v>
      </c>
      <c r="E14" s="1097" t="s">
        <v>797</v>
      </c>
      <c r="F14" s="1098" t="s">
        <v>798</v>
      </c>
    </row>
    <row r="15" spans="1:22" ht="53.1" customHeight="1">
      <c r="A15" s="1099"/>
      <c r="B15" s="1100"/>
      <c r="C15" s="1095" t="s">
        <v>799</v>
      </c>
      <c r="D15" s="1096" t="s">
        <v>800</v>
      </c>
      <c r="E15" s="1097" t="s">
        <v>801</v>
      </c>
      <c r="F15" s="1098" t="s">
        <v>802</v>
      </c>
    </row>
    <row r="16" spans="1:22" ht="53.1" customHeight="1">
      <c r="A16" s="1093"/>
      <c r="B16" s="1094"/>
      <c r="C16" s="1095" t="s">
        <v>803</v>
      </c>
      <c r="D16" s="1096" t="s">
        <v>804</v>
      </c>
      <c r="E16" s="1097" t="s">
        <v>805</v>
      </c>
      <c r="F16" s="1098" t="s">
        <v>806</v>
      </c>
    </row>
    <row r="17" spans="1:6" ht="53.1" customHeight="1">
      <c r="A17" s="1087" t="s">
        <v>452</v>
      </c>
      <c r="B17" s="1088"/>
      <c r="C17" s="1095" t="s">
        <v>807</v>
      </c>
      <c r="D17" s="1096" t="s">
        <v>808</v>
      </c>
      <c r="E17" s="1097" t="s">
        <v>809</v>
      </c>
      <c r="F17" s="1098" t="s">
        <v>810</v>
      </c>
    </row>
    <row r="18" spans="1:6" ht="53.1" customHeight="1">
      <c r="A18" s="1093"/>
      <c r="B18" s="1094"/>
      <c r="C18" s="1095" t="s">
        <v>811</v>
      </c>
      <c r="D18" s="1096" t="s">
        <v>812</v>
      </c>
      <c r="E18" s="1097" t="s">
        <v>813</v>
      </c>
      <c r="F18" s="1098" t="s">
        <v>810</v>
      </c>
    </row>
    <row r="19" spans="1:6" ht="53.1" customHeight="1">
      <c r="A19" s="1102" t="s">
        <v>455</v>
      </c>
      <c r="B19" s="1103"/>
      <c r="C19" s="1104" t="s">
        <v>814</v>
      </c>
      <c r="D19" s="1105" t="s">
        <v>815</v>
      </c>
      <c r="E19" s="1106" t="s">
        <v>816</v>
      </c>
      <c r="F19" s="1107" t="s">
        <v>817</v>
      </c>
    </row>
    <row r="20" spans="1:6">
      <c r="A20" s="1108"/>
      <c r="B20" s="1108"/>
      <c r="C20" s="1108"/>
      <c r="D20" s="1109"/>
      <c r="E20" s="1110"/>
      <c r="F20" s="1108"/>
    </row>
    <row r="21" spans="1:6">
      <c r="A21" s="413" t="s">
        <v>818</v>
      </c>
      <c r="C21" s="1112"/>
      <c r="D21" s="1113"/>
      <c r="E21" s="1112"/>
      <c r="F21" s="1114"/>
    </row>
  </sheetData>
  <mergeCells count="8">
    <mergeCell ref="A17:B18"/>
    <mergeCell ref="A19:B19"/>
    <mergeCell ref="A5:B6"/>
    <mergeCell ref="C5:C6"/>
    <mergeCell ref="E5:E6"/>
    <mergeCell ref="F5:F6"/>
    <mergeCell ref="A7:B8"/>
    <mergeCell ref="A9:B16"/>
  </mergeCells>
  <phoneticPr fontId="2" type="noConversion"/>
  <printOptions horizontalCentered="1"/>
  <pageMargins left="0.74803149606299213" right="0.74803149606299213" top="0.98425196850393704" bottom="0.70866141732283461" header="0.31496062992125984" footer="0.31496062992125984"/>
  <pageSetup paperSize="9" scale="82" firstPageNumber="22" fitToWidth="0" orientation="portrait" useFirstPageNumber="1" r:id="rId1"/>
  <headerFooter differentOddEven="1"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9A42-D70C-415A-92BC-CD5992B70F4E}">
  <sheetPr>
    <tabColor rgb="FFFF0000"/>
  </sheetPr>
  <dimension ref="C1:F48"/>
  <sheetViews>
    <sheetView view="pageBreakPreview" zoomScale="70" zoomScaleNormal="100" zoomScaleSheetLayoutView="70" workbookViewId="0"/>
  </sheetViews>
  <sheetFormatPr defaultColWidth="10" defaultRowHeight="16.5"/>
  <cols>
    <col min="1" max="2" width="10" style="263"/>
    <col min="3" max="3" width="6" style="263" customWidth="1"/>
    <col min="4" max="4" width="7.125" style="263" customWidth="1"/>
    <col min="5" max="5" width="19" style="263" customWidth="1"/>
    <col min="6" max="6" width="33.75" style="263" customWidth="1"/>
    <col min="7" max="16384" width="10" style="263"/>
  </cols>
  <sheetData>
    <row r="1" spans="3:6" ht="206.25" customHeight="1"/>
    <row r="2" spans="3:6" ht="7.5" customHeight="1">
      <c r="C2" s="264" t="s">
        <v>0</v>
      </c>
      <c r="D2" s="264" t="s">
        <v>0</v>
      </c>
      <c r="E2" s="265" t="s">
        <v>0</v>
      </c>
      <c r="F2" s="266" t="s">
        <v>0</v>
      </c>
    </row>
    <row r="3" spans="3:6" ht="8.25" customHeight="1"/>
    <row r="4" spans="3:6" ht="39">
      <c r="D4" s="267" t="s">
        <v>819</v>
      </c>
    </row>
    <row r="6" spans="3:6" ht="30" customHeight="1">
      <c r="E6" s="268" t="s">
        <v>820</v>
      </c>
    </row>
    <row r="7" spans="3:6" ht="9.9499999999999993" customHeight="1">
      <c r="E7" s="268"/>
    </row>
    <row r="8" spans="3:6" ht="30" customHeight="1">
      <c r="E8" s="268" t="s">
        <v>821</v>
      </c>
    </row>
    <row r="9" spans="3:6" ht="9.9499999999999993" customHeight="1">
      <c r="E9" s="269"/>
    </row>
    <row r="10" spans="3:6" ht="30" customHeight="1">
      <c r="E10" s="268" t="s">
        <v>822</v>
      </c>
    </row>
    <row r="11" spans="3:6" ht="9.9499999999999993" customHeight="1">
      <c r="E11" s="269"/>
    </row>
    <row r="12" spans="3:6" ht="30" customHeight="1">
      <c r="E12" s="268" t="s">
        <v>823</v>
      </c>
    </row>
    <row r="13" spans="3:6" ht="9.9499999999999993" customHeight="1">
      <c r="E13" s="269"/>
    </row>
    <row r="14" spans="3:6" ht="30" customHeight="1">
      <c r="E14" s="268" t="s">
        <v>824</v>
      </c>
    </row>
    <row r="48" ht="15.75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3" orientation="portrait" useFirstPageNumber="1" r:id="rId1"/>
  <headerFooter differentOddEven="1" scaleWithDoc="0" alignWithMargins="0">
    <firstFooter>&amp;R&amp;P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B37A-30E5-40A8-99E4-82F86CBDB59B}">
  <sheetPr>
    <tabColor theme="8"/>
  </sheetPr>
  <dimension ref="A1:AH69"/>
  <sheetViews>
    <sheetView view="pageBreakPreview" zoomScale="115" zoomScaleNormal="100" zoomScaleSheetLayoutView="11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8.375" style="287" customWidth="1"/>
    <col min="2" max="3" width="5.375" style="287" customWidth="1"/>
    <col min="4" max="4" width="6.25" style="287" customWidth="1"/>
    <col min="5" max="5" width="5.75" style="287" customWidth="1"/>
    <col min="6" max="6" width="5.375" style="287" customWidth="1"/>
    <col min="7" max="7" width="6.25" style="287" customWidth="1"/>
    <col min="8" max="8" width="5.75" style="287" customWidth="1"/>
    <col min="9" max="9" width="4.875" style="287" customWidth="1"/>
    <col min="10" max="10" width="6.25" style="287" customWidth="1"/>
    <col min="11" max="11" width="5.375" style="287" customWidth="1"/>
    <col min="12" max="12" width="4.875" style="287" customWidth="1"/>
    <col min="13" max="13" width="6.25" style="287" customWidth="1"/>
    <col min="14" max="14" width="5.375" style="287" customWidth="1"/>
    <col min="15" max="16" width="5.75" style="287" customWidth="1"/>
    <col min="17" max="17" width="5.375" style="287" customWidth="1"/>
    <col min="18" max="18" width="6.25" style="287" customWidth="1"/>
    <col min="19" max="19" width="5.875" style="287" customWidth="1"/>
    <col min="20" max="20" width="5.75" style="287" customWidth="1"/>
    <col min="21" max="21" width="6.25" style="287" customWidth="1"/>
    <col min="22" max="23" width="5.75" style="287" customWidth="1"/>
    <col min="24" max="24" width="6.25" style="287" customWidth="1"/>
    <col min="25" max="26" width="5.75" style="287" customWidth="1"/>
    <col min="27" max="28" width="6.25" style="287" customWidth="1"/>
    <col min="29" max="29" width="5.75" style="287" customWidth="1"/>
    <col min="30" max="30" width="6.125" style="353" customWidth="1"/>
    <col min="31" max="31" width="5.875" style="287" customWidth="1"/>
    <col min="32" max="32" width="5.75" style="287" customWidth="1"/>
    <col min="33" max="33" width="6.5" style="287" customWidth="1"/>
    <col min="34" max="37" width="8.875" style="287" bestFit="1" customWidth="1"/>
    <col min="38" max="38" width="7.875" style="287"/>
    <col min="39" max="39" width="8" style="287" bestFit="1" customWidth="1"/>
    <col min="40" max="40" width="9" style="287" bestFit="1" customWidth="1"/>
    <col min="41" max="16384" width="7.875" style="287"/>
  </cols>
  <sheetData>
    <row r="1" spans="1:33" s="273" customFormat="1" ht="26.25">
      <c r="A1" s="270" t="s">
        <v>825</v>
      </c>
      <c r="B1" s="1116"/>
      <c r="C1" s="271"/>
      <c r="D1" s="271"/>
      <c r="E1" s="1117"/>
      <c r="F1" s="1118"/>
      <c r="G1" s="1118"/>
      <c r="H1" s="1119"/>
      <c r="I1" s="1120"/>
      <c r="J1" s="271"/>
      <c r="K1" s="271"/>
      <c r="L1" s="271"/>
      <c r="M1" s="12"/>
      <c r="N1" s="271"/>
      <c r="O1" s="271"/>
      <c r="P1" s="271"/>
      <c r="Q1" s="271"/>
      <c r="R1" s="271"/>
      <c r="S1" s="271"/>
      <c r="T1" s="271"/>
      <c r="U1" s="271"/>
      <c r="V1" s="271"/>
      <c r="W1" s="272"/>
      <c r="X1" s="272"/>
      <c r="Y1" s="271"/>
      <c r="Z1" s="271"/>
      <c r="AA1" s="271"/>
      <c r="AB1" s="271"/>
      <c r="AC1" s="271"/>
      <c r="AD1" s="271"/>
      <c r="AE1" s="271"/>
      <c r="AF1" s="271"/>
      <c r="AG1" s="271"/>
    </row>
    <row r="2" spans="1:33" s="276" customFormat="1" ht="17.25">
      <c r="A2" s="274" t="s">
        <v>826</v>
      </c>
      <c r="B2" s="274"/>
      <c r="C2" s="274"/>
      <c r="D2" s="275"/>
      <c r="E2" s="12"/>
      <c r="F2" s="12"/>
      <c r="G2" s="12"/>
      <c r="H2" s="12"/>
      <c r="I2" s="12"/>
      <c r="J2" s="274"/>
      <c r="K2" s="274"/>
      <c r="L2" s="274"/>
      <c r="M2" s="12"/>
      <c r="N2" s="274"/>
      <c r="O2" s="274"/>
      <c r="P2" s="274"/>
      <c r="Q2" s="274"/>
      <c r="R2" s="274"/>
      <c r="S2" s="274"/>
      <c r="T2" s="274"/>
      <c r="U2" s="1121"/>
      <c r="V2" s="1121"/>
      <c r="W2" s="1121"/>
      <c r="X2" s="272"/>
      <c r="Y2" s="274"/>
      <c r="Z2" s="274"/>
      <c r="AA2" s="274"/>
      <c r="AB2" s="274"/>
      <c r="AC2" s="274"/>
      <c r="AD2" s="274"/>
      <c r="AE2" s="596"/>
      <c r="AF2" s="596"/>
      <c r="AG2" s="274"/>
    </row>
    <row r="3" spans="1:33" s="273" customFormat="1" ht="14.25" customHeight="1">
      <c r="A3" s="272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2"/>
      <c r="O3" s="272"/>
      <c r="P3" s="272"/>
      <c r="Q3" s="272"/>
      <c r="R3" s="272"/>
      <c r="S3" s="272"/>
      <c r="T3" s="272"/>
      <c r="U3" s="272"/>
      <c r="V3" s="272"/>
      <c r="W3" s="281"/>
      <c r="X3" s="272"/>
      <c r="Y3" s="271"/>
      <c r="Z3" s="271"/>
      <c r="AA3" s="281"/>
      <c r="AB3" s="281"/>
      <c r="AC3" s="281"/>
      <c r="AD3" s="271"/>
      <c r="AE3" s="1122" t="s">
        <v>827</v>
      </c>
      <c r="AF3" s="1122"/>
      <c r="AG3" s="1122"/>
    </row>
    <row r="4" spans="1:33" ht="21.75" customHeight="1">
      <c r="A4" s="283" t="s">
        <v>56</v>
      </c>
      <c r="B4" s="286" t="s">
        <v>150</v>
      </c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5"/>
      <c r="N4" s="286" t="s">
        <v>151</v>
      </c>
      <c r="O4" s="284"/>
      <c r="P4" s="284"/>
      <c r="Q4" s="1034"/>
      <c r="R4" s="1123" t="s">
        <v>152</v>
      </c>
      <c r="S4" s="284"/>
      <c r="T4" s="284"/>
      <c r="U4" s="285"/>
      <c r="V4" s="286" t="s">
        <v>153</v>
      </c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5"/>
    </row>
    <row r="5" spans="1:33" ht="18.75" customHeight="1">
      <c r="A5" s="288"/>
      <c r="B5" s="289" t="s">
        <v>154</v>
      </c>
      <c r="C5" s="290" t="s">
        <v>155</v>
      </c>
      <c r="D5" s="291"/>
      <c r="E5" s="291"/>
      <c r="F5" s="291"/>
      <c r="G5" s="292"/>
      <c r="H5" s="293" t="s">
        <v>156</v>
      </c>
      <c r="I5" s="293" t="s">
        <v>157</v>
      </c>
      <c r="J5" s="293" t="s">
        <v>12</v>
      </c>
      <c r="K5" s="295" t="s">
        <v>158</v>
      </c>
      <c r="L5" s="295" t="s">
        <v>159</v>
      </c>
      <c r="M5" s="296" t="s">
        <v>160</v>
      </c>
      <c r="N5" s="289" t="s">
        <v>161</v>
      </c>
      <c r="O5" s="290" t="s">
        <v>162</v>
      </c>
      <c r="P5" s="291"/>
      <c r="Q5" s="292"/>
      <c r="R5" s="293" t="s">
        <v>163</v>
      </c>
      <c r="S5" s="295" t="s">
        <v>158</v>
      </c>
      <c r="T5" s="295" t="s">
        <v>159</v>
      </c>
      <c r="U5" s="296" t="s">
        <v>160</v>
      </c>
      <c r="V5" s="289" t="s">
        <v>154</v>
      </c>
      <c r="W5" s="290" t="s">
        <v>164</v>
      </c>
      <c r="X5" s="291"/>
      <c r="Y5" s="291"/>
      <c r="Z5" s="291"/>
      <c r="AA5" s="292"/>
      <c r="AB5" s="293" t="s">
        <v>163</v>
      </c>
      <c r="AC5" s="295" t="s">
        <v>157</v>
      </c>
      <c r="AD5" s="293" t="s">
        <v>12</v>
      </c>
      <c r="AE5" s="295" t="s">
        <v>158</v>
      </c>
      <c r="AF5" s="295" t="s">
        <v>159</v>
      </c>
      <c r="AG5" s="296" t="s">
        <v>160</v>
      </c>
    </row>
    <row r="6" spans="1:33" ht="18.75" customHeight="1">
      <c r="A6" s="300"/>
      <c r="B6" s="301"/>
      <c r="C6" s="302" t="s">
        <v>108</v>
      </c>
      <c r="D6" s="302" t="s">
        <v>107</v>
      </c>
      <c r="E6" s="302" t="s">
        <v>186</v>
      </c>
      <c r="F6" s="302" t="s">
        <v>166</v>
      </c>
      <c r="G6" s="302" t="s">
        <v>167</v>
      </c>
      <c r="H6" s="303"/>
      <c r="I6" s="303"/>
      <c r="J6" s="303"/>
      <c r="K6" s="303"/>
      <c r="L6" s="305"/>
      <c r="M6" s="306"/>
      <c r="N6" s="301"/>
      <c r="O6" s="302" t="s">
        <v>107</v>
      </c>
      <c r="P6" s="302" t="s">
        <v>186</v>
      </c>
      <c r="Q6" s="302" t="s">
        <v>166</v>
      </c>
      <c r="R6" s="303"/>
      <c r="S6" s="303"/>
      <c r="T6" s="305"/>
      <c r="U6" s="306"/>
      <c r="V6" s="301"/>
      <c r="W6" s="302" t="s">
        <v>108</v>
      </c>
      <c r="X6" s="302" t="s">
        <v>107</v>
      </c>
      <c r="Y6" s="302" t="s">
        <v>186</v>
      </c>
      <c r="Z6" s="302" t="s">
        <v>187</v>
      </c>
      <c r="AA6" s="302" t="s">
        <v>160</v>
      </c>
      <c r="AB6" s="303"/>
      <c r="AC6" s="303"/>
      <c r="AD6" s="303"/>
      <c r="AE6" s="303"/>
      <c r="AF6" s="305"/>
      <c r="AG6" s="306"/>
    </row>
    <row r="7" spans="1:33" ht="24" customHeight="1">
      <c r="A7" s="1124">
        <v>2015</v>
      </c>
      <c r="B7" s="1125">
        <v>4427.049</v>
      </c>
      <c r="C7" s="1126">
        <v>7438.2709999999997</v>
      </c>
      <c r="D7" s="1126">
        <v>199895.424</v>
      </c>
      <c r="E7" s="1126">
        <v>8822.0059999999994</v>
      </c>
      <c r="F7" s="1126">
        <v>222.47200000000001</v>
      </c>
      <c r="G7" s="1126">
        <v>216378.17300000001</v>
      </c>
      <c r="H7" s="1126">
        <v>45922.866999999998</v>
      </c>
      <c r="I7" s="1126">
        <v>643.16399999999999</v>
      </c>
      <c r="J7" s="1126">
        <v>164762.416</v>
      </c>
      <c r="K7" s="1126">
        <v>624.51499999999999</v>
      </c>
      <c r="L7" s="1126" t="s">
        <v>133</v>
      </c>
      <c r="M7" s="1127">
        <v>432758.18300000002</v>
      </c>
      <c r="N7" s="1128">
        <v>1368.991</v>
      </c>
      <c r="O7" s="1126" t="s">
        <v>133</v>
      </c>
      <c r="P7" s="1126">
        <v>19755.304</v>
      </c>
      <c r="Q7" s="1126" t="s">
        <v>133</v>
      </c>
      <c r="R7" s="1127">
        <v>57514.281000000003</v>
      </c>
      <c r="S7" s="1129">
        <v>16693.434000000001</v>
      </c>
      <c r="T7" s="1127" t="s">
        <v>133</v>
      </c>
      <c r="U7" s="1130">
        <v>95332.01</v>
      </c>
      <c r="V7" s="1125">
        <v>5796.04</v>
      </c>
      <c r="W7" s="1126">
        <v>7438.2709999999997</v>
      </c>
      <c r="X7" s="1126">
        <v>199895.424</v>
      </c>
      <c r="Y7" s="1126">
        <v>28577.31</v>
      </c>
      <c r="Z7" s="1126">
        <v>222.47200000000001</v>
      </c>
      <c r="AA7" s="1126">
        <v>236133.47700000001</v>
      </c>
      <c r="AB7" s="1126">
        <v>103437.148</v>
      </c>
      <c r="AC7" s="1126">
        <v>643.16399999999999</v>
      </c>
      <c r="AD7" s="1127">
        <v>164762.416</v>
      </c>
      <c r="AE7" s="1129">
        <v>17317.949000000001</v>
      </c>
      <c r="AF7" s="1129" t="s">
        <v>133</v>
      </c>
      <c r="AG7" s="1131">
        <v>528090.19299999997</v>
      </c>
    </row>
    <row r="8" spans="1:33" ht="24" customHeight="1">
      <c r="A8" s="1124">
        <v>2016</v>
      </c>
      <c r="B8" s="1125">
        <v>4834.8180000000002</v>
      </c>
      <c r="C8" s="1126">
        <v>7760.6819999999998</v>
      </c>
      <c r="D8" s="1126">
        <v>200151.489</v>
      </c>
      <c r="E8" s="1126">
        <v>13054.77</v>
      </c>
      <c r="F8" s="1126">
        <v>368.541</v>
      </c>
      <c r="G8" s="1126">
        <v>221335.48199999999</v>
      </c>
      <c r="H8" s="1126">
        <v>46477.379000000001</v>
      </c>
      <c r="I8" s="1126">
        <v>573.19600000000003</v>
      </c>
      <c r="J8" s="1126">
        <v>161995.10399999999</v>
      </c>
      <c r="K8" s="1126">
        <v>1098.0640000000001</v>
      </c>
      <c r="L8" s="1126" t="s">
        <v>133</v>
      </c>
      <c r="M8" s="1127">
        <v>436314.04200000002</v>
      </c>
      <c r="N8" s="1128">
        <v>1798.7670000000001</v>
      </c>
      <c r="O8" s="1126">
        <v>9243.9869999999992</v>
      </c>
      <c r="P8" s="1126">
        <v>446.108</v>
      </c>
      <c r="Q8" s="1126">
        <v>1152.4849999999999</v>
      </c>
      <c r="R8" s="1127">
        <v>73016.858999999997</v>
      </c>
      <c r="S8" s="1126">
        <v>18468.606</v>
      </c>
      <c r="T8" s="1127" t="s">
        <v>133</v>
      </c>
      <c r="U8" s="1132">
        <v>104126.81200000001</v>
      </c>
      <c r="V8" s="1125">
        <v>6633.585</v>
      </c>
      <c r="W8" s="1126">
        <v>7760.6819999999998</v>
      </c>
      <c r="X8" s="1126">
        <v>209395.476</v>
      </c>
      <c r="Y8" s="1126">
        <v>13500.878000000001</v>
      </c>
      <c r="Z8" s="1126">
        <v>1521.0260000000001</v>
      </c>
      <c r="AA8" s="1126">
        <v>232178.06200000001</v>
      </c>
      <c r="AB8" s="1126">
        <v>119494.238</v>
      </c>
      <c r="AC8" s="1126">
        <v>573.19600000000003</v>
      </c>
      <c r="AD8" s="1127">
        <v>161995.10399999999</v>
      </c>
      <c r="AE8" s="1126">
        <v>19566.669999999998</v>
      </c>
      <c r="AF8" s="1126" t="s">
        <v>133</v>
      </c>
      <c r="AG8" s="1131">
        <v>540440.85400000005</v>
      </c>
    </row>
    <row r="9" spans="1:33" ht="24" customHeight="1">
      <c r="A9" s="1124">
        <v>2017</v>
      </c>
      <c r="B9" s="1125">
        <v>5262.5069999999996</v>
      </c>
      <c r="C9" s="1126">
        <v>4426.6109999999999</v>
      </c>
      <c r="D9" s="1126">
        <v>222759.88800000001</v>
      </c>
      <c r="E9" s="1126">
        <v>5224.768</v>
      </c>
      <c r="F9" s="1126">
        <v>220.18299999999999</v>
      </c>
      <c r="G9" s="1126">
        <v>232631.45</v>
      </c>
      <c r="H9" s="1126">
        <v>36956.557999999997</v>
      </c>
      <c r="I9" s="1126">
        <v>513.34699999999998</v>
      </c>
      <c r="J9" s="1126">
        <v>148426.72500000001</v>
      </c>
      <c r="K9" s="1126">
        <v>2693.4810000000002</v>
      </c>
      <c r="L9" s="1126" t="s">
        <v>133</v>
      </c>
      <c r="M9" s="1127">
        <v>426484.06800000003</v>
      </c>
      <c r="N9" s="1128">
        <v>1732.6659999999999</v>
      </c>
      <c r="O9" s="1126">
        <v>14423.953</v>
      </c>
      <c r="P9" s="1126">
        <v>391.05700000000002</v>
      </c>
      <c r="Q9" s="1126">
        <v>396.35300000000001</v>
      </c>
      <c r="R9" s="1127">
        <v>88515.942999999999</v>
      </c>
      <c r="S9" s="1126">
        <v>21586.066999999999</v>
      </c>
      <c r="T9" s="1127" t="s">
        <v>133</v>
      </c>
      <c r="U9" s="1132">
        <v>127046.039</v>
      </c>
      <c r="V9" s="1125">
        <v>6995.1729999999998</v>
      </c>
      <c r="W9" s="1126">
        <v>4426.6109999999999</v>
      </c>
      <c r="X9" s="1126">
        <v>237183.842</v>
      </c>
      <c r="Y9" s="1126">
        <v>5615.8249999999998</v>
      </c>
      <c r="Z9" s="1126">
        <v>616.53599999999994</v>
      </c>
      <c r="AA9" s="1126">
        <v>247842.81400000001</v>
      </c>
      <c r="AB9" s="1126">
        <v>125472.501</v>
      </c>
      <c r="AC9" s="1126">
        <v>513.34699999999998</v>
      </c>
      <c r="AD9" s="1127">
        <v>148426.72500000001</v>
      </c>
      <c r="AE9" s="1126">
        <v>24279.547999999999</v>
      </c>
      <c r="AF9" s="1126" t="s">
        <v>133</v>
      </c>
      <c r="AG9" s="1131">
        <v>553530.10699999996</v>
      </c>
    </row>
    <row r="10" spans="1:33" ht="24" customHeight="1">
      <c r="A10" s="1124">
        <v>2018</v>
      </c>
      <c r="B10" s="1125">
        <v>5187.2340000000004</v>
      </c>
      <c r="C10" s="1126">
        <v>2677.04</v>
      </c>
      <c r="D10" s="1126">
        <v>220140.57</v>
      </c>
      <c r="E10" s="1126">
        <v>5845.2470000000003</v>
      </c>
      <c r="F10" s="1126" t="s">
        <v>133</v>
      </c>
      <c r="G10" s="1126">
        <v>228662.85699999999</v>
      </c>
      <c r="H10" s="1126">
        <v>46779.843000000001</v>
      </c>
      <c r="I10" s="1126">
        <v>528.45299999999997</v>
      </c>
      <c r="J10" s="1126">
        <v>133505.261</v>
      </c>
      <c r="K10" s="1126">
        <v>3663.8020000000001</v>
      </c>
      <c r="L10" s="1126" t="s">
        <v>133</v>
      </c>
      <c r="M10" s="1127">
        <v>418327.451</v>
      </c>
      <c r="N10" s="1128">
        <v>2083.2190000000001</v>
      </c>
      <c r="O10" s="1126">
        <v>18999.138999999999</v>
      </c>
      <c r="P10" s="1126">
        <v>421.71300000000002</v>
      </c>
      <c r="Q10" s="1126">
        <v>498.96100000000001</v>
      </c>
      <c r="R10" s="1127">
        <v>105909.913</v>
      </c>
      <c r="S10" s="1126">
        <v>24406.111000000001</v>
      </c>
      <c r="T10" s="1127" t="s">
        <v>133</v>
      </c>
      <c r="U10" s="1132">
        <v>152319.05600000001</v>
      </c>
      <c r="V10" s="1125">
        <v>7270.4530000000004</v>
      </c>
      <c r="W10" s="1126">
        <v>2677.04</v>
      </c>
      <c r="X10" s="1126">
        <v>239139.71</v>
      </c>
      <c r="Y10" s="1126">
        <v>6266.9589999999998</v>
      </c>
      <c r="Z10" s="1126">
        <v>498.96100000000001</v>
      </c>
      <c r="AA10" s="1126">
        <v>248582.67</v>
      </c>
      <c r="AB10" s="1126">
        <v>152689.75599999999</v>
      </c>
      <c r="AC10" s="1126">
        <v>528.45299999999997</v>
      </c>
      <c r="AD10" s="1127">
        <v>133505.261</v>
      </c>
      <c r="AE10" s="1126">
        <v>28069.912</v>
      </c>
      <c r="AF10" s="1126" t="s">
        <v>133</v>
      </c>
      <c r="AG10" s="1131">
        <v>570646.50699999998</v>
      </c>
    </row>
    <row r="11" spans="1:33" ht="24" customHeight="1">
      <c r="A11" s="1124">
        <v>2019</v>
      </c>
      <c r="B11" s="1125">
        <v>4476.6400000000003</v>
      </c>
      <c r="C11" s="1126">
        <v>2592.2249999999999</v>
      </c>
      <c r="D11" s="1126">
        <v>209193.36799999999</v>
      </c>
      <c r="E11" s="1126">
        <v>1842.4780000000001</v>
      </c>
      <c r="F11" s="1126" t="s">
        <v>133</v>
      </c>
      <c r="G11" s="1126">
        <v>213628.071</v>
      </c>
      <c r="H11" s="1126">
        <v>39048.684999999998</v>
      </c>
      <c r="I11" s="1126">
        <v>578.91200000000003</v>
      </c>
      <c r="J11" s="1126">
        <v>145909.66899999999</v>
      </c>
      <c r="K11" s="1126">
        <v>5427.9620000000004</v>
      </c>
      <c r="L11" s="1126" t="s">
        <v>133</v>
      </c>
      <c r="M11" s="1127">
        <v>409069.93900000001</v>
      </c>
      <c r="N11" s="1128">
        <v>1770.424</v>
      </c>
      <c r="O11" s="1126">
        <v>17636.346000000001</v>
      </c>
      <c r="P11" s="1126">
        <v>412.86099999999999</v>
      </c>
      <c r="Q11" s="1126">
        <v>451.02699999999999</v>
      </c>
      <c r="R11" s="1127">
        <v>105627.802</v>
      </c>
      <c r="S11" s="1126">
        <v>25822.468000000001</v>
      </c>
      <c r="T11" s="1127">
        <v>2249.4380000000001</v>
      </c>
      <c r="U11" s="1132">
        <v>153970.36600000001</v>
      </c>
      <c r="V11" s="1125">
        <v>6247.0640000000003</v>
      </c>
      <c r="W11" s="1126">
        <v>2592.2249999999999</v>
      </c>
      <c r="X11" s="1126">
        <v>226829.71299999999</v>
      </c>
      <c r="Y11" s="1126">
        <v>2255.3380000000002</v>
      </c>
      <c r="Z11" s="1126">
        <v>451.02699999999999</v>
      </c>
      <c r="AA11" s="1126">
        <v>232128.304</v>
      </c>
      <c r="AB11" s="1126">
        <v>144676.48800000001</v>
      </c>
      <c r="AC11" s="1126">
        <v>578.91200000000003</v>
      </c>
      <c r="AD11" s="1127">
        <v>145909.66899999999</v>
      </c>
      <c r="AE11" s="1126">
        <v>31250.43</v>
      </c>
      <c r="AF11" s="1126">
        <v>2249.4380000000001</v>
      </c>
      <c r="AG11" s="1131">
        <v>563040.30500000005</v>
      </c>
    </row>
    <row r="12" spans="1:33" ht="24" customHeight="1">
      <c r="A12" s="1124">
        <v>2020</v>
      </c>
      <c r="B12" s="1125">
        <v>4501.6239999999998</v>
      </c>
      <c r="C12" s="1126">
        <v>2094.21</v>
      </c>
      <c r="D12" s="1126">
        <v>176714.01199999999</v>
      </c>
      <c r="E12" s="1126">
        <v>1503.944</v>
      </c>
      <c r="F12" s="1126">
        <v>586.62699999999995</v>
      </c>
      <c r="G12" s="1126">
        <v>180898.79300000001</v>
      </c>
      <c r="H12" s="1126">
        <v>41446.449000000001</v>
      </c>
      <c r="I12" s="1126">
        <v>404.673</v>
      </c>
      <c r="J12" s="1126">
        <v>160183.72099999999</v>
      </c>
      <c r="K12" s="1126">
        <v>7016.1459999999997</v>
      </c>
      <c r="L12" s="1126">
        <v>70.838999999999999</v>
      </c>
      <c r="M12" s="1127">
        <v>394522.245</v>
      </c>
      <c r="N12" s="1128">
        <v>2646.625</v>
      </c>
      <c r="O12" s="1126">
        <v>19293.147000000001</v>
      </c>
      <c r="P12" s="1126">
        <v>343.15699999999998</v>
      </c>
      <c r="Q12" s="1126">
        <v>359.92200000000003</v>
      </c>
      <c r="R12" s="1127">
        <v>103859.925</v>
      </c>
      <c r="S12" s="1126">
        <v>24040.363000000001</v>
      </c>
      <c r="T12" s="1127">
        <v>7096.777</v>
      </c>
      <c r="U12" s="1132">
        <v>157639.91500000001</v>
      </c>
      <c r="V12" s="1125">
        <v>7148.2489999999998</v>
      </c>
      <c r="W12" s="1126">
        <v>2094.21</v>
      </c>
      <c r="X12" s="1126">
        <v>196007.15900000001</v>
      </c>
      <c r="Y12" s="1126">
        <v>1847.1010000000001</v>
      </c>
      <c r="Z12" s="1126">
        <v>946.54899999999998</v>
      </c>
      <c r="AA12" s="1126">
        <v>200895.01800000001</v>
      </c>
      <c r="AB12" s="1126">
        <v>145306.37400000001</v>
      </c>
      <c r="AC12" s="1126">
        <v>404.673</v>
      </c>
      <c r="AD12" s="1127">
        <v>160183.72099999999</v>
      </c>
      <c r="AE12" s="1126">
        <v>31056.508000000002</v>
      </c>
      <c r="AF12" s="1126">
        <v>7167.616</v>
      </c>
      <c r="AG12" s="1131">
        <v>552162.16</v>
      </c>
    </row>
    <row r="13" spans="1:33" ht="24" customHeight="1">
      <c r="A13" s="1124">
        <v>2021</v>
      </c>
      <c r="B13" s="1125">
        <v>4761.91</v>
      </c>
      <c r="C13" s="1126">
        <v>1853.7829999999999</v>
      </c>
      <c r="D13" s="1126">
        <v>170565.60800000001</v>
      </c>
      <c r="E13" s="1126">
        <v>1493.8530000000001</v>
      </c>
      <c r="F13" s="1126">
        <v>1176.921</v>
      </c>
      <c r="G13" s="1126">
        <v>175090.166</v>
      </c>
      <c r="H13" s="1126">
        <v>53608.506000000001</v>
      </c>
      <c r="I13" s="1126">
        <v>490.697</v>
      </c>
      <c r="J13" s="1126">
        <v>158015.23000000001</v>
      </c>
      <c r="K13" s="1126">
        <v>8340.8279999999995</v>
      </c>
      <c r="L13" s="1126">
        <v>65.846000000000004</v>
      </c>
      <c r="M13" s="1127">
        <v>400373.18199999997</v>
      </c>
      <c r="N13" s="1128">
        <v>1975.5250000000001</v>
      </c>
      <c r="O13" s="1126">
        <v>26960.944</v>
      </c>
      <c r="P13" s="1126">
        <v>287.887</v>
      </c>
      <c r="Q13" s="1126">
        <v>318.41000000000003</v>
      </c>
      <c r="R13" s="1127">
        <v>113415.302</v>
      </c>
      <c r="S13" s="1126">
        <v>30760.727999999999</v>
      </c>
      <c r="T13" s="1127">
        <v>2717.511</v>
      </c>
      <c r="U13" s="1132">
        <v>176436.30600000001</v>
      </c>
      <c r="V13" s="1125">
        <v>6737.4340000000002</v>
      </c>
      <c r="W13" s="1126">
        <v>1853.7829999999999</v>
      </c>
      <c r="X13" s="1126">
        <v>197526.552</v>
      </c>
      <c r="Y13" s="1126">
        <v>1781.74</v>
      </c>
      <c r="Z13" s="1126">
        <v>1495.3309999999999</v>
      </c>
      <c r="AA13" s="1126">
        <v>202657.40599999999</v>
      </c>
      <c r="AB13" s="1126">
        <v>167023.80799999999</v>
      </c>
      <c r="AC13" s="1126">
        <v>490.697</v>
      </c>
      <c r="AD13" s="1127">
        <v>158015.23000000001</v>
      </c>
      <c r="AE13" s="1126">
        <v>39101.555999999997</v>
      </c>
      <c r="AF13" s="1126">
        <v>2783.357</v>
      </c>
      <c r="AG13" s="1131">
        <v>576809.48800000001</v>
      </c>
    </row>
    <row r="14" spans="1:33" s="1133" customFormat="1" ht="24" customHeight="1">
      <c r="A14" s="1124">
        <v>2022</v>
      </c>
      <c r="B14" s="1125">
        <v>5043.366</v>
      </c>
      <c r="C14" s="1126">
        <v>1870.76</v>
      </c>
      <c r="D14" s="1126">
        <v>162400.003</v>
      </c>
      <c r="E14" s="1126">
        <v>351.79300000000001</v>
      </c>
      <c r="F14" s="1126">
        <v>1377.345</v>
      </c>
      <c r="G14" s="1126">
        <v>165999.9</v>
      </c>
      <c r="H14" s="1126">
        <v>52243.277000000002</v>
      </c>
      <c r="I14" s="1126">
        <v>570.04600000000005</v>
      </c>
      <c r="J14" s="1126">
        <v>176054.01199999999</v>
      </c>
      <c r="K14" s="1126">
        <v>8461.92</v>
      </c>
      <c r="L14" s="1126">
        <v>68.94</v>
      </c>
      <c r="M14" s="1127">
        <v>408441.46100000001</v>
      </c>
      <c r="N14" s="1128">
        <v>2212.8620000000001</v>
      </c>
      <c r="O14" s="1126">
        <v>32389.742999999999</v>
      </c>
      <c r="P14" s="1126">
        <v>336.06299999999999</v>
      </c>
      <c r="Q14" s="1126">
        <v>305.21699999999998</v>
      </c>
      <c r="R14" s="1127">
        <v>109960.568</v>
      </c>
      <c r="S14" s="1126">
        <v>38804.336000000003</v>
      </c>
      <c r="T14" s="1127">
        <v>1950.114</v>
      </c>
      <c r="U14" s="1132">
        <v>185958.90400000001</v>
      </c>
      <c r="V14" s="1125">
        <v>7256.2280000000001</v>
      </c>
      <c r="W14" s="1126">
        <v>1870.76</v>
      </c>
      <c r="X14" s="1126">
        <v>194789.74600000001</v>
      </c>
      <c r="Y14" s="1126">
        <v>687.85599999999999</v>
      </c>
      <c r="Z14" s="1126">
        <v>1682.5619999999999</v>
      </c>
      <c r="AA14" s="1126">
        <v>199030.924</v>
      </c>
      <c r="AB14" s="1126">
        <v>162203.845</v>
      </c>
      <c r="AC14" s="1126">
        <v>570.04600000000005</v>
      </c>
      <c r="AD14" s="1127">
        <v>176054.01199999999</v>
      </c>
      <c r="AE14" s="1126">
        <v>47266.256000000001</v>
      </c>
      <c r="AF14" s="1126">
        <v>2019.0540000000001</v>
      </c>
      <c r="AG14" s="1131">
        <v>594400.36499999999</v>
      </c>
    </row>
    <row r="15" spans="1:33" s="1141" customFormat="1" ht="24" customHeight="1">
      <c r="A15" s="1134">
        <v>2023</v>
      </c>
      <c r="B15" s="1135">
        <v>5089.4920000000002</v>
      </c>
      <c r="C15" s="1136">
        <v>1875.8879999999999</v>
      </c>
      <c r="D15" s="1136">
        <v>148979.38699999999</v>
      </c>
      <c r="E15" s="1136" t="s">
        <v>133</v>
      </c>
      <c r="F15" s="1136">
        <v>878.10799999999995</v>
      </c>
      <c r="G15" s="1136">
        <v>151733.383</v>
      </c>
      <c r="H15" s="1136">
        <v>45949.296999999999</v>
      </c>
      <c r="I15" s="1136">
        <v>389.78899999999999</v>
      </c>
      <c r="J15" s="1136">
        <v>180494.09599999999</v>
      </c>
      <c r="K15" s="1136">
        <v>7850.6769999999997</v>
      </c>
      <c r="L15" s="1126">
        <v>63.808999999999997</v>
      </c>
      <c r="M15" s="1137">
        <v>391570.54300000001</v>
      </c>
      <c r="N15" s="1138">
        <v>2410.8220000000001</v>
      </c>
      <c r="O15" s="1136">
        <v>37611.122000000003</v>
      </c>
      <c r="P15" s="1136">
        <v>256.08</v>
      </c>
      <c r="Q15" s="1136">
        <v>370.05599999999998</v>
      </c>
      <c r="R15" s="1136">
        <v>110854.65300000001</v>
      </c>
      <c r="S15" s="1136">
        <v>42605.044999999998</v>
      </c>
      <c r="T15" s="1137">
        <v>2368.1819999999998</v>
      </c>
      <c r="U15" s="1139">
        <v>196475.96</v>
      </c>
      <c r="V15" s="1135">
        <v>7500.3140000000003</v>
      </c>
      <c r="W15" s="1136">
        <v>1875.8879999999999</v>
      </c>
      <c r="X15" s="1136">
        <v>186590.50899999999</v>
      </c>
      <c r="Y15" s="1136">
        <v>256.08</v>
      </c>
      <c r="Z15" s="1136">
        <v>1248.164</v>
      </c>
      <c r="AA15" s="1136">
        <v>189970.641</v>
      </c>
      <c r="AB15" s="1136">
        <v>156803.95000000001</v>
      </c>
      <c r="AC15" s="1136">
        <v>389.78899999999999</v>
      </c>
      <c r="AD15" s="1137">
        <v>180494.09599999999</v>
      </c>
      <c r="AE15" s="1136">
        <v>50455.722000000002</v>
      </c>
      <c r="AF15" s="1136">
        <v>2431.991</v>
      </c>
      <c r="AG15" s="1140">
        <v>588046.50300000003</v>
      </c>
    </row>
    <row r="16" spans="1:33" s="1133" customFormat="1" ht="24" customHeight="1">
      <c r="A16" s="1142">
        <v>2024</v>
      </c>
      <c r="B16" s="1128">
        <v>6200.3580000000002</v>
      </c>
      <c r="C16" s="1125">
        <v>1990.7539999999999</v>
      </c>
      <c r="D16" s="1125">
        <v>138814.459</v>
      </c>
      <c r="E16" s="1125" t="s">
        <v>133</v>
      </c>
      <c r="F16" s="1125">
        <v>586.42600000000004</v>
      </c>
      <c r="G16" s="1125">
        <v>141391.639</v>
      </c>
      <c r="H16" s="1125">
        <v>45960.4</v>
      </c>
      <c r="I16" s="1125">
        <v>328.60599999999999</v>
      </c>
      <c r="J16" s="1125">
        <v>188754.10200000001</v>
      </c>
      <c r="K16" s="1125">
        <v>9736.3590000000004</v>
      </c>
      <c r="L16" s="1126">
        <v>65.096000000000004</v>
      </c>
      <c r="M16" s="1131">
        <v>392436.56</v>
      </c>
      <c r="N16" s="1125">
        <v>2777.1909999999998</v>
      </c>
      <c r="O16" s="1125">
        <v>30116.512999999999</v>
      </c>
      <c r="P16" s="1125">
        <v>97.031000000000006</v>
      </c>
      <c r="Q16" s="1126">
        <v>364.61</v>
      </c>
      <c r="R16" s="1126">
        <v>120310.682</v>
      </c>
      <c r="S16" s="1125">
        <v>46800.745000000003</v>
      </c>
      <c r="T16" s="1143">
        <v>2697.3519999999999</v>
      </c>
      <c r="U16" s="1132">
        <v>203164.12400000001</v>
      </c>
      <c r="V16" s="1125">
        <v>8977.5490000000009</v>
      </c>
      <c r="W16" s="1125">
        <v>1990.7539999999999</v>
      </c>
      <c r="X16" s="1125">
        <v>168930.97200000001</v>
      </c>
      <c r="Y16" s="1125">
        <v>97.031000000000006</v>
      </c>
      <c r="Z16" s="1125">
        <v>951.03599999999994</v>
      </c>
      <c r="AA16" s="1125">
        <v>171969.79300000001</v>
      </c>
      <c r="AB16" s="1125">
        <v>166271.08300000001</v>
      </c>
      <c r="AC16" s="1125">
        <v>328.60599999999999</v>
      </c>
      <c r="AD16" s="1125">
        <v>188754.10200000001</v>
      </c>
      <c r="AE16" s="1125">
        <v>56537.103999999999</v>
      </c>
      <c r="AF16" s="1126">
        <v>2762.4479999999999</v>
      </c>
      <c r="AG16" s="1131">
        <v>595600.68400000001</v>
      </c>
    </row>
    <row r="17" spans="1:34" s="13" customFormat="1" ht="24" customHeight="1">
      <c r="A17" s="1142">
        <v>2025</v>
      </c>
      <c r="B17" s="1144">
        <v>5887.9769999999999</v>
      </c>
      <c r="C17" s="1145">
        <v>1349.452</v>
      </c>
      <c r="D17" s="1145">
        <v>140548.52600000001</v>
      </c>
      <c r="E17" s="1145" t="s">
        <v>133</v>
      </c>
      <c r="F17" s="1145" t="s">
        <v>133</v>
      </c>
      <c r="G17" s="1145">
        <v>141897.97700000001</v>
      </c>
      <c r="H17" s="1145">
        <v>37670.826999999997</v>
      </c>
      <c r="I17" s="1145">
        <v>331.47399999999999</v>
      </c>
      <c r="J17" s="1145">
        <v>184692.894</v>
      </c>
      <c r="K17" s="1145">
        <v>9050.5679999999993</v>
      </c>
      <c r="L17" s="1146">
        <v>61.637</v>
      </c>
      <c r="M17" s="1146">
        <v>379593.35399999999</v>
      </c>
      <c r="N17" s="1147">
        <v>2341.6320000000001</v>
      </c>
      <c r="O17" s="1145">
        <v>32435.484</v>
      </c>
      <c r="P17" s="1145">
        <v>103.429</v>
      </c>
      <c r="Q17" s="1145">
        <v>1357.462</v>
      </c>
      <c r="R17" s="1146">
        <v>124139.39200000001</v>
      </c>
      <c r="S17" s="1145">
        <v>53163.553999999996</v>
      </c>
      <c r="T17" s="1146">
        <v>2514.7339999999999</v>
      </c>
      <c r="U17" s="1148">
        <v>216055.68599999999</v>
      </c>
      <c r="V17" s="1144">
        <v>8229.6090000000004</v>
      </c>
      <c r="W17" s="1145">
        <v>1349.452</v>
      </c>
      <c r="X17" s="1145">
        <v>172984.01</v>
      </c>
      <c r="Y17" s="1145">
        <v>103.429</v>
      </c>
      <c r="Z17" s="1145">
        <v>1357.462</v>
      </c>
      <c r="AA17" s="1145">
        <v>175794.35200000001</v>
      </c>
      <c r="AB17" s="1145">
        <v>161810.21900000001</v>
      </c>
      <c r="AC17" s="1145">
        <v>331.47399999999999</v>
      </c>
      <c r="AD17" s="1146">
        <v>184692.894</v>
      </c>
      <c r="AE17" s="1145">
        <v>62214.122000000003</v>
      </c>
      <c r="AF17" s="1145">
        <v>2576.37</v>
      </c>
      <c r="AG17" s="1149">
        <v>595649.03899999999</v>
      </c>
    </row>
    <row r="18" spans="1:34" s="13" customFormat="1" ht="24" customHeight="1">
      <c r="A18" s="1150" t="s">
        <v>828</v>
      </c>
      <c r="B18" s="1151">
        <v>1935.931</v>
      </c>
      <c r="C18" s="1151">
        <v>363.08800000000002</v>
      </c>
      <c r="D18" s="1151">
        <v>34972.591999999997</v>
      </c>
      <c r="E18" s="1151" t="s">
        <v>133</v>
      </c>
      <c r="F18" s="1151" t="s">
        <v>133</v>
      </c>
      <c r="G18" s="1151">
        <v>35335.680999999997</v>
      </c>
      <c r="H18" s="1151">
        <v>13385.531999999999</v>
      </c>
      <c r="I18" s="1151">
        <v>108.154</v>
      </c>
      <c r="J18" s="1151">
        <v>67920.801999999996</v>
      </c>
      <c r="K18" s="1151">
        <v>3083.5920000000001</v>
      </c>
      <c r="L18" s="1151">
        <v>21.468</v>
      </c>
      <c r="M18" s="1152">
        <v>121791.158</v>
      </c>
      <c r="N18" s="1153">
        <v>587.529</v>
      </c>
      <c r="O18" s="1151">
        <v>7827.9030000000002</v>
      </c>
      <c r="P18" s="1151">
        <v>55.061999999999998</v>
      </c>
      <c r="Q18" s="1151">
        <v>271.82799999999997</v>
      </c>
      <c r="R18" s="1151">
        <v>45603.035000000003</v>
      </c>
      <c r="S18" s="1151">
        <v>17620.796999999999</v>
      </c>
      <c r="T18" s="1151">
        <v>858.95399999999995</v>
      </c>
      <c r="U18" s="1154">
        <v>72825.107999999993</v>
      </c>
      <c r="V18" s="1151">
        <v>2523.46</v>
      </c>
      <c r="W18" s="1151">
        <v>363.08800000000002</v>
      </c>
      <c r="X18" s="1151">
        <v>42800.495999999999</v>
      </c>
      <c r="Y18" s="1151">
        <v>55.061999999999998</v>
      </c>
      <c r="Z18" s="1151">
        <v>271.82799999999997</v>
      </c>
      <c r="AA18" s="1151">
        <v>43490.474000000002</v>
      </c>
      <c r="AB18" s="1151">
        <v>58988.567000000003</v>
      </c>
      <c r="AC18" s="1151">
        <v>108.154</v>
      </c>
      <c r="AD18" s="1151">
        <v>67920.801999999996</v>
      </c>
      <c r="AE18" s="1151">
        <v>20704.388999999999</v>
      </c>
      <c r="AF18" s="1151">
        <v>880.42200000000003</v>
      </c>
      <c r="AG18" s="1151">
        <v>194616.26699999999</v>
      </c>
    </row>
    <row r="19" spans="1:34" s="1133" customFormat="1" ht="24" customHeight="1">
      <c r="A19" s="1155">
        <v>2025.04</v>
      </c>
      <c r="B19" s="1156">
        <v>510.81099999999998</v>
      </c>
      <c r="C19" s="1157">
        <v>85.512</v>
      </c>
      <c r="D19" s="1157">
        <v>6653.63</v>
      </c>
      <c r="E19" s="1157" t="s">
        <v>133</v>
      </c>
      <c r="F19" s="1157" t="s">
        <v>133</v>
      </c>
      <c r="G19" s="1157">
        <v>6739.1419999999998</v>
      </c>
      <c r="H19" s="1157">
        <v>2912.2289999999998</v>
      </c>
      <c r="I19" s="1157">
        <v>25.37</v>
      </c>
      <c r="J19" s="1157">
        <v>15930.975</v>
      </c>
      <c r="K19" s="1157">
        <v>594.31100000000004</v>
      </c>
      <c r="L19" s="1158">
        <v>6.5910000000000002</v>
      </c>
      <c r="M19" s="1158">
        <v>26719.429</v>
      </c>
      <c r="N19" s="1159">
        <v>162.43600000000001</v>
      </c>
      <c r="O19" s="1157">
        <v>1659.66</v>
      </c>
      <c r="P19" s="1157">
        <v>3.9780000000000002</v>
      </c>
      <c r="Q19" s="1157">
        <v>50.993000000000002</v>
      </c>
      <c r="R19" s="1158">
        <v>10474.913</v>
      </c>
      <c r="S19" s="1157">
        <v>5272.277</v>
      </c>
      <c r="T19" s="1158">
        <v>197.70500000000001</v>
      </c>
      <c r="U19" s="1160">
        <v>17821.960999999999</v>
      </c>
      <c r="V19" s="1156">
        <v>673.24699999999996</v>
      </c>
      <c r="W19" s="1157">
        <v>85.512</v>
      </c>
      <c r="X19" s="1157">
        <v>8313.2900000000009</v>
      </c>
      <c r="Y19" s="1157">
        <v>3.9780000000000002</v>
      </c>
      <c r="Z19" s="1157">
        <v>50.993000000000002</v>
      </c>
      <c r="AA19" s="1157">
        <v>8453.7720000000008</v>
      </c>
      <c r="AB19" s="1157">
        <v>13387.141</v>
      </c>
      <c r="AC19" s="1157">
        <v>25.37</v>
      </c>
      <c r="AD19" s="1158">
        <v>15930.975</v>
      </c>
      <c r="AE19" s="1157">
        <v>5866.5889999999999</v>
      </c>
      <c r="AF19" s="1157">
        <v>204.297</v>
      </c>
      <c r="AG19" s="1161">
        <v>44541.39</v>
      </c>
    </row>
    <row r="20" spans="1:34" s="13" customFormat="1" ht="24" customHeight="1">
      <c r="A20" s="1162">
        <v>2025.05</v>
      </c>
      <c r="B20" s="1125">
        <v>578.01300000000003</v>
      </c>
      <c r="C20" s="1126">
        <v>6.359</v>
      </c>
      <c r="D20" s="1126">
        <v>8909.8860000000004</v>
      </c>
      <c r="E20" s="1126" t="s">
        <v>133</v>
      </c>
      <c r="F20" s="1126" t="s">
        <v>133</v>
      </c>
      <c r="G20" s="1126">
        <v>8916.2450000000008</v>
      </c>
      <c r="H20" s="1126">
        <v>3388.5369999999998</v>
      </c>
      <c r="I20" s="1126">
        <v>25.234000000000002</v>
      </c>
      <c r="J20" s="1126">
        <v>15888.942999999999</v>
      </c>
      <c r="K20" s="1126">
        <v>698.41399999999999</v>
      </c>
      <c r="L20" s="1127">
        <v>3.6659999999999999</v>
      </c>
      <c r="M20" s="1127">
        <v>29499.052</v>
      </c>
      <c r="N20" s="1128">
        <v>275.75099999999998</v>
      </c>
      <c r="O20" s="1126">
        <v>1857.7529999999999</v>
      </c>
      <c r="P20" s="1126">
        <v>3.5840000000000001</v>
      </c>
      <c r="Q20" s="1126">
        <v>18.826000000000001</v>
      </c>
      <c r="R20" s="1127">
        <v>8582.0759999999991</v>
      </c>
      <c r="S20" s="1126">
        <v>4962.5709999999999</v>
      </c>
      <c r="T20" s="1127">
        <v>208.024</v>
      </c>
      <c r="U20" s="1132">
        <v>15908.584000000001</v>
      </c>
      <c r="V20" s="1125">
        <v>853.76400000000001</v>
      </c>
      <c r="W20" s="1126">
        <v>6.359</v>
      </c>
      <c r="X20" s="1126">
        <v>10767.638999999999</v>
      </c>
      <c r="Y20" s="1126">
        <v>3.5840000000000001</v>
      </c>
      <c r="Z20" s="1126">
        <v>18.826000000000001</v>
      </c>
      <c r="AA20" s="1126">
        <v>10796.407999999999</v>
      </c>
      <c r="AB20" s="1126">
        <v>11970.612999999999</v>
      </c>
      <c r="AC20" s="1126">
        <v>25.234000000000002</v>
      </c>
      <c r="AD20" s="1127">
        <v>15888.942999999999</v>
      </c>
      <c r="AE20" s="1126">
        <v>5660.9840000000004</v>
      </c>
      <c r="AF20" s="1126">
        <v>211.69</v>
      </c>
      <c r="AG20" s="1131">
        <v>45407.635999999999</v>
      </c>
    </row>
    <row r="21" spans="1:34" s="13" customFormat="1" ht="24" customHeight="1">
      <c r="A21" s="1162">
        <v>2025.06</v>
      </c>
      <c r="B21" s="1125">
        <v>514.08000000000004</v>
      </c>
      <c r="C21" s="1126">
        <v>3.8740000000000001</v>
      </c>
      <c r="D21" s="1126">
        <v>11235.812</v>
      </c>
      <c r="E21" s="1126" t="s">
        <v>133</v>
      </c>
      <c r="F21" s="1126" t="s">
        <v>133</v>
      </c>
      <c r="G21" s="1126">
        <v>11239.686</v>
      </c>
      <c r="H21" s="1126">
        <v>2352.373</v>
      </c>
      <c r="I21" s="1126">
        <v>25.341000000000001</v>
      </c>
      <c r="J21" s="1126">
        <v>15062.355</v>
      </c>
      <c r="K21" s="1126">
        <v>713.827</v>
      </c>
      <c r="L21" s="1127">
        <v>6.7450000000000001</v>
      </c>
      <c r="M21" s="1127">
        <v>29914.407999999999</v>
      </c>
      <c r="N21" s="1128">
        <v>270.56099999999998</v>
      </c>
      <c r="O21" s="1126">
        <v>2865.0729999999999</v>
      </c>
      <c r="P21" s="1126">
        <v>3.3279999999999998</v>
      </c>
      <c r="Q21" s="1126">
        <v>33.475000000000001</v>
      </c>
      <c r="R21" s="1127">
        <v>9358.0079999999998</v>
      </c>
      <c r="S21" s="1126">
        <v>4875.9970000000003</v>
      </c>
      <c r="T21" s="1127">
        <v>189.73400000000001</v>
      </c>
      <c r="U21" s="1132">
        <v>17596.174999999999</v>
      </c>
      <c r="V21" s="1125">
        <v>784.64099999999996</v>
      </c>
      <c r="W21" s="1126">
        <v>3.8740000000000001</v>
      </c>
      <c r="X21" s="1126">
        <v>14100.885</v>
      </c>
      <c r="Y21" s="1126">
        <v>3.3279999999999998</v>
      </c>
      <c r="Z21" s="1126">
        <v>33.475000000000001</v>
      </c>
      <c r="AA21" s="1126">
        <v>14141.562</v>
      </c>
      <c r="AB21" s="1126">
        <v>11710.380999999999</v>
      </c>
      <c r="AC21" s="1126">
        <v>25.341000000000001</v>
      </c>
      <c r="AD21" s="1127">
        <v>15062.355</v>
      </c>
      <c r="AE21" s="1126">
        <v>5589.8239999999996</v>
      </c>
      <c r="AF21" s="1126">
        <v>196.47900000000001</v>
      </c>
      <c r="AG21" s="1131">
        <v>47510.582999999999</v>
      </c>
    </row>
    <row r="22" spans="1:34" s="1133" customFormat="1" ht="24" customHeight="1">
      <c r="A22" s="1162">
        <v>2025.07</v>
      </c>
      <c r="B22" s="1125">
        <v>471.84899999999999</v>
      </c>
      <c r="C22" s="1126">
        <v>137.99600000000001</v>
      </c>
      <c r="D22" s="1126">
        <v>16347.415999999999</v>
      </c>
      <c r="E22" s="1126" t="s">
        <v>133</v>
      </c>
      <c r="F22" s="1126" t="s">
        <v>133</v>
      </c>
      <c r="G22" s="1126">
        <v>16485.412</v>
      </c>
      <c r="H22" s="1126">
        <v>3483.8879999999999</v>
      </c>
      <c r="I22" s="1126">
        <v>31.11</v>
      </c>
      <c r="J22" s="1126">
        <v>15253.08</v>
      </c>
      <c r="K22" s="1126">
        <v>802.596</v>
      </c>
      <c r="L22" s="1126">
        <v>6.6289999999999996</v>
      </c>
      <c r="M22" s="1126">
        <v>36534.565000000002</v>
      </c>
      <c r="N22" s="1128">
        <v>168.87</v>
      </c>
      <c r="O22" s="1126">
        <v>4251.9070000000002</v>
      </c>
      <c r="P22" s="1126">
        <v>3.4740000000000002</v>
      </c>
      <c r="Q22" s="1126">
        <v>134.81800000000001</v>
      </c>
      <c r="R22" s="1127">
        <v>10637.968000000001</v>
      </c>
      <c r="S22" s="1126">
        <v>5220.1580000000004</v>
      </c>
      <c r="T22" s="1127">
        <v>191.40600000000001</v>
      </c>
      <c r="U22" s="1132">
        <v>20608.600999999999</v>
      </c>
      <c r="V22" s="1125">
        <v>640.72</v>
      </c>
      <c r="W22" s="1126">
        <v>137.99600000000001</v>
      </c>
      <c r="X22" s="1126">
        <v>20599.323</v>
      </c>
      <c r="Y22" s="1126">
        <v>3.4740000000000002</v>
      </c>
      <c r="Z22" s="1126">
        <v>134.81800000000001</v>
      </c>
      <c r="AA22" s="1126">
        <v>20875.61</v>
      </c>
      <c r="AB22" s="1126">
        <v>14121.856</v>
      </c>
      <c r="AC22" s="1126">
        <v>31.11</v>
      </c>
      <c r="AD22" s="1126">
        <v>15253.08</v>
      </c>
      <c r="AE22" s="1126">
        <v>6022.7539999999999</v>
      </c>
      <c r="AF22" s="1126">
        <v>198.035</v>
      </c>
      <c r="AG22" s="1131">
        <v>57143.165000000001</v>
      </c>
    </row>
    <row r="23" spans="1:34" s="13" customFormat="1" ht="24" customHeight="1">
      <c r="A23" s="1162">
        <v>2025.08</v>
      </c>
      <c r="B23" s="1125">
        <v>426.95</v>
      </c>
      <c r="C23" s="1126">
        <v>132.542</v>
      </c>
      <c r="D23" s="1126">
        <v>17166.866999999998</v>
      </c>
      <c r="E23" s="1126" t="s">
        <v>133</v>
      </c>
      <c r="F23" s="1126" t="s">
        <v>133</v>
      </c>
      <c r="G23" s="1126">
        <v>17299.409</v>
      </c>
      <c r="H23" s="1126">
        <v>3778.06</v>
      </c>
      <c r="I23" s="1126">
        <v>32.97</v>
      </c>
      <c r="J23" s="1126">
        <v>14068.521000000001</v>
      </c>
      <c r="K23" s="1126">
        <v>903.53499999999997</v>
      </c>
      <c r="L23" s="1127">
        <v>4.5540000000000003</v>
      </c>
      <c r="M23" s="1127">
        <v>36514</v>
      </c>
      <c r="N23" s="1128">
        <v>180.45599999999999</v>
      </c>
      <c r="O23" s="1126">
        <v>4112.09</v>
      </c>
      <c r="P23" s="1126">
        <v>3.3620000000000001</v>
      </c>
      <c r="Q23" s="1126">
        <v>72.078999999999994</v>
      </c>
      <c r="R23" s="1127">
        <v>11241.431</v>
      </c>
      <c r="S23" s="1126">
        <v>4845.2280000000001</v>
      </c>
      <c r="T23" s="1127">
        <v>193.63300000000001</v>
      </c>
      <c r="U23" s="1132">
        <v>20648.28</v>
      </c>
      <c r="V23" s="1125">
        <v>607.40700000000004</v>
      </c>
      <c r="W23" s="1126">
        <v>132.542</v>
      </c>
      <c r="X23" s="1126">
        <v>21278.956999999999</v>
      </c>
      <c r="Y23" s="1126">
        <v>3.3620000000000001</v>
      </c>
      <c r="Z23" s="1126">
        <v>72.078999999999994</v>
      </c>
      <c r="AA23" s="1126">
        <v>21486.94</v>
      </c>
      <c r="AB23" s="1126">
        <v>15019.491</v>
      </c>
      <c r="AC23" s="1126">
        <v>32.97</v>
      </c>
      <c r="AD23" s="1127">
        <v>14068.521000000001</v>
      </c>
      <c r="AE23" s="1126">
        <v>5748.7640000000001</v>
      </c>
      <c r="AF23" s="1126">
        <v>198.18700000000001</v>
      </c>
      <c r="AG23" s="1131">
        <v>57162.279000000002</v>
      </c>
    </row>
    <row r="24" spans="1:34" s="13" customFormat="1" ht="24" customHeight="1">
      <c r="A24" s="1162">
        <v>2025.09</v>
      </c>
      <c r="B24" s="1125">
        <v>528.33000000000004</v>
      </c>
      <c r="C24" s="1125">
        <v>101.152</v>
      </c>
      <c r="D24" s="1125">
        <v>15823.253000000001</v>
      </c>
      <c r="E24" s="1125" t="s">
        <v>133</v>
      </c>
      <c r="F24" s="1125" t="s">
        <v>133</v>
      </c>
      <c r="G24" s="1125">
        <v>15924.405000000001</v>
      </c>
      <c r="H24" s="1125">
        <v>2299.8609999999999</v>
      </c>
      <c r="I24" s="1125">
        <v>28.347999999999999</v>
      </c>
      <c r="J24" s="1125">
        <v>14251.332</v>
      </c>
      <c r="K24" s="1125">
        <v>735.91600000000005</v>
      </c>
      <c r="L24" s="1125">
        <v>1.6850000000000001</v>
      </c>
      <c r="M24" s="1132">
        <v>33769.875</v>
      </c>
      <c r="N24" s="1125">
        <v>167.607</v>
      </c>
      <c r="O24" s="1125">
        <v>3372.1559999999999</v>
      </c>
      <c r="P24" s="1125">
        <v>3.222</v>
      </c>
      <c r="Q24" s="1126">
        <v>183.59399999999999</v>
      </c>
      <c r="R24" s="1125">
        <v>9244.652</v>
      </c>
      <c r="S24" s="1125">
        <v>3815.54</v>
      </c>
      <c r="T24" s="1125">
        <v>172.70099999999999</v>
      </c>
      <c r="U24" s="1132">
        <v>16959.471000000001</v>
      </c>
      <c r="V24" s="1125">
        <v>695.93700000000001</v>
      </c>
      <c r="W24" s="1125">
        <v>101.152</v>
      </c>
      <c r="X24" s="1125">
        <v>19195.409</v>
      </c>
      <c r="Y24" s="1125">
        <v>3.222</v>
      </c>
      <c r="Z24" s="1125">
        <v>183.59399999999999</v>
      </c>
      <c r="AA24" s="1125">
        <v>19483.376</v>
      </c>
      <c r="AB24" s="1125">
        <v>11544.512000000001</v>
      </c>
      <c r="AC24" s="1125">
        <v>28.347999999999999</v>
      </c>
      <c r="AD24" s="1125">
        <v>14251.332</v>
      </c>
      <c r="AE24" s="1125">
        <v>4551.4549999999999</v>
      </c>
      <c r="AF24" s="1125">
        <v>174.386</v>
      </c>
      <c r="AG24" s="1132">
        <v>50729.345999999998</v>
      </c>
    </row>
    <row r="25" spans="1:34" s="13" customFormat="1" ht="24" customHeight="1">
      <c r="A25" s="1162">
        <v>2025.1</v>
      </c>
      <c r="B25" s="1125">
        <v>568.05499999999995</v>
      </c>
      <c r="C25" s="1126">
        <v>97.355000000000004</v>
      </c>
      <c r="D25" s="1126">
        <v>10682.521000000001</v>
      </c>
      <c r="E25" s="1126" t="s">
        <v>133</v>
      </c>
      <c r="F25" s="1126" t="s">
        <v>133</v>
      </c>
      <c r="G25" s="1126">
        <v>10779.876</v>
      </c>
      <c r="H25" s="1126">
        <v>2859.873</v>
      </c>
      <c r="I25" s="1126">
        <v>26.373999999999999</v>
      </c>
      <c r="J25" s="1126">
        <v>13750.289000000001</v>
      </c>
      <c r="K25" s="1126">
        <v>795.87699999999995</v>
      </c>
      <c r="L25" s="1127">
        <v>6.6669999999999998</v>
      </c>
      <c r="M25" s="1127">
        <v>28787.01</v>
      </c>
      <c r="N25" s="1128">
        <v>359.887</v>
      </c>
      <c r="O25" s="1126">
        <v>2861.0129999999999</v>
      </c>
      <c r="P25" s="1126">
        <v>3.8879999999999999</v>
      </c>
      <c r="Q25" s="1126">
        <v>198.15700000000001</v>
      </c>
      <c r="R25" s="1127">
        <v>9183.1200000000008</v>
      </c>
      <c r="S25" s="1126">
        <v>3677.1840000000002</v>
      </c>
      <c r="T25" s="1127">
        <v>191.916</v>
      </c>
      <c r="U25" s="1132">
        <v>16475.164000000001</v>
      </c>
      <c r="V25" s="1125">
        <v>927.94200000000001</v>
      </c>
      <c r="W25" s="1126">
        <v>97.355000000000004</v>
      </c>
      <c r="X25" s="1126">
        <v>13543.534</v>
      </c>
      <c r="Y25" s="1126">
        <v>3.8879999999999999</v>
      </c>
      <c r="Z25" s="1126">
        <v>198.15700000000001</v>
      </c>
      <c r="AA25" s="1126">
        <v>13842.933000000001</v>
      </c>
      <c r="AB25" s="1126">
        <v>12042.993</v>
      </c>
      <c r="AC25" s="1126">
        <v>26.373999999999999</v>
      </c>
      <c r="AD25" s="1127">
        <v>13750.289000000001</v>
      </c>
      <c r="AE25" s="1126">
        <v>4473.0609999999997</v>
      </c>
      <c r="AF25" s="1126">
        <v>198.583</v>
      </c>
      <c r="AG25" s="1131">
        <v>45262.173999999999</v>
      </c>
      <c r="AH25" s="1163"/>
    </row>
    <row r="26" spans="1:34" s="13" customFormat="1" ht="24" customHeight="1">
      <c r="A26" s="1162">
        <v>2025.11</v>
      </c>
      <c r="B26" s="1125">
        <v>457.779</v>
      </c>
      <c r="C26" s="1125">
        <v>257.44299999999998</v>
      </c>
      <c r="D26" s="1125">
        <v>10546.694</v>
      </c>
      <c r="E26" s="1125" t="s">
        <v>133</v>
      </c>
      <c r="F26" s="1125" t="s">
        <v>133</v>
      </c>
      <c r="G26" s="1125">
        <v>10804.137000000001</v>
      </c>
      <c r="H26" s="1125">
        <v>3198.8530000000001</v>
      </c>
      <c r="I26" s="1125">
        <v>25.666</v>
      </c>
      <c r="J26" s="1125">
        <v>13057.03</v>
      </c>
      <c r="K26" s="1125">
        <v>607.10900000000004</v>
      </c>
      <c r="L26" s="1125">
        <v>5.9539999999999997</v>
      </c>
      <c r="M26" s="1132">
        <v>28156.527999999998</v>
      </c>
      <c r="N26" s="1125">
        <v>181.24600000000001</v>
      </c>
      <c r="O26" s="1125">
        <v>2808.3229999999999</v>
      </c>
      <c r="P26" s="1125">
        <v>3.806</v>
      </c>
      <c r="Q26" s="1126">
        <v>168.989</v>
      </c>
      <c r="R26" s="1125">
        <v>9895.6610000000001</v>
      </c>
      <c r="S26" s="1125">
        <v>4226.8879999999999</v>
      </c>
      <c r="T26" s="1125">
        <v>241.172</v>
      </c>
      <c r="U26" s="1132">
        <v>17526.084999999999</v>
      </c>
      <c r="V26" s="1125">
        <v>639.02499999999998</v>
      </c>
      <c r="W26" s="1125">
        <v>257.44299999999998</v>
      </c>
      <c r="X26" s="1125">
        <v>13355.017</v>
      </c>
      <c r="Y26" s="1125">
        <v>3.806</v>
      </c>
      <c r="Z26" s="1125">
        <v>168.989</v>
      </c>
      <c r="AA26" s="1125">
        <v>13785.254999999999</v>
      </c>
      <c r="AB26" s="1125">
        <v>13094.513999999999</v>
      </c>
      <c r="AC26" s="1125">
        <v>25.666</v>
      </c>
      <c r="AD26" s="1125">
        <v>13057.03</v>
      </c>
      <c r="AE26" s="1125">
        <v>4833.9970000000003</v>
      </c>
      <c r="AF26" s="1125">
        <v>247.12700000000001</v>
      </c>
      <c r="AG26" s="1132">
        <v>45682.614000000001</v>
      </c>
    </row>
    <row r="27" spans="1:34" s="1133" customFormat="1" ht="24" customHeight="1">
      <c r="A27" s="1162">
        <v>2025.12</v>
      </c>
      <c r="B27" s="1125">
        <v>406.99</v>
      </c>
      <c r="C27" s="1126">
        <v>249.642</v>
      </c>
      <c r="D27" s="1126">
        <v>14863.485000000001</v>
      </c>
      <c r="E27" s="1126" t="s">
        <v>133</v>
      </c>
      <c r="F27" s="1126" t="s">
        <v>133</v>
      </c>
      <c r="G27" s="1126">
        <v>15113.127</v>
      </c>
      <c r="H27" s="1126">
        <v>2923.8510000000001</v>
      </c>
      <c r="I27" s="1126">
        <v>28.276</v>
      </c>
      <c r="J27" s="1126">
        <v>15440.541999999999</v>
      </c>
      <c r="K27" s="1126">
        <v>709.702</v>
      </c>
      <c r="L27" s="1127">
        <v>4.2690000000000001</v>
      </c>
      <c r="M27" s="1127">
        <v>34626.756999999998</v>
      </c>
      <c r="N27" s="1128">
        <v>149.72399999999999</v>
      </c>
      <c r="O27" s="1126">
        <v>2479.2669999999998</v>
      </c>
      <c r="P27" s="1126">
        <v>23.704000000000001</v>
      </c>
      <c r="Q27" s="1126">
        <v>275.69600000000003</v>
      </c>
      <c r="R27" s="1127">
        <v>10393.441000000001</v>
      </c>
      <c r="S27" s="1126">
        <v>3919.192</v>
      </c>
      <c r="T27" s="1127">
        <v>267.19400000000002</v>
      </c>
      <c r="U27" s="1132">
        <v>17508.217000000001</v>
      </c>
      <c r="V27" s="1125">
        <v>556.71400000000006</v>
      </c>
      <c r="W27" s="1126">
        <v>249.642</v>
      </c>
      <c r="X27" s="1126">
        <v>17342.752</v>
      </c>
      <c r="Y27" s="1126">
        <v>23.704000000000001</v>
      </c>
      <c r="Z27" s="1126">
        <v>275.69600000000003</v>
      </c>
      <c r="AA27" s="1126">
        <v>17891.793000000001</v>
      </c>
      <c r="AB27" s="1126">
        <v>13317.291999999999</v>
      </c>
      <c r="AC27" s="1126">
        <v>28.276</v>
      </c>
      <c r="AD27" s="1127">
        <v>15440.541999999999</v>
      </c>
      <c r="AE27" s="1126">
        <v>4628.8940000000002</v>
      </c>
      <c r="AF27" s="1126">
        <v>271.46300000000002</v>
      </c>
      <c r="AG27" s="1131">
        <v>52134.974000000002</v>
      </c>
    </row>
    <row r="28" spans="1:34" s="1133" customFormat="1" ht="24" customHeight="1">
      <c r="A28" s="1164" t="s">
        <v>829</v>
      </c>
      <c r="B28" s="1165">
        <v>1374.8810000000001</v>
      </c>
      <c r="C28" s="1166">
        <v>17.053999999999998</v>
      </c>
      <c r="D28" s="1166">
        <v>45297.281000000003</v>
      </c>
      <c r="E28" s="1166" t="s">
        <v>133</v>
      </c>
      <c r="F28" s="1166" t="s">
        <v>133</v>
      </c>
      <c r="G28" s="1166">
        <v>45314.334000000003</v>
      </c>
      <c r="H28" s="1166">
        <v>15704.162</v>
      </c>
      <c r="I28" s="1166">
        <v>106.06699999999999</v>
      </c>
      <c r="J28" s="1166">
        <v>53576.692000000003</v>
      </c>
      <c r="K28" s="1166">
        <v>2485.6849999999999</v>
      </c>
      <c r="L28" s="1167">
        <v>22.529</v>
      </c>
      <c r="M28" s="1167">
        <v>118584.349</v>
      </c>
      <c r="N28" s="1168">
        <v>604.05999999999995</v>
      </c>
      <c r="O28" s="1166">
        <v>9990.3889999999992</v>
      </c>
      <c r="P28" s="1166">
        <v>23.547999999999998</v>
      </c>
      <c r="Q28" s="1166">
        <v>981.59699999999998</v>
      </c>
      <c r="R28" s="1167">
        <v>42800.093000000001</v>
      </c>
      <c r="S28" s="1166">
        <v>19699.937999999998</v>
      </c>
      <c r="T28" s="1167">
        <v>759.34699999999998</v>
      </c>
      <c r="U28" s="1169">
        <v>74858.971999999994</v>
      </c>
      <c r="V28" s="1165">
        <v>1978.941</v>
      </c>
      <c r="W28" s="1166">
        <v>17.053999999999998</v>
      </c>
      <c r="X28" s="1166">
        <v>55287.669000000002</v>
      </c>
      <c r="Y28" s="1166">
        <v>23.547999999999998</v>
      </c>
      <c r="Z28" s="1166">
        <v>981.59699999999998</v>
      </c>
      <c r="AA28" s="1166">
        <v>56309.868000000002</v>
      </c>
      <c r="AB28" s="1166">
        <v>58504.254999999997</v>
      </c>
      <c r="AC28" s="1166">
        <v>106.06699999999999</v>
      </c>
      <c r="AD28" s="1167">
        <v>53576.692000000003</v>
      </c>
      <c r="AE28" s="1166">
        <v>22185.623</v>
      </c>
      <c r="AF28" s="1166">
        <v>781.87599999999998</v>
      </c>
      <c r="AG28" s="1170">
        <v>193443.321</v>
      </c>
    </row>
    <row r="29" spans="1:34" s="13" customFormat="1" ht="24" customHeight="1">
      <c r="A29" s="1155">
        <v>2026.01</v>
      </c>
      <c r="B29" s="1156">
        <v>355.40800000000002</v>
      </c>
      <c r="C29" s="1157">
        <v>1E-3</v>
      </c>
      <c r="D29" s="1157">
        <v>14420.416999999999</v>
      </c>
      <c r="E29" s="1157" t="s">
        <v>133</v>
      </c>
      <c r="F29" s="1157" t="s">
        <v>133</v>
      </c>
      <c r="G29" s="1157">
        <v>14420.418</v>
      </c>
      <c r="H29" s="1157">
        <v>5013.451</v>
      </c>
      <c r="I29" s="1157">
        <v>29.437999999999999</v>
      </c>
      <c r="J29" s="1157">
        <v>14647.019</v>
      </c>
      <c r="K29" s="1157">
        <v>717.27300000000002</v>
      </c>
      <c r="L29" s="1158">
        <v>6.6859999999999999</v>
      </c>
      <c r="M29" s="1158">
        <v>35189.692999999999</v>
      </c>
      <c r="N29" s="1159">
        <v>150.94800000000001</v>
      </c>
      <c r="O29" s="1157">
        <v>2752.2849999999999</v>
      </c>
      <c r="P29" s="1157">
        <v>8.4949999999999992</v>
      </c>
      <c r="Q29" s="1157">
        <v>286.61700000000002</v>
      </c>
      <c r="R29" s="1158">
        <v>11984.995999999999</v>
      </c>
      <c r="S29" s="1157">
        <v>4543.6840000000002</v>
      </c>
      <c r="T29" s="1158">
        <v>232.7</v>
      </c>
      <c r="U29" s="1160">
        <v>19959.724999999999</v>
      </c>
      <c r="V29" s="1156">
        <v>506.35599999999999</v>
      </c>
      <c r="W29" s="1157">
        <v>1E-3</v>
      </c>
      <c r="X29" s="1157">
        <v>17172.702000000001</v>
      </c>
      <c r="Y29" s="1157">
        <v>8.4949999999999992</v>
      </c>
      <c r="Z29" s="1157">
        <v>286.61700000000002</v>
      </c>
      <c r="AA29" s="1157">
        <v>17467.814999999999</v>
      </c>
      <c r="AB29" s="1157">
        <v>16998.447</v>
      </c>
      <c r="AC29" s="1157">
        <v>29.437999999999999</v>
      </c>
      <c r="AD29" s="1158">
        <v>14647.019</v>
      </c>
      <c r="AE29" s="1157">
        <v>5260.9560000000001</v>
      </c>
      <c r="AF29" s="1157">
        <v>239.386</v>
      </c>
      <c r="AG29" s="1161">
        <v>55149.417999999998</v>
      </c>
    </row>
    <row r="30" spans="1:34" s="1133" customFormat="1" ht="24" customHeight="1">
      <c r="A30" s="1162">
        <v>2026.02</v>
      </c>
      <c r="B30" s="1125">
        <v>316.512</v>
      </c>
      <c r="C30" s="1126">
        <v>17.048999999999999</v>
      </c>
      <c r="D30" s="1126">
        <v>11598.323</v>
      </c>
      <c r="E30" s="1126" t="s">
        <v>133</v>
      </c>
      <c r="F30" s="1126" t="s">
        <v>133</v>
      </c>
      <c r="G30" s="1126">
        <v>11615.371999999999</v>
      </c>
      <c r="H30" s="1126">
        <v>3524.7469999999998</v>
      </c>
      <c r="I30" s="1126">
        <v>24.872</v>
      </c>
      <c r="J30" s="1126">
        <v>12072.444</v>
      </c>
      <c r="K30" s="1126">
        <v>584.04499999999996</v>
      </c>
      <c r="L30" s="1127">
        <v>5.9459999999999997</v>
      </c>
      <c r="M30" s="1127">
        <v>28143.937000000002</v>
      </c>
      <c r="N30" s="1128">
        <v>137.57599999999999</v>
      </c>
      <c r="O30" s="1126">
        <v>2359.511</v>
      </c>
      <c r="P30" s="1126">
        <v>5.76</v>
      </c>
      <c r="Q30" s="1126">
        <v>252.86500000000001</v>
      </c>
      <c r="R30" s="1127">
        <v>10426.367</v>
      </c>
      <c r="S30" s="1126">
        <v>4420.3710000000001</v>
      </c>
      <c r="T30" s="1127">
        <v>195.22</v>
      </c>
      <c r="U30" s="1132">
        <v>17797.669999999998</v>
      </c>
      <c r="V30" s="1125">
        <v>454.08699999999999</v>
      </c>
      <c r="W30" s="1126">
        <v>17.048999999999999</v>
      </c>
      <c r="X30" s="1126">
        <v>13957.834000000001</v>
      </c>
      <c r="Y30" s="1126">
        <v>5.76</v>
      </c>
      <c r="Z30" s="1126">
        <v>252.86500000000001</v>
      </c>
      <c r="AA30" s="1126">
        <v>14233.508</v>
      </c>
      <c r="AB30" s="1126">
        <v>13951.112999999999</v>
      </c>
      <c r="AC30" s="1126">
        <v>24.872</v>
      </c>
      <c r="AD30" s="1127">
        <v>12072.444</v>
      </c>
      <c r="AE30" s="1126">
        <v>5004.4160000000002</v>
      </c>
      <c r="AF30" s="1126">
        <v>201.166</v>
      </c>
      <c r="AG30" s="1131">
        <v>45941.607000000004</v>
      </c>
    </row>
    <row r="31" spans="1:34" s="13" customFormat="1" ht="24" customHeight="1">
      <c r="A31" s="1162">
        <v>2026.03</v>
      </c>
      <c r="B31" s="1125">
        <v>348.084</v>
      </c>
      <c r="C31" s="1126">
        <v>0</v>
      </c>
      <c r="D31" s="1126">
        <v>10258.066000000001</v>
      </c>
      <c r="E31" s="1126" t="s">
        <v>133</v>
      </c>
      <c r="F31" s="1126" t="s">
        <v>133</v>
      </c>
      <c r="G31" s="1126">
        <v>10258.066000000001</v>
      </c>
      <c r="H31" s="1126">
        <v>3761.277</v>
      </c>
      <c r="I31" s="1126">
        <v>27.082999999999998</v>
      </c>
      <c r="J31" s="1126">
        <v>13248.62</v>
      </c>
      <c r="K31" s="1126">
        <v>579.601</v>
      </c>
      <c r="L31" s="1127">
        <v>3.4279999999999999</v>
      </c>
      <c r="M31" s="1127">
        <v>28226.16</v>
      </c>
      <c r="N31" s="1128">
        <v>152.82</v>
      </c>
      <c r="O31" s="1126">
        <v>2493.5790000000002</v>
      </c>
      <c r="P31" s="1126">
        <v>5.492</v>
      </c>
      <c r="Q31" s="1126">
        <v>261.91199999999998</v>
      </c>
      <c r="R31" s="1127">
        <v>11339.425999999999</v>
      </c>
      <c r="S31" s="1126">
        <v>5294.5150000000003</v>
      </c>
      <c r="T31" s="1127">
        <v>200.245</v>
      </c>
      <c r="U31" s="1132">
        <v>19747.989000000001</v>
      </c>
      <c r="V31" s="1125">
        <v>500.904</v>
      </c>
      <c r="W31" s="1126">
        <v>0</v>
      </c>
      <c r="X31" s="1126">
        <v>12751.645</v>
      </c>
      <c r="Y31" s="1126">
        <v>5.492</v>
      </c>
      <c r="Z31" s="1126">
        <v>261.91199999999998</v>
      </c>
      <c r="AA31" s="1126">
        <v>13019.049000000001</v>
      </c>
      <c r="AB31" s="1126">
        <v>15100.703</v>
      </c>
      <c r="AC31" s="1126">
        <v>27.082999999999998</v>
      </c>
      <c r="AD31" s="1127">
        <v>13248.62</v>
      </c>
      <c r="AE31" s="1126">
        <v>5874.116</v>
      </c>
      <c r="AF31" s="1126">
        <v>203.673</v>
      </c>
      <c r="AG31" s="1131">
        <v>47974.148999999998</v>
      </c>
    </row>
    <row r="32" spans="1:34" s="1133" customFormat="1" ht="24" customHeight="1">
      <c r="A32" s="1171">
        <v>2026.04</v>
      </c>
      <c r="B32" s="1172">
        <v>354.87700000000001</v>
      </c>
      <c r="C32" s="1173">
        <v>4.0000000000000001E-3</v>
      </c>
      <c r="D32" s="1173">
        <v>9020.4750000000004</v>
      </c>
      <c r="E32" s="1173" t="s">
        <v>133</v>
      </c>
      <c r="F32" s="1173" t="s">
        <v>133</v>
      </c>
      <c r="G32" s="1173">
        <v>9020.4789999999994</v>
      </c>
      <c r="H32" s="1173">
        <v>3404.6869999999999</v>
      </c>
      <c r="I32" s="1173">
        <v>24.672999999999998</v>
      </c>
      <c r="J32" s="1173">
        <v>13608.608</v>
      </c>
      <c r="K32" s="1173">
        <v>604.76599999999996</v>
      </c>
      <c r="L32" s="1174">
        <v>6.4690000000000003</v>
      </c>
      <c r="M32" s="1174">
        <v>27024.560000000001</v>
      </c>
      <c r="N32" s="1175">
        <v>162.71600000000001</v>
      </c>
      <c r="O32" s="1173">
        <v>2385.0129999999999</v>
      </c>
      <c r="P32" s="1173">
        <v>3.8</v>
      </c>
      <c r="Q32" s="1173">
        <v>180.203</v>
      </c>
      <c r="R32" s="1174">
        <v>9049.3050000000003</v>
      </c>
      <c r="S32" s="1173">
        <v>5441.3680000000004</v>
      </c>
      <c r="T32" s="1174">
        <v>131.18199999999999</v>
      </c>
      <c r="U32" s="1176">
        <v>17353.587</v>
      </c>
      <c r="V32" s="1172">
        <v>517.59299999999996</v>
      </c>
      <c r="W32" s="1173">
        <v>4.0000000000000001E-3</v>
      </c>
      <c r="X32" s="1173">
        <v>11405.489</v>
      </c>
      <c r="Y32" s="1173">
        <v>3.8</v>
      </c>
      <c r="Z32" s="1173">
        <v>180.203</v>
      </c>
      <c r="AA32" s="1173">
        <v>11589.495999999999</v>
      </c>
      <c r="AB32" s="1173">
        <v>12453.991</v>
      </c>
      <c r="AC32" s="1173">
        <v>24.672999999999998</v>
      </c>
      <c r="AD32" s="1174">
        <v>13608.608</v>
      </c>
      <c r="AE32" s="1173">
        <v>6046.1350000000002</v>
      </c>
      <c r="AF32" s="1173">
        <v>137.65100000000001</v>
      </c>
      <c r="AG32" s="1177">
        <v>44378.146999999997</v>
      </c>
    </row>
    <row r="33" spans="1:33" s="1133" customFormat="1" ht="3" customHeight="1">
      <c r="A33" s="1178"/>
      <c r="B33" s="1179"/>
      <c r="C33" s="1179"/>
      <c r="D33" s="1179"/>
      <c r="E33" s="1179"/>
      <c r="F33" s="1179"/>
      <c r="G33" s="1179"/>
      <c r="H33" s="1179"/>
      <c r="I33" s="1179"/>
      <c r="J33" s="1179"/>
      <c r="K33" s="1179"/>
      <c r="L33" s="1179"/>
      <c r="M33" s="1179"/>
      <c r="N33" s="1179"/>
      <c r="O33" s="1179"/>
      <c r="P33" s="1179"/>
      <c r="Q33" s="1179"/>
      <c r="R33" s="1179"/>
      <c r="S33" s="1179"/>
      <c r="T33" s="1179"/>
      <c r="U33" s="1179"/>
      <c r="V33" s="1179"/>
      <c r="W33" s="1179"/>
      <c r="X33" s="1179"/>
      <c r="Y33" s="1179"/>
      <c r="Z33" s="1179"/>
      <c r="AA33" s="1179"/>
      <c r="AB33" s="1179"/>
      <c r="AC33" s="1179"/>
      <c r="AD33" s="1179"/>
      <c r="AE33" s="1180"/>
      <c r="AF33" s="1180"/>
      <c r="AG33" s="1180"/>
    </row>
    <row r="34" spans="1:33" s="273" customFormat="1" ht="12" customHeight="1">
      <c r="A34" s="346" t="s">
        <v>830</v>
      </c>
      <c r="B34" s="677"/>
      <c r="C34" s="677"/>
      <c r="D34" s="677"/>
      <c r="E34" s="677"/>
      <c r="F34" s="677"/>
      <c r="G34" s="1181"/>
      <c r="H34" s="1181"/>
      <c r="I34" s="1181"/>
      <c r="J34" s="1181"/>
      <c r="K34" s="1181"/>
      <c r="L34" s="1181"/>
      <c r="M34" s="1181"/>
      <c r="N34" s="1181"/>
      <c r="O34" s="1181"/>
      <c r="P34" s="1181"/>
      <c r="Q34" s="1181"/>
      <c r="R34" s="346" t="s">
        <v>738</v>
      </c>
      <c r="S34" s="1181"/>
      <c r="T34" s="1181"/>
      <c r="U34" s="1181"/>
      <c r="V34" s="1181"/>
      <c r="W34" s="1181"/>
      <c r="X34" s="1181"/>
      <c r="Y34" s="1181"/>
      <c r="Z34" s="1181"/>
      <c r="AA34" s="1181"/>
      <c r="AB34" s="1181"/>
      <c r="AC34" s="1181"/>
      <c r="AD34" s="1181"/>
      <c r="AE34" s="350"/>
      <c r="AF34" s="350"/>
      <c r="AG34" s="350"/>
    </row>
    <row r="35" spans="1:33" s="273" customFormat="1" ht="12" customHeight="1">
      <c r="A35" s="1182" t="s">
        <v>831</v>
      </c>
      <c r="B35" s="1183"/>
      <c r="C35" s="1183"/>
      <c r="D35" s="1183"/>
      <c r="E35" s="1183"/>
      <c r="F35" s="1183"/>
      <c r="G35" s="1183"/>
      <c r="H35" s="1183"/>
      <c r="I35" s="1183"/>
      <c r="J35" s="1184"/>
      <c r="K35" s="1184"/>
      <c r="L35" s="1184"/>
      <c r="M35" s="1183"/>
      <c r="N35" s="1184"/>
      <c r="O35" s="1184"/>
      <c r="P35" s="1184"/>
      <c r="Q35" s="1184"/>
      <c r="R35" s="587"/>
      <c r="S35" s="1184"/>
      <c r="T35" s="1184"/>
      <c r="U35" s="1184"/>
      <c r="V35" s="1185"/>
      <c r="W35" s="1184"/>
      <c r="X35" s="1184"/>
      <c r="Y35" s="1184"/>
      <c r="Z35" s="1184"/>
      <c r="AA35" s="1184"/>
      <c r="AB35" s="1184"/>
      <c r="AC35" s="1184"/>
      <c r="AD35" s="1184"/>
      <c r="AE35" s="350"/>
      <c r="AF35" s="350"/>
      <c r="AG35" s="350"/>
    </row>
    <row r="36" spans="1:33" s="273" customFormat="1" ht="19.5" customHeight="1">
      <c r="A36" s="1186"/>
      <c r="B36" s="1187"/>
      <c r="C36" s="1187"/>
      <c r="D36" s="1187"/>
      <c r="E36" s="1187"/>
      <c r="F36" s="1187"/>
      <c r="G36" s="1187"/>
      <c r="H36" s="1187"/>
      <c r="I36" s="1187"/>
      <c r="J36" s="1188"/>
      <c r="K36" s="1188"/>
      <c r="L36" s="1188"/>
      <c r="M36" s="1187"/>
      <c r="N36" s="1188"/>
      <c r="O36" s="1188"/>
      <c r="P36" s="1188"/>
      <c r="Q36" s="1188"/>
      <c r="R36" s="1188"/>
      <c r="S36" s="1188"/>
      <c r="T36" s="1188"/>
      <c r="U36" s="1188"/>
      <c r="V36" s="1189"/>
      <c r="W36" s="1188"/>
      <c r="X36" s="1188"/>
      <c r="Y36" s="1188"/>
      <c r="Z36" s="1188"/>
      <c r="AA36" s="1188"/>
      <c r="AB36" s="1188"/>
      <c r="AC36" s="1188"/>
      <c r="AD36" s="1188"/>
      <c r="AE36" s="1190"/>
      <c r="AF36" s="1190"/>
      <c r="AG36" s="1190"/>
    </row>
    <row r="37" spans="1:33">
      <c r="B37" s="1191"/>
      <c r="C37" s="1191"/>
      <c r="D37" s="1191"/>
      <c r="E37" s="1191"/>
      <c r="F37" s="1191"/>
      <c r="G37" s="1191"/>
      <c r="H37" s="1191"/>
      <c r="I37" s="1191"/>
      <c r="J37" s="1191"/>
      <c r="K37" s="1191"/>
      <c r="L37" s="1191"/>
    </row>
    <row r="38" spans="1:33">
      <c r="AD38" s="287"/>
      <c r="AE38" s="353"/>
    </row>
    <row r="39" spans="1:33">
      <c r="AD39" s="287"/>
      <c r="AE39" s="353"/>
    </row>
    <row r="40" spans="1:33">
      <c r="AD40" s="287"/>
      <c r="AE40" s="353"/>
    </row>
    <row r="41" spans="1:33">
      <c r="AD41" s="287"/>
      <c r="AE41" s="353"/>
    </row>
    <row r="42" spans="1:33">
      <c r="AD42" s="287"/>
      <c r="AE42" s="353"/>
    </row>
    <row r="43" spans="1:33">
      <c r="AD43" s="287"/>
      <c r="AE43" s="353"/>
    </row>
    <row r="44" spans="1:33">
      <c r="AD44" s="287"/>
      <c r="AE44" s="353"/>
    </row>
    <row r="45" spans="1:33">
      <c r="AD45" s="287"/>
      <c r="AE45" s="353"/>
    </row>
    <row r="46" spans="1:33">
      <c r="AD46" s="287"/>
      <c r="AE46" s="353"/>
    </row>
    <row r="47" spans="1:33">
      <c r="AD47" s="287"/>
      <c r="AE47" s="353"/>
    </row>
    <row r="48" spans="1:33">
      <c r="AD48" s="287"/>
      <c r="AE48" s="353"/>
    </row>
    <row r="49" spans="2:33">
      <c r="AD49" s="287"/>
      <c r="AE49" s="353"/>
    </row>
    <row r="50" spans="2:33">
      <c r="AD50" s="287"/>
      <c r="AE50" s="353"/>
    </row>
    <row r="52" spans="2:33">
      <c r="B52" s="1191"/>
      <c r="C52" s="1191"/>
      <c r="D52" s="1191"/>
      <c r="E52" s="1191"/>
      <c r="F52" s="1191"/>
      <c r="G52" s="1191"/>
      <c r="H52" s="1191"/>
      <c r="I52" s="1191"/>
      <c r="J52" s="1191"/>
      <c r="K52" s="1191"/>
      <c r="L52" s="1191"/>
      <c r="M52" s="1191"/>
      <c r="N52" s="1191"/>
      <c r="O52" s="1191"/>
      <c r="P52" s="1191"/>
      <c r="Q52" s="1191"/>
      <c r="R52" s="1191"/>
      <c r="S52" s="1191"/>
      <c r="T52" s="1191"/>
      <c r="U52" s="1191"/>
      <c r="V52" s="1191"/>
      <c r="W52" s="1191"/>
      <c r="X52" s="1191"/>
      <c r="Y52" s="1191"/>
      <c r="Z52" s="1191"/>
      <c r="AA52" s="1191"/>
      <c r="AB52" s="1191"/>
      <c r="AC52" s="1191"/>
      <c r="AD52" s="1191"/>
      <c r="AE52" s="1191"/>
      <c r="AF52" s="1191"/>
      <c r="AG52" s="1191"/>
    </row>
    <row r="53" spans="2:33">
      <c r="B53" s="1191"/>
      <c r="C53" s="1191"/>
      <c r="D53" s="1191"/>
      <c r="E53" s="1191"/>
      <c r="F53" s="1191"/>
      <c r="G53" s="1191"/>
      <c r="H53" s="1191"/>
      <c r="I53" s="1191"/>
      <c r="J53" s="1191"/>
      <c r="K53" s="1191"/>
      <c r="L53" s="1191"/>
      <c r="M53" s="1191"/>
      <c r="N53" s="1191"/>
      <c r="O53" s="1191"/>
      <c r="P53" s="1191"/>
      <c r="Q53" s="1191"/>
      <c r="R53" s="1191"/>
      <c r="S53" s="1191"/>
      <c r="T53" s="1191"/>
      <c r="U53" s="1191"/>
      <c r="V53" s="1191"/>
      <c r="W53" s="1191"/>
      <c r="X53" s="1191"/>
      <c r="Y53" s="1191"/>
      <c r="Z53" s="1191"/>
      <c r="AA53" s="1191"/>
      <c r="AB53" s="1191"/>
      <c r="AC53" s="1191"/>
      <c r="AD53" s="1191"/>
      <c r="AE53" s="1191"/>
      <c r="AF53" s="1191"/>
      <c r="AG53" s="1191"/>
    </row>
    <row r="54" spans="2:33">
      <c r="B54" s="1191"/>
      <c r="C54" s="1191"/>
      <c r="D54" s="1191"/>
      <c r="E54" s="1191"/>
      <c r="F54" s="1191"/>
      <c r="G54" s="1191"/>
      <c r="H54" s="1191"/>
      <c r="I54" s="1191"/>
      <c r="J54" s="1191"/>
      <c r="K54" s="1191"/>
      <c r="L54" s="1191"/>
      <c r="M54" s="1191"/>
      <c r="N54" s="1191"/>
      <c r="O54" s="1191"/>
      <c r="P54" s="1191"/>
      <c r="Q54" s="1191"/>
      <c r="R54" s="1191"/>
      <c r="S54" s="1191"/>
      <c r="T54" s="1191"/>
      <c r="U54" s="1191"/>
      <c r="V54" s="1191"/>
      <c r="W54" s="1191"/>
      <c r="X54" s="1191"/>
      <c r="Y54" s="1191"/>
      <c r="Z54" s="1191"/>
      <c r="AA54" s="1191"/>
      <c r="AB54" s="1191"/>
      <c r="AC54" s="1191"/>
      <c r="AD54" s="1191"/>
      <c r="AE54" s="1191"/>
      <c r="AF54" s="1191"/>
      <c r="AG54" s="1191"/>
    </row>
    <row r="55" spans="2:33">
      <c r="B55" s="1191"/>
      <c r="C55" s="1191"/>
      <c r="D55" s="1191"/>
      <c r="E55" s="1191"/>
      <c r="F55" s="1191"/>
      <c r="G55" s="1191"/>
      <c r="H55" s="1191"/>
      <c r="I55" s="1191"/>
      <c r="J55" s="1191"/>
      <c r="K55" s="1191"/>
      <c r="L55" s="1191"/>
      <c r="M55" s="1191"/>
      <c r="N55" s="1191"/>
      <c r="O55" s="1191"/>
      <c r="P55" s="1191"/>
      <c r="Q55" s="1191"/>
      <c r="R55" s="1191"/>
      <c r="S55" s="1191"/>
      <c r="T55" s="1191"/>
      <c r="U55" s="1191"/>
      <c r="V55" s="1191"/>
      <c r="W55" s="1191"/>
      <c r="X55" s="1191"/>
      <c r="Y55" s="1191"/>
      <c r="Z55" s="1191"/>
      <c r="AA55" s="1191"/>
      <c r="AB55" s="1191"/>
      <c r="AC55" s="1191"/>
      <c r="AD55" s="1191"/>
      <c r="AE55" s="1191"/>
      <c r="AF55" s="1191"/>
      <c r="AG55" s="1191"/>
    </row>
    <row r="56" spans="2:33">
      <c r="B56" s="1191"/>
      <c r="C56" s="1191"/>
      <c r="D56" s="1191"/>
      <c r="E56" s="1191"/>
      <c r="F56" s="1191"/>
      <c r="G56" s="1191"/>
      <c r="H56" s="1191"/>
      <c r="I56" s="1191"/>
      <c r="J56" s="1191"/>
      <c r="K56" s="1191"/>
      <c r="L56" s="1191"/>
      <c r="M56" s="1191"/>
      <c r="N56" s="1191"/>
      <c r="O56" s="1191"/>
      <c r="P56" s="1191"/>
      <c r="Q56" s="1191"/>
      <c r="R56" s="1191"/>
      <c r="S56" s="1191"/>
      <c r="T56" s="1191"/>
      <c r="U56" s="1191"/>
      <c r="V56" s="1191"/>
      <c r="W56" s="1191"/>
      <c r="X56" s="1191"/>
      <c r="Y56" s="1191"/>
      <c r="Z56" s="1191"/>
      <c r="AA56" s="1191"/>
      <c r="AB56" s="1191"/>
      <c r="AC56" s="1191"/>
      <c r="AD56" s="1191"/>
      <c r="AE56" s="1191"/>
      <c r="AF56" s="1191"/>
      <c r="AG56" s="1191"/>
    </row>
    <row r="57" spans="2:33">
      <c r="B57" s="1191"/>
      <c r="C57" s="1191"/>
      <c r="D57" s="1191"/>
      <c r="E57" s="1191"/>
      <c r="F57" s="1191"/>
      <c r="G57" s="1191"/>
      <c r="H57" s="1191"/>
      <c r="I57" s="1191"/>
      <c r="J57" s="1191"/>
      <c r="K57" s="1191"/>
      <c r="L57" s="1191"/>
      <c r="M57" s="1191"/>
      <c r="N57" s="1191"/>
      <c r="O57" s="1191"/>
      <c r="P57" s="1191"/>
      <c r="Q57" s="1191"/>
      <c r="R57" s="1191"/>
      <c r="S57" s="1191"/>
      <c r="T57" s="1191"/>
      <c r="U57" s="1191"/>
      <c r="V57" s="1191"/>
      <c r="W57" s="1191"/>
      <c r="X57" s="1191"/>
      <c r="Y57" s="1191"/>
      <c r="Z57" s="1191"/>
      <c r="AA57" s="1191"/>
      <c r="AB57" s="1191"/>
      <c r="AC57" s="1191"/>
      <c r="AD57" s="1191"/>
      <c r="AE57" s="1191"/>
      <c r="AF57" s="1191"/>
      <c r="AG57" s="1191"/>
    </row>
    <row r="58" spans="2:33">
      <c r="B58" s="1191"/>
      <c r="C58" s="1191"/>
      <c r="D58" s="1191"/>
      <c r="E58" s="1191"/>
      <c r="F58" s="1191"/>
      <c r="G58" s="1191"/>
      <c r="H58" s="1191"/>
      <c r="I58" s="1191"/>
      <c r="J58" s="1191"/>
      <c r="K58" s="1191"/>
      <c r="L58" s="1191"/>
      <c r="M58" s="1191"/>
      <c r="N58" s="1191"/>
      <c r="O58" s="1191"/>
      <c r="P58" s="1191"/>
      <c r="Q58" s="1191"/>
      <c r="R58" s="1191"/>
      <c r="S58" s="1191"/>
      <c r="T58" s="1191"/>
      <c r="U58" s="1191"/>
      <c r="V58" s="1191"/>
      <c r="W58" s="1191"/>
      <c r="X58" s="1191"/>
      <c r="Y58" s="1191"/>
      <c r="Z58" s="1191"/>
      <c r="AA58" s="1191"/>
      <c r="AB58" s="1191"/>
      <c r="AC58" s="1191"/>
      <c r="AD58" s="1191"/>
      <c r="AE58" s="1191"/>
      <c r="AF58" s="1191"/>
      <c r="AG58" s="1191"/>
    </row>
    <row r="59" spans="2:33">
      <c r="B59" s="1191"/>
      <c r="C59" s="1191"/>
      <c r="D59" s="1191"/>
      <c r="E59" s="1191"/>
      <c r="F59" s="1191"/>
      <c r="G59" s="1191"/>
      <c r="H59" s="1191"/>
      <c r="I59" s="1191"/>
      <c r="J59" s="1191"/>
      <c r="K59" s="1191"/>
      <c r="L59" s="1191"/>
      <c r="M59" s="1191"/>
      <c r="N59" s="1191"/>
      <c r="O59" s="1191"/>
      <c r="P59" s="1191"/>
      <c r="Q59" s="1191"/>
      <c r="R59" s="1191"/>
      <c r="S59" s="1191"/>
      <c r="T59" s="1191"/>
      <c r="U59" s="1191"/>
      <c r="V59" s="1191"/>
      <c r="W59" s="1191"/>
      <c r="X59" s="1191"/>
      <c r="Y59" s="1191"/>
      <c r="Z59" s="1191"/>
      <c r="AA59" s="1191"/>
      <c r="AB59" s="1191"/>
      <c r="AC59" s="1191"/>
      <c r="AD59" s="1191"/>
      <c r="AE59" s="1191"/>
      <c r="AF59" s="1191"/>
      <c r="AG59" s="1191"/>
    </row>
    <row r="60" spans="2:33">
      <c r="B60" s="1191"/>
      <c r="C60" s="1191"/>
      <c r="D60" s="1191"/>
      <c r="E60" s="1191"/>
      <c r="F60" s="1191"/>
      <c r="G60" s="1191"/>
      <c r="H60" s="1191"/>
      <c r="I60" s="1191"/>
      <c r="J60" s="1191"/>
      <c r="K60" s="1191"/>
      <c r="L60" s="1191"/>
      <c r="M60" s="1191"/>
      <c r="N60" s="1191"/>
      <c r="O60" s="1191"/>
      <c r="P60" s="1191"/>
      <c r="Q60" s="1191"/>
      <c r="R60" s="1191"/>
      <c r="S60" s="1191"/>
      <c r="T60" s="1191"/>
      <c r="U60" s="1191"/>
      <c r="V60" s="1191"/>
      <c r="W60" s="1191"/>
      <c r="X60" s="1191"/>
      <c r="Y60" s="1191"/>
      <c r="Z60" s="1191"/>
      <c r="AA60" s="1191"/>
      <c r="AB60" s="1191"/>
      <c r="AC60" s="1191"/>
      <c r="AD60" s="1191"/>
      <c r="AE60" s="1191"/>
      <c r="AF60" s="1191"/>
      <c r="AG60" s="1191"/>
    </row>
    <row r="61" spans="2:33">
      <c r="B61" s="1191"/>
      <c r="C61" s="1191"/>
      <c r="D61" s="1191"/>
      <c r="E61" s="1191"/>
      <c r="F61" s="1191"/>
      <c r="G61" s="1191"/>
      <c r="H61" s="1191"/>
      <c r="I61" s="1191"/>
      <c r="J61" s="1191"/>
      <c r="K61" s="1191"/>
      <c r="L61" s="1191"/>
      <c r="M61" s="1191"/>
      <c r="N61" s="1191"/>
      <c r="O61" s="1191"/>
      <c r="P61" s="1191"/>
      <c r="Q61" s="1191"/>
      <c r="R61" s="1191"/>
      <c r="S61" s="1191"/>
      <c r="T61" s="1191"/>
      <c r="U61" s="1191"/>
      <c r="V61" s="1191"/>
      <c r="W61" s="1191"/>
      <c r="X61" s="1191"/>
      <c r="Y61" s="1191"/>
      <c r="Z61" s="1191"/>
      <c r="AA61" s="1191"/>
      <c r="AB61" s="1191"/>
      <c r="AC61" s="1191"/>
      <c r="AD61" s="1191"/>
      <c r="AE61" s="1191"/>
      <c r="AF61" s="1191"/>
      <c r="AG61" s="1191"/>
    </row>
    <row r="62" spans="2:33">
      <c r="B62" s="1191"/>
      <c r="C62" s="1191"/>
      <c r="D62" s="1191"/>
      <c r="E62" s="1191"/>
      <c r="F62" s="1191"/>
      <c r="G62" s="1191"/>
      <c r="H62" s="1191"/>
      <c r="I62" s="1191"/>
      <c r="J62" s="1191"/>
      <c r="K62" s="1191"/>
      <c r="L62" s="1191"/>
      <c r="M62" s="1191"/>
      <c r="N62" s="1191"/>
      <c r="O62" s="1191"/>
      <c r="P62" s="1191"/>
      <c r="Q62" s="1191"/>
      <c r="R62" s="1191"/>
      <c r="S62" s="1191"/>
      <c r="T62" s="1191"/>
      <c r="U62" s="1191"/>
      <c r="V62" s="1191"/>
      <c r="W62" s="1191"/>
      <c r="X62" s="1191"/>
      <c r="Y62" s="1191"/>
      <c r="Z62" s="1191"/>
      <c r="AA62" s="1191"/>
      <c r="AB62" s="1191"/>
      <c r="AC62" s="1191"/>
      <c r="AD62" s="1191"/>
      <c r="AE62" s="1191"/>
      <c r="AF62" s="1191"/>
      <c r="AG62" s="1191"/>
    </row>
    <row r="63" spans="2:33">
      <c r="B63" s="1191"/>
      <c r="C63" s="1191"/>
      <c r="D63" s="1191"/>
      <c r="E63" s="1191"/>
      <c r="F63" s="1191"/>
      <c r="G63" s="1191"/>
      <c r="H63" s="1191"/>
      <c r="I63" s="1191"/>
      <c r="J63" s="1191"/>
      <c r="K63" s="1191"/>
      <c r="L63" s="1191"/>
      <c r="M63" s="1191"/>
      <c r="N63" s="1191"/>
      <c r="O63" s="1191"/>
      <c r="P63" s="1191"/>
      <c r="Q63" s="1191"/>
      <c r="R63" s="1191"/>
      <c r="S63" s="1191"/>
      <c r="T63" s="1191"/>
      <c r="U63" s="1191"/>
      <c r="V63" s="1191"/>
      <c r="W63" s="1191"/>
      <c r="X63" s="1191"/>
      <c r="Y63" s="1191"/>
      <c r="Z63" s="1191"/>
      <c r="AA63" s="1191"/>
      <c r="AB63" s="1191"/>
      <c r="AC63" s="1191"/>
      <c r="AD63" s="1191"/>
      <c r="AE63" s="1191"/>
      <c r="AF63" s="1191"/>
      <c r="AG63" s="1191"/>
    </row>
    <row r="64" spans="2:33">
      <c r="B64" s="1191"/>
      <c r="C64" s="1191"/>
      <c r="D64" s="1191"/>
      <c r="E64" s="1191"/>
      <c r="F64" s="1191"/>
      <c r="G64" s="1191"/>
      <c r="H64" s="1191"/>
      <c r="I64" s="1191"/>
      <c r="J64" s="1191"/>
      <c r="K64" s="1191"/>
      <c r="L64" s="1191"/>
      <c r="M64" s="1191"/>
      <c r="N64" s="1191"/>
      <c r="O64" s="1191"/>
      <c r="P64" s="1191"/>
      <c r="Q64" s="1191"/>
      <c r="R64" s="1191"/>
      <c r="S64" s="1191"/>
      <c r="T64" s="1191"/>
      <c r="U64" s="1191"/>
      <c r="V64" s="1191"/>
      <c r="W64" s="1191"/>
      <c r="X64" s="1191"/>
      <c r="Y64" s="1191"/>
      <c r="Z64" s="1191"/>
      <c r="AA64" s="1191"/>
      <c r="AB64" s="1191"/>
      <c r="AC64" s="1191"/>
      <c r="AD64" s="1191"/>
      <c r="AE64" s="1191"/>
      <c r="AF64" s="1191"/>
      <c r="AG64" s="1191"/>
    </row>
    <row r="65" spans="2:33">
      <c r="B65" s="1191"/>
      <c r="C65" s="1191"/>
      <c r="D65" s="1191"/>
      <c r="E65" s="1191"/>
      <c r="F65" s="1191"/>
      <c r="G65" s="1191"/>
      <c r="H65" s="1191"/>
      <c r="I65" s="1191"/>
      <c r="J65" s="1191"/>
      <c r="K65" s="1191"/>
      <c r="L65" s="1191"/>
      <c r="M65" s="1191"/>
      <c r="N65" s="1191"/>
      <c r="O65" s="1191"/>
      <c r="P65" s="1191"/>
      <c r="Q65" s="1191"/>
      <c r="R65" s="1191"/>
      <c r="S65" s="1191"/>
      <c r="T65" s="1191"/>
      <c r="U65" s="1191"/>
      <c r="V65" s="1191"/>
      <c r="W65" s="1191"/>
      <c r="X65" s="1191"/>
      <c r="Y65" s="1191"/>
      <c r="Z65" s="1191"/>
      <c r="AA65" s="1191"/>
      <c r="AB65" s="1191"/>
      <c r="AC65" s="1191"/>
      <c r="AD65" s="1191"/>
      <c r="AE65" s="1191"/>
      <c r="AF65" s="1191"/>
      <c r="AG65" s="1191"/>
    </row>
    <row r="66" spans="2:33">
      <c r="B66" s="1191"/>
      <c r="C66" s="1191"/>
      <c r="D66" s="1191"/>
      <c r="E66" s="1191"/>
      <c r="F66" s="1191"/>
      <c r="G66" s="1191"/>
      <c r="H66" s="1191"/>
      <c r="I66" s="1191"/>
      <c r="J66" s="1191"/>
      <c r="K66" s="1191"/>
      <c r="L66" s="1191"/>
      <c r="M66" s="1191"/>
      <c r="N66" s="1191"/>
      <c r="O66" s="1191"/>
      <c r="P66" s="1191"/>
      <c r="Q66" s="1191"/>
      <c r="R66" s="1191"/>
      <c r="S66" s="1191"/>
      <c r="T66" s="1191"/>
      <c r="U66" s="1191"/>
      <c r="V66" s="1191"/>
      <c r="W66" s="1191"/>
      <c r="X66" s="1191"/>
      <c r="Y66" s="1191"/>
      <c r="Z66" s="1191"/>
      <c r="AA66" s="1191"/>
      <c r="AB66" s="1191"/>
      <c r="AC66" s="1191"/>
      <c r="AD66" s="1191"/>
      <c r="AE66" s="1191"/>
      <c r="AF66" s="1191"/>
      <c r="AG66" s="1191"/>
    </row>
    <row r="67" spans="2:33">
      <c r="B67" s="1191"/>
      <c r="C67" s="1191"/>
      <c r="D67" s="1191"/>
      <c r="E67" s="1191"/>
      <c r="F67" s="1191"/>
      <c r="G67" s="1191"/>
      <c r="H67" s="1191"/>
      <c r="I67" s="1191"/>
      <c r="J67" s="1191"/>
      <c r="K67" s="1191"/>
      <c r="L67" s="1191"/>
      <c r="M67" s="1191"/>
      <c r="N67" s="1191"/>
      <c r="O67" s="1191"/>
      <c r="P67" s="1191"/>
      <c r="Q67" s="1191"/>
      <c r="R67" s="1191"/>
      <c r="S67" s="1191"/>
      <c r="T67" s="1191"/>
      <c r="U67" s="1191"/>
      <c r="V67" s="1191"/>
      <c r="W67" s="1191"/>
      <c r="X67" s="1191"/>
      <c r="Y67" s="1191"/>
      <c r="Z67" s="1191"/>
      <c r="AA67" s="1191"/>
      <c r="AB67" s="1191"/>
      <c r="AC67" s="1191"/>
      <c r="AD67" s="1191"/>
      <c r="AE67" s="1191"/>
      <c r="AF67" s="1191"/>
      <c r="AG67" s="1191"/>
    </row>
    <row r="68" spans="2:33">
      <c r="B68" s="1191"/>
      <c r="C68" s="1191"/>
      <c r="D68" s="1191"/>
      <c r="E68" s="1191"/>
      <c r="F68" s="1191"/>
      <c r="G68" s="1191"/>
      <c r="H68" s="1191"/>
      <c r="I68" s="1191"/>
      <c r="J68" s="1191"/>
      <c r="K68" s="1191"/>
      <c r="L68" s="1191"/>
      <c r="M68" s="1191"/>
      <c r="N68" s="1191"/>
      <c r="O68" s="1191"/>
      <c r="P68" s="1191"/>
      <c r="Q68" s="1191"/>
      <c r="R68" s="1191"/>
      <c r="S68" s="1191"/>
      <c r="T68" s="1191"/>
      <c r="U68" s="1191"/>
      <c r="V68" s="1191"/>
      <c r="W68" s="1191"/>
      <c r="X68" s="1191"/>
      <c r="Y68" s="1191"/>
      <c r="Z68" s="1191"/>
      <c r="AA68" s="1191"/>
      <c r="AB68" s="1191"/>
      <c r="AC68" s="1191"/>
      <c r="AD68" s="1191"/>
      <c r="AE68" s="1191"/>
      <c r="AF68" s="1191"/>
      <c r="AG68" s="1191"/>
    </row>
    <row r="69" spans="2:33">
      <c r="B69" s="1191"/>
      <c r="C69" s="1191"/>
      <c r="D69" s="1191"/>
      <c r="E69" s="1191"/>
      <c r="F69" s="1191"/>
      <c r="G69" s="1191"/>
      <c r="H69" s="1191"/>
      <c r="I69" s="1191"/>
      <c r="J69" s="1191"/>
      <c r="K69" s="1191"/>
      <c r="L69" s="1191"/>
      <c r="M69" s="1191"/>
      <c r="N69" s="1191"/>
      <c r="O69" s="1191"/>
      <c r="P69" s="1191"/>
      <c r="Q69" s="1191"/>
      <c r="R69" s="1191"/>
      <c r="S69" s="1191"/>
      <c r="T69" s="1191"/>
      <c r="U69" s="1191"/>
      <c r="V69" s="1191"/>
      <c r="W69" s="1191"/>
      <c r="X69" s="1191"/>
      <c r="Y69" s="1191"/>
      <c r="Z69" s="1191"/>
      <c r="AA69" s="1191"/>
      <c r="AB69" s="1191"/>
      <c r="AC69" s="1191"/>
      <c r="AD69" s="1191"/>
      <c r="AE69" s="1191"/>
      <c r="AF69" s="1191"/>
      <c r="AG69" s="1191"/>
    </row>
  </sheetData>
  <mergeCells count="28">
    <mergeCell ref="AB5:AB6"/>
    <mergeCell ref="AC5:AC6"/>
    <mergeCell ref="AD5:AD6"/>
    <mergeCell ref="AE5:AE6"/>
    <mergeCell ref="AF5:AF6"/>
    <mergeCell ref="AG5:AG6"/>
    <mergeCell ref="R5:R6"/>
    <mergeCell ref="S5:S6"/>
    <mergeCell ref="T5:T6"/>
    <mergeCell ref="U5:U6"/>
    <mergeCell ref="V5:V6"/>
    <mergeCell ref="W5:AA5"/>
    <mergeCell ref="J5:J6"/>
    <mergeCell ref="K5:K6"/>
    <mergeCell ref="L5:L6"/>
    <mergeCell ref="M5:M6"/>
    <mergeCell ref="N5:N6"/>
    <mergeCell ref="O5:Q5"/>
    <mergeCell ref="AE3:AG3"/>
    <mergeCell ref="A4:A6"/>
    <mergeCell ref="B4:M4"/>
    <mergeCell ref="N4:Q4"/>
    <mergeCell ref="R4:U4"/>
    <mergeCell ref="V4:AG4"/>
    <mergeCell ref="B5:B6"/>
    <mergeCell ref="C5:G5"/>
    <mergeCell ref="H5:H6"/>
    <mergeCell ref="I5:I6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24" orientation="portrait" useFirstPageNumber="1" r:id="rId1"/>
  <headerFooter differentOddEven="1" scaleWithDoc="0" alignWithMargins="0">
    <firstFooter>&amp;R&amp;P</firstFooter>
  </headerFooter>
  <rowBreaks count="1" manualBreakCount="1">
    <brk id="35" max="27" man="1"/>
  </rowBreaks>
  <colBreaks count="1" manualBreakCount="1">
    <brk id="17" max="34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C284-E802-4D8F-962F-B597D7768EB2}">
  <sheetPr>
    <tabColor theme="8"/>
  </sheetPr>
  <dimension ref="A1:X46"/>
  <sheetViews>
    <sheetView showGridLines="0" view="pageBreakPreview" zoomScaleNormal="100" zoomScaleSheetLayoutView="100" workbookViewId="0"/>
  </sheetViews>
  <sheetFormatPr defaultColWidth="7.875" defaultRowHeight="13.5"/>
  <cols>
    <col min="1" max="1" width="11" style="287" customWidth="1"/>
    <col min="2" max="11" width="9" style="287" customWidth="1"/>
    <col min="12" max="12" width="9.875" style="287" customWidth="1"/>
    <col min="13" max="13" width="9.375" style="287" customWidth="1"/>
    <col min="14" max="14" width="9" style="287" customWidth="1"/>
    <col min="15" max="17" width="9.375" style="287" customWidth="1"/>
    <col min="18" max="18" width="8.25" style="287" customWidth="1"/>
    <col min="19" max="19" width="9.625" style="287" customWidth="1"/>
    <col min="20" max="20" width="7.625" style="287" customWidth="1"/>
    <col min="21" max="21" width="9.625" style="287" customWidth="1"/>
    <col min="22" max="22" width="11" style="287" customWidth="1"/>
    <col min="23" max="23" width="11.5" style="287" bestFit="1" customWidth="1"/>
    <col min="24" max="24" width="15.75" style="287" bestFit="1" customWidth="1"/>
    <col min="25" max="25" width="7.875" style="287"/>
    <col min="26" max="26" width="10.75" style="287" bestFit="1" customWidth="1"/>
    <col min="27" max="16384" width="7.875" style="287"/>
  </cols>
  <sheetData>
    <row r="1" spans="1:24" s="273" customFormat="1" ht="24.95" customHeight="1">
      <c r="A1" s="270" t="s">
        <v>832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</row>
    <row r="2" spans="1:24" s="276" customFormat="1" ht="23.1" customHeight="1">
      <c r="A2" s="274" t="s">
        <v>833</v>
      </c>
      <c r="B2" s="274"/>
      <c r="C2" s="274"/>
      <c r="D2" s="274"/>
      <c r="E2" s="274"/>
      <c r="F2" s="274"/>
      <c r="G2" s="274"/>
      <c r="H2" s="274"/>
      <c r="I2" s="274"/>
      <c r="J2" s="275"/>
      <c r="K2" s="275"/>
      <c r="L2" s="275"/>
      <c r="M2" s="274"/>
      <c r="N2" s="275"/>
      <c r="O2" s="275"/>
      <c r="P2" s="274"/>
      <c r="Q2" s="274"/>
      <c r="R2" s="274"/>
      <c r="S2" s="274"/>
      <c r="T2" s="274"/>
      <c r="U2" s="274"/>
      <c r="V2" s="274"/>
    </row>
    <row r="3" spans="1:24" ht="15" customHeight="1">
      <c r="A3" s="1192" t="s">
        <v>173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82"/>
      <c r="U3" s="282"/>
      <c r="V3" s="282" t="s">
        <v>834</v>
      </c>
    </row>
    <row r="4" spans="1:24" ht="20.100000000000001" customHeight="1">
      <c r="A4" s="1193" t="s">
        <v>835</v>
      </c>
      <c r="B4" s="1194" t="s">
        <v>176</v>
      </c>
      <c r="C4" s="1195"/>
      <c r="D4" s="1195"/>
      <c r="E4" s="1196"/>
      <c r="F4" s="1194" t="s">
        <v>177</v>
      </c>
      <c r="G4" s="1195"/>
      <c r="H4" s="1195"/>
      <c r="I4" s="1195"/>
      <c r="J4" s="1196"/>
      <c r="K4" s="1194" t="s">
        <v>178</v>
      </c>
      <c r="L4" s="1195"/>
      <c r="M4" s="1196"/>
      <c r="N4" s="1197" t="s">
        <v>179</v>
      </c>
      <c r="O4" s="1197" t="s">
        <v>12</v>
      </c>
      <c r="P4" s="1197" t="s">
        <v>180</v>
      </c>
      <c r="Q4" s="1197" t="s">
        <v>477</v>
      </c>
      <c r="R4" s="1197" t="s">
        <v>112</v>
      </c>
      <c r="S4" s="1198" t="s">
        <v>197</v>
      </c>
      <c r="T4" s="1199" t="s">
        <v>836</v>
      </c>
      <c r="U4" s="1197" t="s">
        <v>837</v>
      </c>
      <c r="V4" s="1200" t="s">
        <v>838</v>
      </c>
    </row>
    <row r="5" spans="1:24" ht="20.100000000000001" customHeight="1">
      <c r="A5" s="1201"/>
      <c r="B5" s="338" t="s">
        <v>183</v>
      </c>
      <c r="C5" s="338" t="s">
        <v>184</v>
      </c>
      <c r="D5" s="338" t="s">
        <v>185</v>
      </c>
      <c r="E5" s="338" t="s">
        <v>160</v>
      </c>
      <c r="F5" s="338" t="s">
        <v>108</v>
      </c>
      <c r="G5" s="338" t="s">
        <v>107</v>
      </c>
      <c r="H5" s="338" t="s">
        <v>839</v>
      </c>
      <c r="I5" s="338" t="s">
        <v>187</v>
      </c>
      <c r="J5" s="338" t="s">
        <v>160</v>
      </c>
      <c r="K5" s="338" t="s">
        <v>187</v>
      </c>
      <c r="L5" s="338" t="s">
        <v>188</v>
      </c>
      <c r="M5" s="338" t="s">
        <v>160</v>
      </c>
      <c r="N5" s="1202"/>
      <c r="O5" s="1202"/>
      <c r="P5" s="1202"/>
      <c r="Q5" s="1202"/>
      <c r="R5" s="1202"/>
      <c r="S5" s="1203"/>
      <c r="T5" s="338" t="s">
        <v>840</v>
      </c>
      <c r="U5" s="1202"/>
      <c r="V5" s="1204"/>
    </row>
    <row r="6" spans="1:24" ht="21.95" customHeight="1">
      <c r="A6" s="1205" t="s">
        <v>184</v>
      </c>
      <c r="B6" s="1206" t="s">
        <v>133</v>
      </c>
      <c r="C6" s="1207">
        <v>275421.99391000002</v>
      </c>
      <c r="D6" s="1207" t="s">
        <v>133</v>
      </c>
      <c r="E6" s="1207">
        <v>275421.99391000002</v>
      </c>
      <c r="F6" s="1207" t="s">
        <v>133</v>
      </c>
      <c r="G6" s="1207" t="s">
        <v>133</v>
      </c>
      <c r="H6" s="1207" t="s">
        <v>133</v>
      </c>
      <c r="I6" s="1207" t="s">
        <v>133</v>
      </c>
      <c r="J6" s="1207" t="s">
        <v>133</v>
      </c>
      <c r="K6" s="1207" t="s">
        <v>133</v>
      </c>
      <c r="L6" s="1207" t="s">
        <v>133</v>
      </c>
      <c r="M6" s="1207" t="s">
        <v>133</v>
      </c>
      <c r="N6" s="1207" t="s">
        <v>133</v>
      </c>
      <c r="O6" s="1207" t="s">
        <v>133</v>
      </c>
      <c r="P6" s="1207" t="s">
        <v>133</v>
      </c>
      <c r="Q6" s="1208" t="s">
        <v>133</v>
      </c>
      <c r="R6" s="1209" t="s">
        <v>133</v>
      </c>
      <c r="S6" s="1209">
        <v>275421.99391000002</v>
      </c>
      <c r="T6" s="1209" t="s">
        <v>133</v>
      </c>
      <c r="U6" s="1209">
        <v>275421.99391000002</v>
      </c>
      <c r="V6" s="1210" t="s">
        <v>184</v>
      </c>
    </row>
    <row r="7" spans="1:24" ht="21.95" customHeight="1">
      <c r="A7" s="1211" t="s">
        <v>99</v>
      </c>
      <c r="B7" s="1212" t="s">
        <v>133</v>
      </c>
      <c r="C7" s="1213" t="s">
        <v>133</v>
      </c>
      <c r="D7" s="1213" t="s">
        <v>133</v>
      </c>
      <c r="E7" s="1213" t="s">
        <v>133</v>
      </c>
      <c r="F7" s="1213">
        <v>3.5723009999999999</v>
      </c>
      <c r="G7" s="1213" t="s">
        <v>133</v>
      </c>
      <c r="H7" s="1213" t="s">
        <v>133</v>
      </c>
      <c r="I7" s="1213" t="s">
        <v>133</v>
      </c>
      <c r="J7" s="1213">
        <v>3.5723009999999999</v>
      </c>
      <c r="K7" s="1213" t="s">
        <v>133</v>
      </c>
      <c r="L7" s="1213" t="s">
        <v>133</v>
      </c>
      <c r="M7" s="1213" t="s">
        <v>133</v>
      </c>
      <c r="N7" s="1213" t="s">
        <v>133</v>
      </c>
      <c r="O7" s="1213" t="s">
        <v>133</v>
      </c>
      <c r="P7" s="1213" t="s">
        <v>133</v>
      </c>
      <c r="Q7" s="1214" t="s">
        <v>133</v>
      </c>
      <c r="R7" s="1215" t="s">
        <v>133</v>
      </c>
      <c r="S7" s="1215">
        <v>3.5723009999999999</v>
      </c>
      <c r="T7" s="1215" t="s">
        <v>133</v>
      </c>
      <c r="U7" s="1215">
        <v>3.5723009999999999</v>
      </c>
      <c r="V7" s="1216" t="s">
        <v>99</v>
      </c>
    </row>
    <row r="8" spans="1:24" ht="21.95" customHeight="1">
      <c r="A8" s="1211" t="s">
        <v>98</v>
      </c>
      <c r="B8" s="1212" t="s">
        <v>133</v>
      </c>
      <c r="C8" s="1213" t="s">
        <v>133</v>
      </c>
      <c r="D8" s="1213" t="s">
        <v>133</v>
      </c>
      <c r="E8" s="1213" t="s">
        <v>133</v>
      </c>
      <c r="F8" s="1213" t="s">
        <v>133</v>
      </c>
      <c r="G8" s="1213">
        <v>10508064.105703</v>
      </c>
      <c r="H8" s="1213" t="s">
        <v>133</v>
      </c>
      <c r="I8" s="1213" t="s">
        <v>133</v>
      </c>
      <c r="J8" s="1213">
        <v>10508064.105703</v>
      </c>
      <c r="K8" s="1213" t="s">
        <v>133</v>
      </c>
      <c r="L8" s="1213" t="s">
        <v>133</v>
      </c>
      <c r="M8" s="1213" t="s">
        <v>133</v>
      </c>
      <c r="N8" s="1213" t="s">
        <v>133</v>
      </c>
      <c r="O8" s="1213" t="s">
        <v>133</v>
      </c>
      <c r="P8" s="1213">
        <v>540002.372645</v>
      </c>
      <c r="Q8" s="1214" t="s">
        <v>133</v>
      </c>
      <c r="R8" s="1215" t="s">
        <v>133</v>
      </c>
      <c r="S8" s="1215">
        <v>11048066.478348</v>
      </c>
      <c r="T8" s="1215" t="s">
        <v>133</v>
      </c>
      <c r="U8" s="1215">
        <v>11048066.478348</v>
      </c>
      <c r="V8" s="1216" t="s">
        <v>98</v>
      </c>
    </row>
    <row r="9" spans="1:24" ht="21.95" customHeight="1">
      <c r="A9" s="1211" t="s">
        <v>188</v>
      </c>
      <c r="B9" s="1212" t="s">
        <v>133</v>
      </c>
      <c r="C9" s="1213" t="s">
        <v>133</v>
      </c>
      <c r="D9" s="1213" t="s">
        <v>133</v>
      </c>
      <c r="E9" s="1213" t="s">
        <v>133</v>
      </c>
      <c r="F9" s="1213" t="s">
        <v>133</v>
      </c>
      <c r="G9" s="1213">
        <v>93050.014953999998</v>
      </c>
      <c r="H9" s="1213" t="s">
        <v>133</v>
      </c>
      <c r="I9" s="1213" t="s">
        <v>133</v>
      </c>
      <c r="J9" s="1213">
        <v>93050.014953999998</v>
      </c>
      <c r="K9" s="1213">
        <v>2.409303</v>
      </c>
      <c r="L9" s="1213">
        <v>0</v>
      </c>
      <c r="M9" s="1213">
        <v>2.409303</v>
      </c>
      <c r="N9" s="1213">
        <v>24673.159</v>
      </c>
      <c r="O9" s="1213" t="s">
        <v>133</v>
      </c>
      <c r="P9" s="1213">
        <v>3800.4141420000001</v>
      </c>
      <c r="Q9" s="1214" t="s">
        <v>133</v>
      </c>
      <c r="R9" s="1215" t="s">
        <v>133</v>
      </c>
      <c r="S9" s="1215">
        <v>121525.997399</v>
      </c>
      <c r="T9" s="1215" t="s">
        <v>133</v>
      </c>
      <c r="U9" s="1215">
        <v>121525.997399</v>
      </c>
      <c r="V9" s="1216" t="s">
        <v>188</v>
      </c>
    </row>
    <row r="10" spans="1:24" ht="21.95" customHeight="1">
      <c r="A10" s="1211" t="s">
        <v>187</v>
      </c>
      <c r="B10" s="1212" t="s">
        <v>133</v>
      </c>
      <c r="C10" s="1213" t="s">
        <v>133</v>
      </c>
      <c r="D10" s="1213" t="s">
        <v>133</v>
      </c>
      <c r="E10" s="1213" t="s">
        <v>133</v>
      </c>
      <c r="F10" s="1213" t="s">
        <v>133</v>
      </c>
      <c r="G10" s="1213" t="s">
        <v>133</v>
      </c>
      <c r="H10" s="1213" t="s">
        <v>133</v>
      </c>
      <c r="I10" s="1213" t="s">
        <v>133</v>
      </c>
      <c r="J10" s="1213" t="s">
        <v>133</v>
      </c>
      <c r="K10" s="1213">
        <v>9742696.0271749999</v>
      </c>
      <c r="L10" s="1213" t="s">
        <v>133</v>
      </c>
      <c r="M10" s="1213">
        <v>9742696.0271749999</v>
      </c>
      <c r="N10" s="1213" t="s">
        <v>133</v>
      </c>
      <c r="O10" s="1213" t="s">
        <v>133</v>
      </c>
      <c r="P10" s="1213">
        <v>2730424.9555139998</v>
      </c>
      <c r="Q10" s="1214" t="s">
        <v>133</v>
      </c>
      <c r="R10" s="1215" t="s">
        <v>133</v>
      </c>
      <c r="S10" s="1215">
        <v>12473120.982689001</v>
      </c>
      <c r="T10" s="1215">
        <v>161070.651411</v>
      </c>
      <c r="U10" s="1215">
        <v>12634191.634099999</v>
      </c>
      <c r="V10" s="1216" t="s">
        <v>187</v>
      </c>
      <c r="W10" s="1217"/>
      <c r="X10" s="1217"/>
    </row>
    <row r="11" spans="1:24" ht="21.95" customHeight="1">
      <c r="A11" s="1211" t="s">
        <v>12</v>
      </c>
      <c r="B11" s="1212" t="s">
        <v>133</v>
      </c>
      <c r="C11" s="1213" t="s">
        <v>133</v>
      </c>
      <c r="D11" s="1213" t="s">
        <v>133</v>
      </c>
      <c r="E11" s="1213" t="s">
        <v>133</v>
      </c>
      <c r="F11" s="1213" t="s">
        <v>133</v>
      </c>
      <c r="G11" s="1213" t="s">
        <v>133</v>
      </c>
      <c r="H11" s="1213" t="s">
        <v>133</v>
      </c>
      <c r="I11" s="1213" t="s">
        <v>133</v>
      </c>
      <c r="J11" s="1213" t="s">
        <v>133</v>
      </c>
      <c r="K11" s="1213" t="s">
        <v>133</v>
      </c>
      <c r="L11" s="1213" t="s">
        <v>133</v>
      </c>
      <c r="M11" s="1213" t="s">
        <v>133</v>
      </c>
      <c r="N11" s="1213" t="s">
        <v>133</v>
      </c>
      <c r="O11" s="1213">
        <v>13608608.498</v>
      </c>
      <c r="P11" s="1213" t="s">
        <v>133</v>
      </c>
      <c r="Q11" s="1214" t="s">
        <v>133</v>
      </c>
      <c r="R11" s="1215" t="s">
        <v>133</v>
      </c>
      <c r="S11" s="1215">
        <v>13608608.498</v>
      </c>
      <c r="T11" s="1215" t="s">
        <v>133</v>
      </c>
      <c r="U11" s="1215">
        <v>13608608.498</v>
      </c>
      <c r="V11" s="1216" t="s">
        <v>12</v>
      </c>
    </row>
    <row r="12" spans="1:24" ht="21.95" customHeight="1">
      <c r="A12" s="1211" t="s">
        <v>112</v>
      </c>
      <c r="B12" s="1212" t="s">
        <v>133</v>
      </c>
      <c r="C12" s="1213" t="s">
        <v>133</v>
      </c>
      <c r="D12" s="1213" t="s">
        <v>133</v>
      </c>
      <c r="E12" s="1213" t="s">
        <v>133</v>
      </c>
      <c r="F12" s="1213" t="s">
        <v>133</v>
      </c>
      <c r="G12" s="1213">
        <v>49225.654316</v>
      </c>
      <c r="H12" s="1213" t="s">
        <v>133</v>
      </c>
      <c r="I12" s="1213" t="s">
        <v>133</v>
      </c>
      <c r="J12" s="1213">
        <v>49225.654316</v>
      </c>
      <c r="K12" s="1213">
        <v>5.7959999999999998E-2</v>
      </c>
      <c r="L12" s="1213" t="s">
        <v>133</v>
      </c>
      <c r="M12" s="1213">
        <v>5.7959999999999998E-2</v>
      </c>
      <c r="N12" s="1213" t="s">
        <v>133</v>
      </c>
      <c r="O12" s="1213" t="s">
        <v>133</v>
      </c>
      <c r="P12" s="1213">
        <v>76000.263613000003</v>
      </c>
      <c r="Q12" s="1214" t="s">
        <v>133</v>
      </c>
      <c r="R12" s="1215">
        <v>112554.221328</v>
      </c>
      <c r="S12" s="1215">
        <v>237780.19721700001</v>
      </c>
      <c r="T12" s="1215">
        <v>20728.828663</v>
      </c>
      <c r="U12" s="1215">
        <v>258509.02588</v>
      </c>
      <c r="V12" s="1216" t="s">
        <v>112</v>
      </c>
      <c r="W12" s="1217"/>
    </row>
    <row r="13" spans="1:24" ht="21.95" customHeight="1">
      <c r="A13" s="1218" t="s">
        <v>189</v>
      </c>
      <c r="B13" s="1219" t="s">
        <v>133</v>
      </c>
      <c r="C13" s="1220">
        <v>275421.99391000002</v>
      </c>
      <c r="D13" s="1220" t="s">
        <v>133</v>
      </c>
      <c r="E13" s="1220">
        <v>275421.99391000002</v>
      </c>
      <c r="F13" s="1221">
        <v>3.5723009999999999</v>
      </c>
      <c r="G13" s="1220">
        <v>10650339.774972999</v>
      </c>
      <c r="H13" s="1220">
        <v>0</v>
      </c>
      <c r="I13" s="1220" t="s">
        <v>133</v>
      </c>
      <c r="J13" s="1220">
        <v>10650343.347274</v>
      </c>
      <c r="K13" s="1220">
        <v>9742698.494438</v>
      </c>
      <c r="L13" s="1220">
        <v>0</v>
      </c>
      <c r="M13" s="1220">
        <v>9742698.494438</v>
      </c>
      <c r="N13" s="1220">
        <v>24673.159</v>
      </c>
      <c r="O13" s="1220">
        <v>13608608.498</v>
      </c>
      <c r="P13" s="1220">
        <v>3350228.0059139999</v>
      </c>
      <c r="Q13" s="1222" t="s">
        <v>133</v>
      </c>
      <c r="R13" s="1219">
        <v>112554.221328</v>
      </c>
      <c r="S13" s="1219">
        <v>37764527.719864003</v>
      </c>
      <c r="T13" s="1219">
        <v>181799.48007399999</v>
      </c>
      <c r="U13" s="1219">
        <v>37946327.199937999</v>
      </c>
      <c r="V13" s="1223" t="s">
        <v>189</v>
      </c>
    </row>
    <row r="14" spans="1:24" ht="21.95" customHeight="1">
      <c r="A14" s="1211" t="s">
        <v>176</v>
      </c>
      <c r="B14" s="1212">
        <v>191577.64634499999</v>
      </c>
      <c r="C14" s="1213" t="s">
        <v>133</v>
      </c>
      <c r="D14" s="1213">
        <v>50593.225199</v>
      </c>
      <c r="E14" s="1224">
        <v>242170.87154399999</v>
      </c>
      <c r="F14" s="1213" t="s">
        <v>133</v>
      </c>
      <c r="G14" s="1213" t="s">
        <v>133</v>
      </c>
      <c r="H14" s="1213" t="s">
        <v>133</v>
      </c>
      <c r="I14" s="1213" t="s">
        <v>133</v>
      </c>
      <c r="J14" s="1213" t="s">
        <v>133</v>
      </c>
      <c r="K14" s="1213" t="s">
        <v>133</v>
      </c>
      <c r="L14" s="1213" t="s">
        <v>133</v>
      </c>
      <c r="M14" s="1213" t="s">
        <v>133</v>
      </c>
      <c r="N14" s="1213" t="s">
        <v>133</v>
      </c>
      <c r="O14" s="1213" t="s">
        <v>133</v>
      </c>
      <c r="P14" s="1213" t="s">
        <v>133</v>
      </c>
      <c r="Q14" s="1214" t="s">
        <v>133</v>
      </c>
      <c r="R14" s="1215" t="s">
        <v>133</v>
      </c>
      <c r="S14" s="1215">
        <v>242170.87154399999</v>
      </c>
      <c r="T14" s="1215" t="s">
        <v>133</v>
      </c>
      <c r="U14" s="1215">
        <v>242170.87154399999</v>
      </c>
      <c r="V14" s="1216" t="s">
        <v>176</v>
      </c>
    </row>
    <row r="15" spans="1:24" ht="21.95" customHeight="1">
      <c r="A15" s="1211" t="s">
        <v>190</v>
      </c>
      <c r="B15" s="1212" t="s">
        <v>133</v>
      </c>
      <c r="C15" s="1213" t="s">
        <v>133</v>
      </c>
      <c r="D15" s="1213" t="s">
        <v>133</v>
      </c>
      <c r="E15" s="1213" t="s">
        <v>133</v>
      </c>
      <c r="F15" s="1213" t="s">
        <v>133</v>
      </c>
      <c r="G15" s="1213" t="s">
        <v>133</v>
      </c>
      <c r="H15" s="1213" t="s">
        <v>133</v>
      </c>
      <c r="I15" s="1213" t="s">
        <v>133</v>
      </c>
      <c r="J15" s="1213" t="s">
        <v>133</v>
      </c>
      <c r="K15" s="1213" t="s">
        <v>133</v>
      </c>
      <c r="L15" s="1213" t="s">
        <v>133</v>
      </c>
      <c r="M15" s="1213" t="s">
        <v>133</v>
      </c>
      <c r="N15" s="1213" t="s">
        <v>133</v>
      </c>
      <c r="O15" s="1213" t="s">
        <v>133</v>
      </c>
      <c r="P15" s="1213" t="s">
        <v>133</v>
      </c>
      <c r="Q15" s="1214">
        <v>4100089.0893179998</v>
      </c>
      <c r="R15" s="1215" t="s">
        <v>133</v>
      </c>
      <c r="S15" s="1215">
        <v>4100089.0893179998</v>
      </c>
      <c r="T15" s="1215" t="s">
        <v>133</v>
      </c>
      <c r="U15" s="1215">
        <v>4100089.0893179998</v>
      </c>
      <c r="V15" s="1216" t="s">
        <v>190</v>
      </c>
      <c r="X15" s="1225"/>
    </row>
    <row r="16" spans="1:24" ht="21.95" customHeight="1">
      <c r="A16" s="1211" t="s">
        <v>191</v>
      </c>
      <c r="B16" s="1212" t="s">
        <v>133</v>
      </c>
      <c r="C16" s="1213" t="s">
        <v>133</v>
      </c>
      <c r="D16" s="1213" t="s">
        <v>133</v>
      </c>
      <c r="E16" s="1213" t="s">
        <v>133</v>
      </c>
      <c r="F16" s="1213" t="s">
        <v>133</v>
      </c>
      <c r="G16" s="1213" t="s">
        <v>133</v>
      </c>
      <c r="H16" s="1213" t="s">
        <v>133</v>
      </c>
      <c r="I16" s="1213" t="s">
        <v>133</v>
      </c>
      <c r="J16" s="1213" t="s">
        <v>133</v>
      </c>
      <c r="K16" s="1213" t="s">
        <v>133</v>
      </c>
      <c r="L16" s="1213" t="s">
        <v>133</v>
      </c>
      <c r="M16" s="1213" t="s">
        <v>133</v>
      </c>
      <c r="N16" s="1213" t="s">
        <v>133</v>
      </c>
      <c r="O16" s="1213" t="s">
        <v>133</v>
      </c>
      <c r="P16" s="1213" t="s">
        <v>133</v>
      </c>
      <c r="Q16" s="1214">
        <v>277390.06370399997</v>
      </c>
      <c r="R16" s="1215" t="s">
        <v>133</v>
      </c>
      <c r="S16" s="1215">
        <v>277390.06370399997</v>
      </c>
      <c r="T16" s="1215" t="s">
        <v>133</v>
      </c>
      <c r="U16" s="1215">
        <v>277390.06370399997</v>
      </c>
      <c r="V16" s="1216" t="s">
        <v>191</v>
      </c>
    </row>
    <row r="17" spans="1:24" ht="21.95" customHeight="1">
      <c r="A17" s="1211" t="s">
        <v>192</v>
      </c>
      <c r="B17" s="1212" t="s">
        <v>133</v>
      </c>
      <c r="C17" s="1213" t="s">
        <v>133</v>
      </c>
      <c r="D17" s="1213" t="s">
        <v>133</v>
      </c>
      <c r="E17" s="1213" t="s">
        <v>133</v>
      </c>
      <c r="F17" s="1213" t="s">
        <v>133</v>
      </c>
      <c r="G17" s="1213" t="s">
        <v>133</v>
      </c>
      <c r="H17" s="1213" t="s">
        <v>133</v>
      </c>
      <c r="I17" s="1213" t="s">
        <v>133</v>
      </c>
      <c r="J17" s="1213" t="s">
        <v>133</v>
      </c>
      <c r="K17" s="1213" t="s">
        <v>133</v>
      </c>
      <c r="L17" s="1213" t="s">
        <v>133</v>
      </c>
      <c r="M17" s="1213" t="s">
        <v>133</v>
      </c>
      <c r="N17" s="1213" t="s">
        <v>133</v>
      </c>
      <c r="O17" s="1213" t="s">
        <v>133</v>
      </c>
      <c r="P17" s="1213" t="s">
        <v>133</v>
      </c>
      <c r="Q17" s="1214">
        <v>1.5840000000000001</v>
      </c>
      <c r="R17" s="1215" t="s">
        <v>133</v>
      </c>
      <c r="S17" s="1215">
        <v>1.5840000000000001</v>
      </c>
      <c r="T17" s="1215" t="s">
        <v>133</v>
      </c>
      <c r="U17" s="1215">
        <v>1.5840000000000001</v>
      </c>
      <c r="V17" s="1216" t="s">
        <v>192</v>
      </c>
    </row>
    <row r="18" spans="1:24" ht="21.95" customHeight="1">
      <c r="A18" s="1211" t="s">
        <v>193</v>
      </c>
      <c r="B18" s="1212" t="s">
        <v>133</v>
      </c>
      <c r="C18" s="1213" t="s">
        <v>133</v>
      </c>
      <c r="D18" s="1213" t="s">
        <v>133</v>
      </c>
      <c r="E18" s="1213" t="s">
        <v>133</v>
      </c>
      <c r="F18" s="1213">
        <v>0.396922</v>
      </c>
      <c r="G18" s="1213">
        <v>44165.528796999999</v>
      </c>
      <c r="H18" s="1213" t="s">
        <v>133</v>
      </c>
      <c r="I18" s="1213" t="s">
        <v>133</v>
      </c>
      <c r="J18" s="1213">
        <v>44165.925718999999</v>
      </c>
      <c r="K18" s="1213" t="s">
        <v>133</v>
      </c>
      <c r="L18" s="1213" t="s">
        <v>133</v>
      </c>
      <c r="M18" s="1213" t="s">
        <v>133</v>
      </c>
      <c r="N18" s="1213" t="s">
        <v>133</v>
      </c>
      <c r="O18" s="1213" t="s">
        <v>133</v>
      </c>
      <c r="P18" s="1213">
        <v>99348.260339999993</v>
      </c>
      <c r="Q18" s="1214">
        <v>781512.81593899999</v>
      </c>
      <c r="R18" s="1215" t="s">
        <v>133</v>
      </c>
      <c r="S18" s="1215">
        <v>925027.00199799996</v>
      </c>
      <c r="T18" s="1215" t="s">
        <v>133</v>
      </c>
      <c r="U18" s="1215">
        <v>925027.00199799996</v>
      </c>
      <c r="V18" s="1216" t="s">
        <v>193</v>
      </c>
    </row>
    <row r="19" spans="1:24" ht="21.95" customHeight="1">
      <c r="A19" s="1211" t="s">
        <v>194</v>
      </c>
      <c r="B19" s="1212" t="s">
        <v>133</v>
      </c>
      <c r="C19" s="1213" t="s">
        <v>133</v>
      </c>
      <c r="D19" s="1213" t="s">
        <v>133</v>
      </c>
      <c r="E19" s="1213" t="s">
        <v>133</v>
      </c>
      <c r="F19" s="1213" t="s">
        <v>133</v>
      </c>
      <c r="G19" s="1213" t="s">
        <v>133</v>
      </c>
      <c r="H19" s="1213" t="s">
        <v>133</v>
      </c>
      <c r="I19" s="1213" t="s">
        <v>133</v>
      </c>
      <c r="J19" s="1213" t="s">
        <v>133</v>
      </c>
      <c r="K19" s="1213" t="s">
        <v>133</v>
      </c>
      <c r="L19" s="1213" t="s">
        <v>133</v>
      </c>
      <c r="M19" s="1213" t="s">
        <v>133</v>
      </c>
      <c r="N19" s="1213" t="s">
        <v>133</v>
      </c>
      <c r="O19" s="1213" t="s">
        <v>133</v>
      </c>
      <c r="P19" s="1213" t="s">
        <v>133</v>
      </c>
      <c r="Q19" s="1214">
        <v>822088.74104700005</v>
      </c>
      <c r="R19" s="1215" t="s">
        <v>133</v>
      </c>
      <c r="S19" s="1215">
        <v>822088.74104700005</v>
      </c>
      <c r="T19" s="1215" t="s">
        <v>133</v>
      </c>
      <c r="U19" s="1215">
        <v>822088.74104700005</v>
      </c>
      <c r="V19" s="1216" t="s">
        <v>194</v>
      </c>
    </row>
    <row r="20" spans="1:24" ht="21.95" customHeight="1">
      <c r="A20" s="1211" t="s">
        <v>195</v>
      </c>
      <c r="B20" s="1212" t="s">
        <v>133</v>
      </c>
      <c r="C20" s="1213" t="s">
        <v>133</v>
      </c>
      <c r="D20" s="1213" t="s">
        <v>133</v>
      </c>
      <c r="E20" s="1213" t="s">
        <v>133</v>
      </c>
      <c r="F20" s="1213" t="s">
        <v>133</v>
      </c>
      <c r="G20" s="1213" t="s">
        <v>133</v>
      </c>
      <c r="H20" s="1213" t="s">
        <v>133</v>
      </c>
      <c r="I20" s="1213" t="s">
        <v>133</v>
      </c>
      <c r="J20" s="1213" t="s">
        <v>133</v>
      </c>
      <c r="K20" s="1213" t="s">
        <v>133</v>
      </c>
      <c r="L20" s="1213" t="s">
        <v>133</v>
      </c>
      <c r="M20" s="1213" t="s">
        <v>133</v>
      </c>
      <c r="N20" s="1213" t="s">
        <v>133</v>
      </c>
      <c r="O20" s="1213" t="s">
        <v>133</v>
      </c>
      <c r="P20" s="1213" t="s">
        <v>133</v>
      </c>
      <c r="Q20" s="1214">
        <v>0</v>
      </c>
      <c r="R20" s="1215" t="s">
        <v>133</v>
      </c>
      <c r="S20" s="1215">
        <v>0</v>
      </c>
      <c r="T20" s="1215" t="s">
        <v>133</v>
      </c>
      <c r="U20" s="1215">
        <v>0</v>
      </c>
      <c r="V20" s="1216" t="s">
        <v>195</v>
      </c>
      <c r="X20" s="1226"/>
    </row>
    <row r="21" spans="1:24" ht="21.95" customHeight="1">
      <c r="A21" s="652" t="s">
        <v>841</v>
      </c>
      <c r="B21" s="1227" t="s">
        <v>133</v>
      </c>
      <c r="C21" s="1228" t="s">
        <v>133</v>
      </c>
      <c r="D21" s="1228" t="s">
        <v>133</v>
      </c>
      <c r="E21" s="1228" t="s">
        <v>133</v>
      </c>
      <c r="F21" s="1228" t="s">
        <v>133</v>
      </c>
      <c r="G21" s="1228" t="s">
        <v>133</v>
      </c>
      <c r="H21" s="1228" t="s">
        <v>133</v>
      </c>
      <c r="I21" s="1228" t="s">
        <v>133</v>
      </c>
      <c r="J21" s="1228" t="s">
        <v>133</v>
      </c>
      <c r="K21" s="1228" t="s">
        <v>133</v>
      </c>
      <c r="L21" s="1228" t="s">
        <v>133</v>
      </c>
      <c r="M21" s="1228" t="s">
        <v>133</v>
      </c>
      <c r="N21" s="1228" t="s">
        <v>133</v>
      </c>
      <c r="O21" s="1228" t="s">
        <v>133</v>
      </c>
      <c r="P21" s="1228" t="s">
        <v>133</v>
      </c>
      <c r="Q21" s="1229">
        <v>65052.395965999996</v>
      </c>
      <c r="R21" s="1230" t="s">
        <v>133</v>
      </c>
      <c r="S21" s="1230">
        <v>65052.395965999996</v>
      </c>
      <c r="T21" s="1230" t="s">
        <v>133</v>
      </c>
      <c r="U21" s="1230">
        <v>65052.395965999996</v>
      </c>
      <c r="V21" s="337" t="s">
        <v>841</v>
      </c>
      <c r="X21" s="1226"/>
    </row>
    <row r="22" spans="1:24" ht="21.95" customHeight="1">
      <c r="A22" s="1231" t="s">
        <v>196</v>
      </c>
      <c r="B22" s="1232">
        <v>191577.64634499999</v>
      </c>
      <c r="C22" s="1233" t="s">
        <v>133</v>
      </c>
      <c r="D22" s="1233">
        <v>50593.225199</v>
      </c>
      <c r="E22" s="1233">
        <v>242170.87154399999</v>
      </c>
      <c r="F22" s="1233">
        <v>0.396922</v>
      </c>
      <c r="G22" s="1233">
        <v>44165.528796999999</v>
      </c>
      <c r="H22" s="1233" t="s">
        <v>133</v>
      </c>
      <c r="I22" s="1233" t="s">
        <v>133</v>
      </c>
      <c r="J22" s="1233">
        <v>44165.925718999999</v>
      </c>
      <c r="K22" s="1233" t="s">
        <v>133</v>
      </c>
      <c r="L22" s="1233" t="s">
        <v>133</v>
      </c>
      <c r="M22" s="1233" t="s">
        <v>133</v>
      </c>
      <c r="N22" s="1233" t="s">
        <v>133</v>
      </c>
      <c r="O22" s="1233" t="s">
        <v>133</v>
      </c>
      <c r="P22" s="1233">
        <v>99348.260339999993</v>
      </c>
      <c r="Q22" s="1234">
        <v>6046134.6899739997</v>
      </c>
      <c r="R22" s="1235" t="s">
        <v>133</v>
      </c>
      <c r="S22" s="1235">
        <v>6431819.7475770004</v>
      </c>
      <c r="T22" s="1235" t="s">
        <v>133</v>
      </c>
      <c r="U22" s="1235">
        <v>6431819.7475770004</v>
      </c>
      <c r="V22" s="1236" t="s">
        <v>196</v>
      </c>
      <c r="X22" s="1237"/>
    </row>
    <row r="23" spans="1:24" ht="21.95" customHeight="1">
      <c r="A23" s="1238" t="s">
        <v>197</v>
      </c>
      <c r="B23" s="1239">
        <v>191577.64634499999</v>
      </c>
      <c r="C23" s="1239">
        <v>275421.99391000002</v>
      </c>
      <c r="D23" s="1239">
        <v>50593.225199</v>
      </c>
      <c r="E23" s="1239">
        <v>517592.86545400001</v>
      </c>
      <c r="F23" s="1239">
        <v>3.9692229999999999</v>
      </c>
      <c r="G23" s="1239">
        <v>10694505.30377</v>
      </c>
      <c r="H23" s="1239" t="s">
        <v>133</v>
      </c>
      <c r="I23" s="1239" t="s">
        <v>133</v>
      </c>
      <c r="J23" s="1239">
        <v>10694509.272993</v>
      </c>
      <c r="K23" s="1239">
        <v>9742698.494438</v>
      </c>
      <c r="L23" s="1239">
        <v>0</v>
      </c>
      <c r="M23" s="1239">
        <v>9742698.494438</v>
      </c>
      <c r="N23" s="1239">
        <v>24673.159</v>
      </c>
      <c r="O23" s="1239">
        <v>13608608.498</v>
      </c>
      <c r="P23" s="1239">
        <v>3449576.2662539999</v>
      </c>
      <c r="Q23" s="1239">
        <v>6046134.6899739997</v>
      </c>
      <c r="R23" s="1240">
        <v>112554.221328</v>
      </c>
      <c r="S23" s="1240">
        <v>44196347.467441</v>
      </c>
      <c r="T23" s="1239">
        <v>181799.48007399999</v>
      </c>
      <c r="U23" s="1239">
        <v>44378146.947515003</v>
      </c>
      <c r="V23" s="1241" t="s">
        <v>197</v>
      </c>
    </row>
    <row r="24" spans="1:24" ht="9.9499999999999993" customHeight="1">
      <c r="A24" s="1242"/>
      <c r="B24" s="1242"/>
      <c r="C24" s="1242"/>
      <c r="D24" s="1242"/>
      <c r="E24" s="1242"/>
      <c r="F24" s="1242"/>
      <c r="G24" s="1242"/>
      <c r="H24" s="1242"/>
      <c r="I24" s="1242"/>
      <c r="J24" s="1242"/>
      <c r="K24" s="1242"/>
      <c r="L24" s="1242"/>
      <c r="M24" s="1242"/>
      <c r="N24" s="1242"/>
      <c r="O24" s="1242"/>
      <c r="P24" s="1242"/>
      <c r="Q24" s="1242"/>
      <c r="R24" s="1242"/>
      <c r="S24" s="1242"/>
      <c r="T24" s="1243"/>
      <c r="U24" s="1243"/>
      <c r="V24" s="271"/>
    </row>
    <row r="25" spans="1:24" ht="21" customHeight="1">
      <c r="A25" s="433" t="s">
        <v>842</v>
      </c>
      <c r="B25" s="1244"/>
      <c r="C25" s="1244"/>
      <c r="D25" s="1244"/>
      <c r="E25" s="1244"/>
      <c r="F25" s="1244"/>
      <c r="G25" s="1244"/>
      <c r="H25" s="1245"/>
      <c r="I25" s="1246" t="s">
        <v>843</v>
      </c>
      <c r="J25" s="1244"/>
      <c r="K25" s="272"/>
      <c r="L25" s="433" t="s">
        <v>842</v>
      </c>
      <c r="M25" s="272"/>
      <c r="N25" s="272"/>
      <c r="O25" s="272"/>
      <c r="P25" s="272"/>
      <c r="Q25" s="272"/>
      <c r="R25" s="272"/>
      <c r="S25" s="272"/>
      <c r="T25" s="271"/>
      <c r="U25" s="1243"/>
      <c r="V25" s="271"/>
      <c r="X25" s="473"/>
    </row>
    <row r="26" spans="1:24" ht="21" customHeight="1">
      <c r="A26" s="1247" t="s">
        <v>844</v>
      </c>
      <c r="B26" s="1248" t="s">
        <v>12</v>
      </c>
      <c r="C26" s="1248" t="s">
        <v>201</v>
      </c>
      <c r="D26" s="1248" t="s">
        <v>187</v>
      </c>
      <c r="E26" s="1248" t="s">
        <v>202</v>
      </c>
      <c r="F26" s="1248" t="s">
        <v>188</v>
      </c>
      <c r="G26" s="1248" t="s">
        <v>184</v>
      </c>
      <c r="H26" s="1249" t="s">
        <v>112</v>
      </c>
      <c r="I26" s="1249" t="s">
        <v>197</v>
      </c>
      <c r="J26" s="1244"/>
      <c r="K26" s="272"/>
      <c r="L26" s="1250" t="s">
        <v>845</v>
      </c>
      <c r="M26" s="1251"/>
      <c r="N26" s="1252">
        <v>11405492.545805</v>
      </c>
      <c r="O26" s="1251"/>
      <c r="P26" s="1251"/>
      <c r="Q26" s="1251"/>
      <c r="R26" s="1251"/>
      <c r="S26" s="1251"/>
      <c r="T26" s="1243"/>
      <c r="U26" s="1243"/>
      <c r="V26" s="271"/>
      <c r="X26" s="473"/>
    </row>
    <row r="27" spans="1:24" ht="21" customHeight="1">
      <c r="A27" s="1253" t="s">
        <v>846</v>
      </c>
      <c r="B27" s="1254">
        <v>13608608.498</v>
      </c>
      <c r="C27" s="1254">
        <v>11405492.546</v>
      </c>
      <c r="D27" s="1254">
        <v>12634194.101</v>
      </c>
      <c r="E27" s="1254">
        <v>6288305.5619999999</v>
      </c>
      <c r="F27" s="1254">
        <v>28473.573</v>
      </c>
      <c r="G27" s="1254">
        <v>275421.99400000001</v>
      </c>
      <c r="H27" s="1255">
        <v>137650.674</v>
      </c>
      <c r="I27" s="1255">
        <v>44378146.947999999</v>
      </c>
      <c r="J27" s="1244"/>
      <c r="K27" s="272"/>
      <c r="L27" s="1256" t="s">
        <v>205</v>
      </c>
      <c r="M27" s="412">
        <v>3.9692229999999999</v>
      </c>
      <c r="N27" s="346" t="s">
        <v>206</v>
      </c>
      <c r="O27" s="412">
        <v>10694505.30377</v>
      </c>
      <c r="P27" s="1257" t="s">
        <v>847</v>
      </c>
      <c r="Q27" s="412">
        <v>540002.372645</v>
      </c>
      <c r="R27" s="1257" t="s">
        <v>848</v>
      </c>
      <c r="S27" s="412">
        <v>99348.260339999993</v>
      </c>
      <c r="T27" s="1257" t="s">
        <v>849</v>
      </c>
      <c r="U27" s="412">
        <v>71632.639827000006</v>
      </c>
      <c r="V27" s="271"/>
      <c r="X27" s="1258"/>
    </row>
    <row r="28" spans="1:24" ht="21" customHeight="1">
      <c r="A28" s="1259" t="s">
        <v>207</v>
      </c>
      <c r="B28" s="1260">
        <v>30.665099999999999</v>
      </c>
      <c r="C28" s="1260">
        <v>25.700700000000001</v>
      </c>
      <c r="D28" s="1260">
        <v>28.4694</v>
      </c>
      <c r="E28" s="1260">
        <v>14.1698</v>
      </c>
      <c r="F28" s="1260">
        <v>6.4199999999999993E-2</v>
      </c>
      <c r="G28" s="1260">
        <v>0.62060000000000004</v>
      </c>
      <c r="H28" s="1261">
        <v>0.31019999999999998</v>
      </c>
      <c r="I28" s="1262">
        <v>100</v>
      </c>
      <c r="J28" s="1244"/>
      <c r="K28" s="272"/>
      <c r="L28" s="1250" t="s">
        <v>850</v>
      </c>
      <c r="M28" s="1263"/>
      <c r="N28" s="1252">
        <v>12634194.101363</v>
      </c>
      <c r="O28" s="1263"/>
      <c r="P28" s="1251"/>
      <c r="Q28" s="1263"/>
      <c r="R28" s="1263"/>
      <c r="S28" s="1251"/>
      <c r="T28" s="1243"/>
      <c r="U28" s="1243"/>
      <c r="V28" s="271"/>
    </row>
    <row r="29" spans="1:24" ht="21" customHeight="1">
      <c r="A29" s="433" t="s">
        <v>208</v>
      </c>
      <c r="B29" s="1244"/>
      <c r="C29" s="1244"/>
      <c r="D29" s="1244"/>
      <c r="E29" s="1244"/>
      <c r="F29" s="1244"/>
      <c r="G29" s="1244"/>
      <c r="H29" s="1244"/>
      <c r="I29" s="1245"/>
      <c r="J29" s="1246" t="s">
        <v>843</v>
      </c>
      <c r="K29" s="272"/>
      <c r="L29" s="1256" t="s">
        <v>209</v>
      </c>
      <c r="M29" s="412">
        <v>0</v>
      </c>
      <c r="N29" s="346" t="s">
        <v>210</v>
      </c>
      <c r="O29" s="412">
        <v>9742698.494438</v>
      </c>
      <c r="P29" s="1264" t="s">
        <v>851</v>
      </c>
      <c r="Q29" s="412">
        <v>2730424.9555139998</v>
      </c>
      <c r="R29" s="1257" t="s">
        <v>852</v>
      </c>
      <c r="S29" s="412">
        <v>161070.651411</v>
      </c>
      <c r="T29" s="271"/>
      <c r="U29" s="1243"/>
      <c r="V29" s="271"/>
    </row>
    <row r="30" spans="1:24" ht="21" customHeight="1">
      <c r="A30" s="1247" t="s">
        <v>844</v>
      </c>
      <c r="B30" s="1248" t="s">
        <v>12</v>
      </c>
      <c r="C30" s="1248" t="s">
        <v>201</v>
      </c>
      <c r="D30" s="1248" t="s">
        <v>187</v>
      </c>
      <c r="E30" s="1248" t="s">
        <v>202</v>
      </c>
      <c r="F30" s="1248" t="s">
        <v>188</v>
      </c>
      <c r="G30" s="1248" t="s">
        <v>184</v>
      </c>
      <c r="H30" s="1248" t="s">
        <v>180</v>
      </c>
      <c r="I30" s="1249" t="s">
        <v>112</v>
      </c>
      <c r="J30" s="1249" t="s">
        <v>197</v>
      </c>
      <c r="K30" s="272"/>
      <c r="L30" s="1250" t="s">
        <v>853</v>
      </c>
      <c r="M30" s="1263"/>
      <c r="N30" s="1252">
        <v>6288305.5615179995</v>
      </c>
      <c r="O30" s="1263"/>
      <c r="P30" s="1251"/>
      <c r="Q30" s="1263"/>
      <c r="R30" s="1251"/>
      <c r="S30" s="1263"/>
      <c r="T30" s="271"/>
      <c r="U30" s="1243"/>
      <c r="V30" s="271"/>
    </row>
    <row r="31" spans="1:24" ht="21" customHeight="1">
      <c r="A31" s="1253" t="s">
        <v>846</v>
      </c>
      <c r="B31" s="1254">
        <v>13608608.498</v>
      </c>
      <c r="C31" s="1254">
        <v>10694509.273</v>
      </c>
      <c r="D31" s="1254">
        <v>9903769.1459999997</v>
      </c>
      <c r="E31" s="1254">
        <v>6288305.5619999999</v>
      </c>
      <c r="F31" s="1254">
        <v>24673.159</v>
      </c>
      <c r="G31" s="1254">
        <v>275421.99400000001</v>
      </c>
      <c r="H31" s="1254">
        <v>3449576.2659999998</v>
      </c>
      <c r="I31" s="1255">
        <v>133283.04999999999</v>
      </c>
      <c r="J31" s="1255">
        <v>44378146.947999999</v>
      </c>
      <c r="K31" s="272"/>
      <c r="L31" s="1265" t="s">
        <v>211</v>
      </c>
      <c r="M31" s="412">
        <v>242170.87154399999</v>
      </c>
      <c r="N31" s="1266" t="s">
        <v>212</v>
      </c>
      <c r="O31" s="412">
        <v>6046134.6899739997</v>
      </c>
      <c r="R31" s="1267"/>
      <c r="S31" s="1268"/>
      <c r="T31" s="271"/>
      <c r="U31" s="1243"/>
      <c r="V31" s="271"/>
    </row>
    <row r="32" spans="1:24" ht="21" customHeight="1">
      <c r="A32" s="1259" t="s">
        <v>207</v>
      </c>
      <c r="B32" s="1260">
        <v>30.665099999999999</v>
      </c>
      <c r="C32" s="1260">
        <v>24.098600000000001</v>
      </c>
      <c r="D32" s="1260">
        <v>22.316800000000001</v>
      </c>
      <c r="E32" s="1260">
        <v>14.1698</v>
      </c>
      <c r="F32" s="1260">
        <v>5.5599999999999997E-2</v>
      </c>
      <c r="G32" s="1260">
        <v>0.62060000000000004</v>
      </c>
      <c r="H32" s="1260">
        <v>7.7731000000000003</v>
      </c>
      <c r="I32" s="1261">
        <v>0.30030000000000001</v>
      </c>
      <c r="J32" s="1262">
        <v>100</v>
      </c>
      <c r="K32" s="272"/>
      <c r="L32" s="1250" t="s">
        <v>854</v>
      </c>
      <c r="M32" s="1263"/>
      <c r="N32" s="1252">
        <v>28473.573142000001</v>
      </c>
      <c r="O32" s="1263"/>
      <c r="P32" s="1251"/>
      <c r="Q32" s="1263"/>
      <c r="R32" s="1251"/>
      <c r="S32" s="1263"/>
      <c r="T32" s="271"/>
      <c r="U32" s="1269"/>
      <c r="V32" s="271"/>
    </row>
    <row r="33" spans="1:22" ht="15" customHeight="1">
      <c r="A33" s="1244"/>
      <c r="B33" s="1270"/>
      <c r="C33" s="1270"/>
      <c r="D33" s="1270"/>
      <c r="E33" s="1270"/>
      <c r="F33" s="1270"/>
      <c r="G33" s="1270"/>
      <c r="H33" s="1270"/>
      <c r="I33" s="1270"/>
      <c r="J33" s="1244"/>
      <c r="K33" s="272"/>
      <c r="L33" s="1256" t="s">
        <v>855</v>
      </c>
      <c r="M33" s="412">
        <v>0</v>
      </c>
      <c r="N33" s="346" t="s">
        <v>213</v>
      </c>
      <c r="O33" s="412">
        <v>0</v>
      </c>
      <c r="P33" s="1264" t="s">
        <v>856</v>
      </c>
      <c r="Q33" s="412">
        <v>24673.159</v>
      </c>
      <c r="R33" s="1271" t="s">
        <v>214</v>
      </c>
      <c r="S33" s="412">
        <v>3800.4141420000001</v>
      </c>
      <c r="T33" s="271"/>
      <c r="U33" s="1269"/>
      <c r="V33" s="271"/>
    </row>
    <row r="34" spans="1:22" ht="21" customHeight="1">
      <c r="A34" s="433" t="s">
        <v>857</v>
      </c>
      <c r="B34" s="1270"/>
      <c r="C34" s="1270"/>
      <c r="D34" s="1270"/>
      <c r="E34" s="1270"/>
      <c r="F34" s="1270"/>
      <c r="G34" s="1270"/>
      <c r="H34" s="1245"/>
      <c r="I34" s="1246" t="s">
        <v>843</v>
      </c>
      <c r="J34" s="1244"/>
      <c r="K34" s="1272"/>
      <c r="L34" s="1272"/>
      <c r="M34" s="1273"/>
      <c r="N34" s="272"/>
      <c r="O34" s="1273"/>
      <c r="P34" s="1274"/>
      <c r="Q34" s="1273"/>
      <c r="R34" s="1273"/>
      <c r="S34" s="272"/>
      <c r="T34" s="1269"/>
      <c r="U34" s="1269"/>
      <c r="V34" s="271"/>
    </row>
    <row r="35" spans="1:22" ht="21" customHeight="1">
      <c r="A35" s="1247" t="s">
        <v>844</v>
      </c>
      <c r="B35" s="1248" t="s">
        <v>12</v>
      </c>
      <c r="C35" s="1248" t="s">
        <v>201</v>
      </c>
      <c r="D35" s="1248" t="s">
        <v>187</v>
      </c>
      <c r="E35" s="1248" t="s">
        <v>202</v>
      </c>
      <c r="F35" s="1248" t="s">
        <v>188</v>
      </c>
      <c r="G35" s="1248" t="s">
        <v>184</v>
      </c>
      <c r="H35" s="1249" t="s">
        <v>112</v>
      </c>
      <c r="I35" s="1249" t="s">
        <v>197</v>
      </c>
      <c r="J35" s="1244"/>
      <c r="K35" s="1272"/>
      <c r="L35" s="1275" t="s">
        <v>857</v>
      </c>
      <c r="M35" s="272"/>
      <c r="N35" s="1273"/>
      <c r="O35" s="1276"/>
      <c r="P35" s="1273"/>
      <c r="Q35" s="272"/>
      <c r="R35" s="272"/>
      <c r="S35" s="1273"/>
      <c r="T35" s="1269"/>
      <c r="U35" s="1269"/>
      <c r="V35" s="271"/>
    </row>
    <row r="36" spans="1:22" ht="21" customHeight="1">
      <c r="A36" s="1253" t="s">
        <v>846</v>
      </c>
      <c r="B36" s="1254">
        <v>13608608.498</v>
      </c>
      <c r="C36" s="1254">
        <v>11048070.051000001</v>
      </c>
      <c r="D36" s="1254">
        <v>12634191.634</v>
      </c>
      <c r="E36" s="1254">
        <v>6431819.7479999997</v>
      </c>
      <c r="F36" s="1254">
        <v>121525.997</v>
      </c>
      <c r="G36" s="1254">
        <v>275421.99400000001</v>
      </c>
      <c r="H36" s="1255">
        <v>258509.02600000001</v>
      </c>
      <c r="I36" s="1255">
        <v>44378146.947999999</v>
      </c>
      <c r="J36" s="1244"/>
      <c r="K36" s="1272"/>
      <c r="L36" s="1277" t="s">
        <v>858</v>
      </c>
      <c r="M36" s="272"/>
      <c r="N36" s="1273"/>
      <c r="O36" s="1276"/>
      <c r="P36" s="1273"/>
      <c r="Q36" s="272"/>
      <c r="R36" s="272"/>
      <c r="S36" s="1273"/>
      <c r="T36" s="1269"/>
      <c r="U36" s="1269"/>
      <c r="V36" s="271"/>
    </row>
    <row r="37" spans="1:22" ht="21" customHeight="1">
      <c r="A37" s="1259" t="s">
        <v>207</v>
      </c>
      <c r="B37" s="1260">
        <v>30.664999999999999</v>
      </c>
      <c r="C37" s="1260">
        <v>24.895</v>
      </c>
      <c r="D37" s="1260">
        <v>28.469000000000001</v>
      </c>
      <c r="E37" s="1260">
        <v>14.493</v>
      </c>
      <c r="F37" s="1260">
        <v>0.27400000000000002</v>
      </c>
      <c r="G37" s="1260">
        <v>0.621</v>
      </c>
      <c r="H37" s="1261">
        <v>0.58299999999999996</v>
      </c>
      <c r="I37" s="1262">
        <v>100</v>
      </c>
      <c r="J37" s="1244"/>
      <c r="K37" s="1272"/>
      <c r="L37" s="1273"/>
      <c r="M37" s="272"/>
      <c r="N37" s="1273"/>
      <c r="O37" s="1276"/>
      <c r="P37" s="1273"/>
      <c r="Q37" s="272"/>
      <c r="R37" s="272"/>
      <c r="S37" s="1273"/>
      <c r="T37" s="1269"/>
      <c r="U37" s="1269"/>
      <c r="V37" s="271"/>
    </row>
    <row r="38" spans="1:22" ht="12.95" customHeight="1">
      <c r="A38" s="346" t="s">
        <v>859</v>
      </c>
      <c r="B38" s="272"/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1"/>
      <c r="U38" s="271"/>
      <c r="V38" s="271"/>
    </row>
    <row r="39" spans="1:22" ht="12.95" customHeight="1">
      <c r="A39" s="346" t="s">
        <v>170</v>
      </c>
      <c r="B39" s="272"/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1"/>
      <c r="U39" s="271"/>
      <c r="V39" s="271"/>
    </row>
    <row r="40" spans="1:22" ht="12.95" customHeight="1">
      <c r="A40" s="346" t="s">
        <v>860</v>
      </c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1"/>
      <c r="U40" s="271"/>
      <c r="V40" s="271"/>
    </row>
    <row r="41" spans="1:22" ht="12.95" customHeight="1">
      <c r="A41" s="346" t="s">
        <v>861</v>
      </c>
      <c r="B41" s="272"/>
      <c r="C41" s="272"/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1"/>
      <c r="U41" s="271"/>
      <c r="V41" s="271"/>
    </row>
    <row r="42" spans="1:22">
      <c r="A42" s="1020"/>
    </row>
    <row r="46" spans="1:22">
      <c r="S46" s="1226"/>
      <c r="U46" s="287" t="s">
        <v>862</v>
      </c>
    </row>
  </sheetData>
  <mergeCells count="12">
    <mergeCell ref="P4:P5"/>
    <mergeCell ref="Q4:Q5"/>
    <mergeCell ref="R4:R5"/>
    <mergeCell ref="S4:S5"/>
    <mergeCell ref="U4:U5"/>
    <mergeCell ref="V4:V5"/>
    <mergeCell ref="A4:A5"/>
    <mergeCell ref="B4:E4"/>
    <mergeCell ref="F4:J4"/>
    <mergeCell ref="K4:M4"/>
    <mergeCell ref="N4:N5"/>
    <mergeCell ref="O4:O5"/>
  </mergeCells>
  <phoneticPr fontId="2" type="noConversion"/>
  <printOptions horizontalCentered="1"/>
  <pageMargins left="0.59055118110236227" right="0.59055118110236227" top="0.98425196850393704" bottom="0.78740157480314965" header="0" footer="0"/>
  <pageSetup paperSize="9" scale="80" firstPageNumber="12" orientation="portrait" useFirstPageNumber="1" r:id="rId1"/>
  <headerFooter differentOddEven="1" scaleWithDoc="0" alignWithMargins="0">
    <firstFooter>&amp;R&amp;P</firstFooter>
  </headerFooter>
  <colBreaks count="1" manualBreakCount="1">
    <brk id="11" max="40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B4D0-353F-409B-A58D-4523D1C80E43}">
  <sheetPr>
    <tabColor theme="8"/>
  </sheetPr>
  <dimension ref="A1:X76"/>
  <sheetViews>
    <sheetView showGridLines="0" view="pageBreakPreview" zoomScale="115" zoomScaleNormal="100" zoomScaleSheetLayoutView="115" workbookViewId="0"/>
  </sheetViews>
  <sheetFormatPr defaultColWidth="10" defaultRowHeight="13.5"/>
  <cols>
    <col min="1" max="1" width="3.125" style="13" customWidth="1"/>
    <col min="2" max="2" width="9.25" style="1369" customWidth="1"/>
    <col min="3" max="3" width="9.25" style="1370" customWidth="1"/>
    <col min="4" max="4" width="9.5" style="1369" customWidth="1"/>
    <col min="5" max="5" width="9.5" style="1370" customWidth="1"/>
    <col min="6" max="6" width="9.5" style="1369" customWidth="1"/>
    <col min="7" max="7" width="9.25" style="1370" customWidth="1"/>
    <col min="8" max="8" width="9.5" style="1369" customWidth="1"/>
    <col min="9" max="9" width="9.5" style="1370" customWidth="1"/>
    <col min="10" max="10" width="9.5" style="1369" customWidth="1"/>
    <col min="11" max="11" width="9.5" style="1370" customWidth="1"/>
    <col min="12" max="12" width="3.125" style="1369" customWidth="1"/>
    <col min="13" max="13" width="9.25" style="13" customWidth="1"/>
    <col min="14" max="22" width="9.5" style="13" customWidth="1"/>
    <col min="23" max="16384" width="10" style="13"/>
  </cols>
  <sheetData>
    <row r="1" spans="1:24" s="1278" customFormat="1" ht="20.25">
      <c r="A1" s="609" t="s">
        <v>863</v>
      </c>
      <c r="B1" s="609"/>
      <c r="C1" s="599"/>
      <c r="D1" s="598"/>
      <c r="E1" s="599"/>
      <c r="F1" s="598"/>
      <c r="G1" s="599"/>
      <c r="H1" s="598"/>
      <c r="I1" s="599"/>
      <c r="J1" s="598"/>
      <c r="K1" s="599"/>
      <c r="L1" s="598"/>
      <c r="M1" s="12"/>
      <c r="N1" s="12"/>
      <c r="O1" s="12"/>
      <c r="P1" s="12"/>
      <c r="Q1" s="431"/>
      <c r="R1" s="431"/>
      <c r="S1" s="431"/>
      <c r="T1" s="431"/>
      <c r="U1" s="431"/>
      <c r="V1" s="431"/>
    </row>
    <row r="2" spans="1:24" ht="17.25">
      <c r="A2" s="274" t="s">
        <v>864</v>
      </c>
      <c r="B2" s="598"/>
      <c r="C2" s="599"/>
      <c r="D2" s="598"/>
      <c r="E2" s="599"/>
      <c r="F2" s="598"/>
      <c r="G2" s="599"/>
      <c r="H2" s="598"/>
      <c r="I2" s="599"/>
      <c r="J2" s="598"/>
      <c r="K2" s="599"/>
      <c r="L2" s="598"/>
      <c r="M2" s="12"/>
      <c r="N2" s="12"/>
      <c r="O2" s="12"/>
      <c r="P2" s="12"/>
      <c r="Q2" s="431"/>
      <c r="R2" s="431"/>
      <c r="S2" s="431"/>
      <c r="T2" s="431"/>
      <c r="U2" s="431"/>
      <c r="V2" s="431"/>
    </row>
    <row r="3" spans="1:24" s="1280" customFormat="1" ht="15" customHeight="1">
      <c r="A3" s="438"/>
      <c r="B3" s="1192" t="s">
        <v>221</v>
      </c>
      <c r="C3" s="1029"/>
      <c r="D3" s="438"/>
      <c r="E3" s="1029"/>
      <c r="F3" s="438"/>
      <c r="G3" s="1029"/>
      <c r="H3" s="438"/>
      <c r="I3" s="1029"/>
      <c r="J3" s="438"/>
      <c r="K3" s="1279" t="s">
        <v>865</v>
      </c>
      <c r="L3" s="438"/>
      <c r="M3" s="438"/>
      <c r="N3" s="438"/>
      <c r="O3" s="438"/>
      <c r="P3" s="438"/>
      <c r="Q3" s="432"/>
      <c r="R3" s="436"/>
      <c r="S3" s="436"/>
      <c r="T3" s="436"/>
      <c r="U3" s="436"/>
      <c r="V3" s="437" t="s">
        <v>865</v>
      </c>
    </row>
    <row r="4" spans="1:24" ht="20.100000000000001" customHeight="1">
      <c r="A4" s="439" t="s">
        <v>224</v>
      </c>
      <c r="B4" s="440" t="s">
        <v>225</v>
      </c>
      <c r="C4" s="440"/>
      <c r="D4" s="440" t="s">
        <v>201</v>
      </c>
      <c r="E4" s="440"/>
      <c r="F4" s="440" t="s">
        <v>226</v>
      </c>
      <c r="G4" s="440"/>
      <c r="H4" s="440" t="s">
        <v>227</v>
      </c>
      <c r="I4" s="440"/>
      <c r="J4" s="440" t="s">
        <v>12</v>
      </c>
      <c r="K4" s="440"/>
      <c r="L4" s="441" t="s">
        <v>224</v>
      </c>
      <c r="M4" s="440" t="s">
        <v>225</v>
      </c>
      <c r="N4" s="440"/>
      <c r="O4" s="440" t="s">
        <v>228</v>
      </c>
      <c r="P4" s="440"/>
      <c r="Q4" s="442" t="s">
        <v>455</v>
      </c>
      <c r="R4" s="443"/>
      <c r="S4" s="443"/>
      <c r="T4" s="443"/>
      <c r="U4" s="1281" t="s">
        <v>112</v>
      </c>
      <c r="V4" s="1282"/>
    </row>
    <row r="5" spans="1:24" s="1285" customFormat="1" ht="20.100000000000001" customHeight="1">
      <c r="A5" s="445" t="s">
        <v>230</v>
      </c>
      <c r="B5" s="446" t="s">
        <v>231</v>
      </c>
      <c r="C5" s="446" t="s">
        <v>846</v>
      </c>
      <c r="D5" s="446" t="s">
        <v>231</v>
      </c>
      <c r="E5" s="446" t="s">
        <v>846</v>
      </c>
      <c r="F5" s="446" t="s">
        <v>233</v>
      </c>
      <c r="G5" s="446" t="s">
        <v>846</v>
      </c>
      <c r="H5" s="446" t="s">
        <v>231</v>
      </c>
      <c r="I5" s="446" t="s">
        <v>846</v>
      </c>
      <c r="J5" s="446" t="s">
        <v>233</v>
      </c>
      <c r="K5" s="446" t="s">
        <v>846</v>
      </c>
      <c r="L5" s="447" t="s">
        <v>230</v>
      </c>
      <c r="M5" s="446" t="s">
        <v>233</v>
      </c>
      <c r="N5" s="446" t="s">
        <v>846</v>
      </c>
      <c r="O5" s="446" t="s">
        <v>233</v>
      </c>
      <c r="P5" s="446" t="s">
        <v>846</v>
      </c>
      <c r="Q5" s="448" t="s">
        <v>233</v>
      </c>
      <c r="R5" s="446" t="s">
        <v>846</v>
      </c>
      <c r="S5" s="446" t="s">
        <v>231</v>
      </c>
      <c r="T5" s="446" t="s">
        <v>846</v>
      </c>
      <c r="U5" s="1283" t="s">
        <v>231</v>
      </c>
      <c r="V5" s="1284" t="s">
        <v>846</v>
      </c>
      <c r="X5" s="473"/>
    </row>
    <row r="6" spans="1:24" s="1293" customFormat="1" ht="20.100000000000001" customHeight="1">
      <c r="A6" s="1286"/>
      <c r="B6" s="1287" t="s">
        <v>234</v>
      </c>
      <c r="C6" s="1288"/>
      <c r="D6" s="463" t="s">
        <v>235</v>
      </c>
      <c r="E6" s="458"/>
      <c r="F6" s="456" t="s">
        <v>236</v>
      </c>
      <c r="G6" s="457"/>
      <c r="H6" s="1287" t="s">
        <v>237</v>
      </c>
      <c r="I6" s="458"/>
      <c r="J6" s="463" t="s">
        <v>238</v>
      </c>
      <c r="K6" s="458"/>
      <c r="L6" s="1289"/>
      <c r="M6" s="463" t="s">
        <v>239</v>
      </c>
      <c r="N6" s="463"/>
      <c r="O6" s="463" t="s">
        <v>240</v>
      </c>
      <c r="P6" s="463"/>
      <c r="Q6" s="1290" t="s">
        <v>866</v>
      </c>
      <c r="R6" s="463"/>
      <c r="S6" s="462" t="s">
        <v>242</v>
      </c>
      <c r="T6" s="1291"/>
      <c r="U6" s="1292" t="s">
        <v>867</v>
      </c>
      <c r="V6" s="465"/>
    </row>
    <row r="7" spans="1:24" s="1293" customFormat="1" ht="20.100000000000001" customHeight="1">
      <c r="A7" s="451"/>
      <c r="B7" s="454" t="s">
        <v>244</v>
      </c>
      <c r="C7" s="455">
        <v>0</v>
      </c>
      <c r="D7" s="454" t="s">
        <v>245</v>
      </c>
      <c r="E7" s="455">
        <v>3.9692229999999999</v>
      </c>
      <c r="F7" s="454"/>
      <c r="G7" s="455"/>
      <c r="H7" s="454" t="s">
        <v>246</v>
      </c>
      <c r="I7" s="455">
        <v>218128.1232</v>
      </c>
      <c r="J7" s="454" t="s">
        <v>247</v>
      </c>
      <c r="K7" s="455">
        <v>424771</v>
      </c>
      <c r="L7" s="1294"/>
      <c r="M7" s="470" t="s">
        <v>263</v>
      </c>
      <c r="N7" s="454">
        <v>14397.187539999999</v>
      </c>
      <c r="O7" s="470" t="s">
        <v>868</v>
      </c>
      <c r="P7" s="454">
        <v>349544.32870099996</v>
      </c>
      <c r="Q7" s="471" t="s">
        <v>250</v>
      </c>
      <c r="R7" s="454">
        <v>32748.28239</v>
      </c>
      <c r="S7" s="471" t="s">
        <v>251</v>
      </c>
      <c r="T7" s="1295">
        <v>49087.674939999997</v>
      </c>
      <c r="U7" s="474" t="s">
        <v>252</v>
      </c>
      <c r="V7" s="472">
        <v>0</v>
      </c>
    </row>
    <row r="8" spans="1:24" s="1293" customFormat="1" ht="20.100000000000001" customHeight="1">
      <c r="A8" s="451"/>
      <c r="B8" s="454" t="s">
        <v>253</v>
      </c>
      <c r="C8" s="453">
        <v>8660.9</v>
      </c>
      <c r="D8" s="454"/>
      <c r="E8" s="467"/>
      <c r="F8" s="454"/>
      <c r="G8" s="455"/>
      <c r="H8" s="454" t="s">
        <v>254</v>
      </c>
      <c r="I8" s="455">
        <v>123032.1581</v>
      </c>
      <c r="J8" s="454" t="s">
        <v>255</v>
      </c>
      <c r="K8" s="455">
        <v>0</v>
      </c>
      <c r="L8" s="1294"/>
      <c r="M8" s="454" t="s">
        <v>869</v>
      </c>
      <c r="N8" s="454">
        <v>28860.825000000001</v>
      </c>
      <c r="O8" s="454" t="s">
        <v>870</v>
      </c>
      <c r="P8" s="454">
        <v>774210</v>
      </c>
      <c r="Q8" s="474" t="s">
        <v>258</v>
      </c>
      <c r="R8" s="454">
        <v>147.63754900000001</v>
      </c>
      <c r="S8" s="474" t="s">
        <v>871</v>
      </c>
      <c r="T8" s="1296">
        <v>124356.78528</v>
      </c>
      <c r="U8" s="454"/>
      <c r="V8" s="472"/>
    </row>
    <row r="9" spans="1:24" s="1293" customFormat="1" ht="20.100000000000001" customHeight="1">
      <c r="A9" s="451"/>
      <c r="B9" s="454" t="s">
        <v>260</v>
      </c>
      <c r="C9" s="453">
        <v>16093.9</v>
      </c>
      <c r="D9" s="483"/>
      <c r="E9" s="496"/>
      <c r="F9" s="454"/>
      <c r="G9" s="455"/>
      <c r="H9" s="454" t="s">
        <v>397</v>
      </c>
      <c r="I9" s="455">
        <v>49046.71602</v>
      </c>
      <c r="J9" s="454" t="s">
        <v>262</v>
      </c>
      <c r="K9" s="455">
        <v>0</v>
      </c>
      <c r="L9" s="1294"/>
      <c r="M9" s="454" t="s">
        <v>283</v>
      </c>
      <c r="N9" s="454">
        <v>6673.86</v>
      </c>
      <c r="O9" s="454" t="s">
        <v>264</v>
      </c>
      <c r="P9" s="454">
        <v>145982.72099999999</v>
      </c>
      <c r="Q9" s="474" t="s">
        <v>265</v>
      </c>
      <c r="R9" s="454">
        <v>235.73827199999999</v>
      </c>
      <c r="S9" s="474" t="s">
        <v>259</v>
      </c>
      <c r="T9" s="1296">
        <v>159227.93020999999</v>
      </c>
      <c r="U9" s="474" t="s">
        <v>872</v>
      </c>
      <c r="V9" s="472"/>
    </row>
    <row r="10" spans="1:24" s="1293" customFormat="1" ht="20.100000000000001" customHeight="1">
      <c r="A10" s="451"/>
      <c r="B10" s="454" t="s">
        <v>268</v>
      </c>
      <c r="C10" s="453">
        <v>6820</v>
      </c>
      <c r="D10" s="477" t="s">
        <v>269</v>
      </c>
      <c r="E10" s="1297">
        <v>3.9692229999999999</v>
      </c>
      <c r="F10" s="477" t="s">
        <v>270</v>
      </c>
      <c r="G10" s="479">
        <v>0</v>
      </c>
      <c r="H10" s="454" t="s">
        <v>271</v>
      </c>
      <c r="I10" s="455">
        <v>177345</v>
      </c>
      <c r="J10" s="454" t="s">
        <v>272</v>
      </c>
      <c r="K10" s="455">
        <v>759760.84499999997</v>
      </c>
      <c r="L10" s="1294"/>
      <c r="M10" s="454" t="s">
        <v>292</v>
      </c>
      <c r="N10" s="454">
        <v>10358.1</v>
      </c>
      <c r="O10" s="454" t="s">
        <v>274</v>
      </c>
      <c r="P10" s="454">
        <v>404293.12019999995</v>
      </c>
      <c r="Q10" s="474" t="s">
        <v>275</v>
      </c>
      <c r="R10" s="454">
        <v>150626.90580000001</v>
      </c>
      <c r="S10" s="471" t="s">
        <v>266</v>
      </c>
      <c r="T10" s="1296">
        <v>36887</v>
      </c>
      <c r="U10" s="471" t="s">
        <v>873</v>
      </c>
      <c r="V10" s="472">
        <v>95349.419460999983</v>
      </c>
      <c r="X10" s="1298"/>
    </row>
    <row r="11" spans="1:24" s="1293" customFormat="1" ht="20.100000000000001" customHeight="1">
      <c r="A11" s="451"/>
      <c r="B11" s="454" t="s">
        <v>278</v>
      </c>
      <c r="C11" s="455">
        <v>6220.1</v>
      </c>
      <c r="D11" s="454" t="s">
        <v>279</v>
      </c>
      <c r="E11" s="467"/>
      <c r="F11" s="452" t="s">
        <v>280</v>
      </c>
      <c r="G11" s="455"/>
      <c r="H11" s="454" t="s">
        <v>281</v>
      </c>
      <c r="I11" s="455">
        <v>197832</v>
      </c>
      <c r="J11" s="454" t="s">
        <v>282</v>
      </c>
      <c r="K11" s="455">
        <v>742741.39300000004</v>
      </c>
      <c r="L11" s="1294"/>
      <c r="M11" s="470" t="s">
        <v>300</v>
      </c>
      <c r="N11" s="454">
        <v>2189.3200000000002</v>
      </c>
      <c r="O11" s="477" t="s">
        <v>284</v>
      </c>
      <c r="P11" s="477">
        <v>1674030.1699009999</v>
      </c>
      <c r="Q11" s="474" t="s">
        <v>285</v>
      </c>
      <c r="R11" s="454">
        <v>131442.5006</v>
      </c>
      <c r="S11" s="471" t="s">
        <v>276</v>
      </c>
      <c r="T11" s="1296">
        <v>1.1541600000000001</v>
      </c>
      <c r="U11" s="471"/>
      <c r="V11" s="472"/>
    </row>
    <row r="12" spans="1:24" s="1293" customFormat="1" ht="20.100000000000001" customHeight="1">
      <c r="A12" s="451"/>
      <c r="B12" s="454" t="s">
        <v>287</v>
      </c>
      <c r="C12" s="453">
        <v>20988.400000000001</v>
      </c>
      <c r="D12" s="454" t="s">
        <v>874</v>
      </c>
      <c r="E12" s="467">
        <v>1673430.5789999999</v>
      </c>
      <c r="F12" s="454" t="s">
        <v>289</v>
      </c>
      <c r="G12" s="455">
        <v>24673.158999999996</v>
      </c>
      <c r="H12" s="454" t="s">
        <v>875</v>
      </c>
      <c r="I12" s="455">
        <v>45806</v>
      </c>
      <c r="J12" s="454" t="s">
        <v>291</v>
      </c>
      <c r="K12" s="455">
        <v>1067025.3089999999</v>
      </c>
      <c r="L12" s="1294"/>
      <c r="M12" s="454" t="s">
        <v>308</v>
      </c>
      <c r="N12" s="454">
        <v>4233.8530000000001</v>
      </c>
      <c r="O12" s="452" t="s">
        <v>876</v>
      </c>
      <c r="P12" s="454"/>
      <c r="Q12" s="474" t="s">
        <v>293</v>
      </c>
      <c r="R12" s="454">
        <v>177087.30190000002</v>
      </c>
      <c r="S12" s="471" t="s">
        <v>286</v>
      </c>
      <c r="T12" s="1296">
        <v>34523.827380000002</v>
      </c>
      <c r="U12" s="452" t="s">
        <v>340</v>
      </c>
      <c r="V12" s="472"/>
    </row>
    <row r="13" spans="1:24" s="1293" customFormat="1" ht="20.100000000000001" customHeight="1">
      <c r="A13" s="451"/>
      <c r="B13" s="454" t="s">
        <v>296</v>
      </c>
      <c r="C13" s="453">
        <v>12559.4</v>
      </c>
      <c r="D13" s="454" t="s">
        <v>877</v>
      </c>
      <c r="E13" s="467">
        <v>1086387.888</v>
      </c>
      <c r="F13" s="452"/>
      <c r="G13" s="455"/>
      <c r="H13" s="454" t="s">
        <v>878</v>
      </c>
      <c r="I13" s="455">
        <v>127233.73616</v>
      </c>
      <c r="J13" s="454" t="s">
        <v>299</v>
      </c>
      <c r="K13" s="455">
        <v>1050207.2290000001</v>
      </c>
      <c r="L13" s="1294"/>
      <c r="M13" s="454" t="s">
        <v>319</v>
      </c>
      <c r="N13" s="454">
        <v>37675.402314999999</v>
      </c>
      <c r="O13" s="470" t="s">
        <v>879</v>
      </c>
      <c r="P13" s="454">
        <v>5.8259880000000006</v>
      </c>
      <c r="Q13" s="474" t="s">
        <v>301</v>
      </c>
      <c r="R13" s="454">
        <v>6885.7652640000006</v>
      </c>
      <c r="S13" s="471" t="s">
        <v>880</v>
      </c>
      <c r="T13" s="1296">
        <v>11771.227999999999</v>
      </c>
      <c r="U13" s="452" t="s">
        <v>348</v>
      </c>
      <c r="V13" s="1299">
        <v>12.970799999999999</v>
      </c>
      <c r="W13" s="1300"/>
    </row>
    <row r="14" spans="1:24" s="1293" customFormat="1" ht="20.100000000000001" customHeight="1">
      <c r="A14" s="1301"/>
      <c r="B14" s="485" t="s">
        <v>304</v>
      </c>
      <c r="C14" s="478">
        <v>71342.7</v>
      </c>
      <c r="D14" s="454" t="s">
        <v>881</v>
      </c>
      <c r="E14" s="467">
        <v>248892.40819999998</v>
      </c>
      <c r="F14" s="454"/>
      <c r="G14" s="455"/>
      <c r="H14" s="454" t="s">
        <v>306</v>
      </c>
      <c r="I14" s="455">
        <v>441758</v>
      </c>
      <c r="J14" s="454" t="s">
        <v>882</v>
      </c>
      <c r="K14" s="455">
        <v>5013.99</v>
      </c>
      <c r="L14" s="1294"/>
      <c r="M14" s="454" t="s">
        <v>329</v>
      </c>
      <c r="N14" s="454">
        <v>15846.39849</v>
      </c>
      <c r="O14" s="454" t="s">
        <v>309</v>
      </c>
      <c r="P14" s="454">
        <v>486607.06979999994</v>
      </c>
      <c r="Q14" s="474" t="s">
        <v>883</v>
      </c>
      <c r="R14" s="454">
        <v>0</v>
      </c>
      <c r="S14" s="471" t="s">
        <v>302</v>
      </c>
      <c r="T14" s="1296">
        <v>752.13916500000005</v>
      </c>
      <c r="U14" s="452" t="s">
        <v>357</v>
      </c>
      <c r="V14" s="1299">
        <v>9908.3840519999994</v>
      </c>
    </row>
    <row r="15" spans="1:24" s="1293" customFormat="1" ht="20.100000000000001" customHeight="1">
      <c r="A15" s="488" t="s">
        <v>313</v>
      </c>
      <c r="B15" s="454" t="s">
        <v>314</v>
      </c>
      <c r="C15" s="453"/>
      <c r="D15" s="454" t="s">
        <v>884</v>
      </c>
      <c r="E15" s="467">
        <v>884893</v>
      </c>
      <c r="F15" s="454"/>
      <c r="G15" s="455"/>
      <c r="H15" s="454" t="s">
        <v>316</v>
      </c>
      <c r="I15" s="455">
        <v>407403</v>
      </c>
      <c r="J15" s="454" t="s">
        <v>307</v>
      </c>
      <c r="K15" s="455">
        <v>0</v>
      </c>
      <c r="L15" s="489" t="s">
        <v>318</v>
      </c>
      <c r="M15" s="501"/>
      <c r="N15" s="501"/>
      <c r="O15" s="454" t="s">
        <v>320</v>
      </c>
      <c r="P15" s="454">
        <v>316386.73200000002</v>
      </c>
      <c r="Q15" s="474" t="s">
        <v>310</v>
      </c>
      <c r="R15" s="454">
        <v>372343.29610000004</v>
      </c>
      <c r="S15" s="471" t="s">
        <v>311</v>
      </c>
      <c r="T15" s="1296">
        <v>1380.4715269999999</v>
      </c>
      <c r="U15" s="452" t="s">
        <v>885</v>
      </c>
      <c r="V15" s="472">
        <v>814.51201500000002</v>
      </c>
    </row>
    <row r="16" spans="1:24" s="1293" customFormat="1" ht="20.100000000000001" customHeight="1">
      <c r="A16" s="488" t="s">
        <v>324</v>
      </c>
      <c r="B16" s="454" t="s">
        <v>325</v>
      </c>
      <c r="C16" s="453">
        <v>48506.814599999998</v>
      </c>
      <c r="D16" s="454" t="s">
        <v>886</v>
      </c>
      <c r="E16" s="467">
        <v>189496.33799999999</v>
      </c>
      <c r="F16" s="1302"/>
      <c r="G16" s="1302"/>
      <c r="H16" s="454" t="s">
        <v>327</v>
      </c>
      <c r="I16" s="455">
        <v>154879.39000000001</v>
      </c>
      <c r="J16" s="454" t="s">
        <v>317</v>
      </c>
      <c r="K16" s="455">
        <v>0</v>
      </c>
      <c r="L16" s="489"/>
      <c r="M16" s="485" t="s">
        <v>304</v>
      </c>
      <c r="N16" s="477">
        <v>120234.946345</v>
      </c>
      <c r="O16" s="454" t="s">
        <v>330</v>
      </c>
      <c r="P16" s="454">
        <v>627117.69980000006</v>
      </c>
      <c r="Q16" s="474" t="s">
        <v>321</v>
      </c>
      <c r="R16" s="454">
        <v>245175.27600000001</v>
      </c>
      <c r="S16" s="471" t="s">
        <v>322</v>
      </c>
      <c r="T16" s="1296">
        <v>178898.41099999999</v>
      </c>
      <c r="U16" s="452"/>
      <c r="V16" s="472"/>
    </row>
    <row r="17" spans="1:24" s="1293" customFormat="1" ht="20.100000000000001" customHeight="1">
      <c r="A17" s="488"/>
      <c r="B17" s="454" t="s">
        <v>333</v>
      </c>
      <c r="C17" s="453">
        <v>32387.455000000002</v>
      </c>
      <c r="D17" s="454" t="s">
        <v>887</v>
      </c>
      <c r="E17" s="467">
        <v>46705</v>
      </c>
      <c r="F17" s="452"/>
      <c r="G17" s="455"/>
      <c r="H17" s="454" t="s">
        <v>335</v>
      </c>
      <c r="I17" s="455">
        <v>0</v>
      </c>
      <c r="J17" s="454" t="s">
        <v>328</v>
      </c>
      <c r="K17" s="455">
        <v>0</v>
      </c>
      <c r="L17" s="489"/>
      <c r="M17" s="483"/>
      <c r="N17" s="1303"/>
      <c r="O17" s="452" t="s">
        <v>337</v>
      </c>
      <c r="P17" s="454">
        <v>0</v>
      </c>
      <c r="Q17" s="454" t="s">
        <v>331</v>
      </c>
      <c r="R17" s="454">
        <v>11070.160449999999</v>
      </c>
      <c r="S17" s="471" t="s">
        <v>888</v>
      </c>
      <c r="T17" s="1296">
        <v>19508.91012</v>
      </c>
      <c r="U17" s="452"/>
      <c r="V17" s="472"/>
    </row>
    <row r="18" spans="1:24" s="1293" customFormat="1" ht="20.100000000000001" customHeight="1">
      <c r="A18" s="488"/>
      <c r="B18" s="454" t="s">
        <v>341</v>
      </c>
      <c r="C18" s="453">
        <v>36253.297920000005</v>
      </c>
      <c r="D18" s="454" t="s">
        <v>342</v>
      </c>
      <c r="E18" s="467">
        <v>288854</v>
      </c>
      <c r="F18" s="454"/>
      <c r="G18" s="455"/>
      <c r="H18" s="454" t="s">
        <v>343</v>
      </c>
      <c r="I18" s="455">
        <v>420253.89800000004</v>
      </c>
      <c r="J18" s="454" t="s">
        <v>336</v>
      </c>
      <c r="K18" s="455">
        <v>754263.58700000006</v>
      </c>
      <c r="L18" s="489"/>
      <c r="M18" s="477" t="s">
        <v>354</v>
      </c>
      <c r="N18" s="477">
        <v>42480.689131000006</v>
      </c>
      <c r="O18" s="454" t="s">
        <v>345</v>
      </c>
      <c r="P18" s="454">
        <v>361480.56</v>
      </c>
      <c r="Q18" s="471" t="s">
        <v>338</v>
      </c>
      <c r="R18" s="454">
        <v>22361.094840000002</v>
      </c>
      <c r="S18" s="474" t="s">
        <v>332</v>
      </c>
      <c r="T18" s="1296">
        <v>10355.498669999999</v>
      </c>
      <c r="U18" s="452"/>
      <c r="V18" s="472"/>
    </row>
    <row r="19" spans="1:24" s="1293" customFormat="1" ht="20.100000000000001" customHeight="1">
      <c r="A19" s="488" t="s">
        <v>349</v>
      </c>
      <c r="B19" s="454" t="s">
        <v>350</v>
      </c>
      <c r="C19" s="455">
        <v>63818.438499999997</v>
      </c>
      <c r="D19" s="454" t="s">
        <v>351</v>
      </c>
      <c r="E19" s="467">
        <v>1462155.96731</v>
      </c>
      <c r="F19" s="452"/>
      <c r="G19" s="455"/>
      <c r="H19" s="454" t="s">
        <v>889</v>
      </c>
      <c r="I19" s="455">
        <v>35600.36004</v>
      </c>
      <c r="J19" s="454" t="s">
        <v>344</v>
      </c>
      <c r="K19" s="455">
        <v>739241.69700000004</v>
      </c>
      <c r="L19" s="489"/>
      <c r="M19" s="483"/>
      <c r="N19" s="1303"/>
      <c r="O19" s="452" t="s">
        <v>355</v>
      </c>
      <c r="P19" s="454">
        <v>460789.50569999998</v>
      </c>
      <c r="Q19" s="471" t="s">
        <v>346</v>
      </c>
      <c r="R19" s="454">
        <v>700.69677999999999</v>
      </c>
      <c r="S19" s="471" t="s">
        <v>339</v>
      </c>
      <c r="T19" s="1296">
        <v>40167.722000000002</v>
      </c>
      <c r="U19" s="452" t="s">
        <v>890</v>
      </c>
      <c r="V19" s="472"/>
    </row>
    <row r="20" spans="1:24" s="1293" customFormat="1" ht="20.100000000000001" customHeight="1">
      <c r="A20" s="488"/>
      <c r="B20" s="454" t="s">
        <v>358</v>
      </c>
      <c r="C20" s="455">
        <v>77205.827999999994</v>
      </c>
      <c r="D20" s="454" t="s">
        <v>359</v>
      </c>
      <c r="E20" s="467">
        <v>1804075.0336</v>
      </c>
      <c r="F20" s="452"/>
      <c r="G20" s="455"/>
      <c r="H20" s="454" t="s">
        <v>352</v>
      </c>
      <c r="I20" s="455">
        <v>327151.83999999997</v>
      </c>
      <c r="J20" s="454" t="s">
        <v>353</v>
      </c>
      <c r="K20" s="455">
        <v>0</v>
      </c>
      <c r="L20" s="489"/>
      <c r="M20" s="477" t="s">
        <v>370</v>
      </c>
      <c r="N20" s="477">
        <v>162715.63547600002</v>
      </c>
      <c r="O20" s="452" t="s">
        <v>362</v>
      </c>
      <c r="P20" s="454">
        <v>191619.6097</v>
      </c>
      <c r="Q20" s="471" t="s">
        <v>356</v>
      </c>
      <c r="R20" s="454">
        <v>47075</v>
      </c>
      <c r="S20" s="471" t="s">
        <v>347</v>
      </c>
      <c r="T20" s="1296">
        <v>44064.520360000002</v>
      </c>
      <c r="U20" s="452" t="s">
        <v>187</v>
      </c>
      <c r="V20" s="472">
        <v>161070.651411</v>
      </c>
    </row>
    <row r="21" spans="1:24" s="1293" customFormat="1" ht="20.100000000000001" customHeight="1">
      <c r="A21" s="488" t="s">
        <v>365</v>
      </c>
      <c r="B21" s="454" t="s">
        <v>366</v>
      </c>
      <c r="C21" s="453">
        <v>0</v>
      </c>
      <c r="D21" s="454" t="s">
        <v>367</v>
      </c>
      <c r="E21" s="467">
        <v>1335584.919759</v>
      </c>
      <c r="F21" s="452"/>
      <c r="G21" s="455"/>
      <c r="H21" s="454" t="s">
        <v>360</v>
      </c>
      <c r="I21" s="455">
        <v>113246.58100000001</v>
      </c>
      <c r="J21" s="454" t="s">
        <v>361</v>
      </c>
      <c r="K21" s="455">
        <v>735597.96</v>
      </c>
      <c r="L21" s="1304"/>
      <c r="M21" s="452" t="s">
        <v>384</v>
      </c>
      <c r="N21" s="454"/>
      <c r="O21" s="452" t="s">
        <v>371</v>
      </c>
      <c r="P21" s="454">
        <v>239751.14240000001</v>
      </c>
      <c r="Q21" s="471" t="s">
        <v>363</v>
      </c>
      <c r="R21" s="454">
        <v>30361.662800000002</v>
      </c>
      <c r="S21" s="474"/>
      <c r="T21" s="1296"/>
      <c r="U21" s="471" t="s">
        <v>891</v>
      </c>
      <c r="V21" s="472">
        <v>19398.154902999995</v>
      </c>
    </row>
    <row r="22" spans="1:24" s="1293" customFormat="1" ht="20.100000000000001" customHeight="1">
      <c r="A22" s="488" t="s">
        <v>324</v>
      </c>
      <c r="B22" s="454" t="s">
        <v>260</v>
      </c>
      <c r="C22" s="495">
        <v>17250.159889999999</v>
      </c>
      <c r="D22" s="454"/>
      <c r="E22" s="467"/>
      <c r="F22" s="454"/>
      <c r="G22" s="455"/>
      <c r="H22" s="454" t="s">
        <v>368</v>
      </c>
      <c r="I22" s="455">
        <v>72094.365000000005</v>
      </c>
      <c r="J22" s="454" t="s">
        <v>369</v>
      </c>
      <c r="K22" s="455">
        <v>737897.56200000003</v>
      </c>
      <c r="L22" s="489"/>
      <c r="M22" s="454" t="s">
        <v>392</v>
      </c>
      <c r="N22" s="499">
        <v>4034402.6556020058</v>
      </c>
      <c r="O22" s="452" t="s">
        <v>377</v>
      </c>
      <c r="P22" s="454">
        <v>431267.03820000001</v>
      </c>
      <c r="Q22" s="474" t="s">
        <v>372</v>
      </c>
      <c r="R22" s="454">
        <v>16064.4483</v>
      </c>
      <c r="S22" s="474" t="s">
        <v>373</v>
      </c>
      <c r="T22" s="1296"/>
      <c r="U22" s="471" t="s">
        <v>892</v>
      </c>
      <c r="V22" s="472">
        <v>1330.6737600000001</v>
      </c>
    </row>
    <row r="23" spans="1:24" s="1293" customFormat="1" ht="20.100000000000001" customHeight="1">
      <c r="A23" s="488" t="s">
        <v>380</v>
      </c>
      <c r="B23" s="477" t="s">
        <v>381</v>
      </c>
      <c r="C23" s="478">
        <v>275421.99391000002</v>
      </c>
      <c r="D23" s="483"/>
      <c r="E23" s="496"/>
      <c r="F23" s="483"/>
      <c r="G23" s="497"/>
      <c r="H23" s="454" t="s">
        <v>375</v>
      </c>
      <c r="I23" s="455">
        <v>453332.72389999998</v>
      </c>
      <c r="J23" s="454" t="s">
        <v>376</v>
      </c>
      <c r="K23" s="455">
        <v>755835.75</v>
      </c>
      <c r="L23" s="489"/>
      <c r="M23" s="454" t="s">
        <v>399</v>
      </c>
      <c r="N23" s="499">
        <v>272004.54285499995</v>
      </c>
      <c r="O23" s="452" t="s">
        <v>385</v>
      </c>
      <c r="P23" s="454">
        <v>516479</v>
      </c>
      <c r="Q23" s="474" t="s">
        <v>386</v>
      </c>
      <c r="R23" s="455">
        <v>3630.593327</v>
      </c>
      <c r="S23" s="462" t="s">
        <v>379</v>
      </c>
      <c r="T23" s="1296">
        <v>3718.6312379999999</v>
      </c>
      <c r="U23" s="1302"/>
      <c r="V23" s="2790"/>
      <c r="X23" s="1305"/>
    </row>
    <row r="24" spans="1:24" s="1293" customFormat="1" ht="20.100000000000001" customHeight="1">
      <c r="A24" s="488" t="s">
        <v>388</v>
      </c>
      <c r="B24" s="454" t="s">
        <v>389</v>
      </c>
      <c r="C24" s="453">
        <v>0</v>
      </c>
      <c r="D24" s="483"/>
      <c r="E24" s="496"/>
      <c r="F24" s="483"/>
      <c r="G24" s="497"/>
      <c r="H24" s="454" t="s">
        <v>382</v>
      </c>
      <c r="I24" s="455">
        <v>856.65899999999999</v>
      </c>
      <c r="J24" s="454" t="s">
        <v>383</v>
      </c>
      <c r="K24" s="455">
        <v>740516</v>
      </c>
      <c r="L24" s="489"/>
      <c r="M24" s="452" t="s">
        <v>406</v>
      </c>
      <c r="N24" s="454">
        <v>531062.74525099993</v>
      </c>
      <c r="O24" s="452" t="s">
        <v>893</v>
      </c>
      <c r="P24" s="454">
        <v>0</v>
      </c>
      <c r="Q24" s="471" t="s">
        <v>394</v>
      </c>
      <c r="R24" s="455">
        <v>792.75193200000001</v>
      </c>
      <c r="S24" s="471" t="s">
        <v>387</v>
      </c>
      <c r="T24" s="1296">
        <v>81.782904000000002</v>
      </c>
      <c r="U24" s="1302"/>
      <c r="V24" s="2790"/>
      <c r="W24" s="1306"/>
      <c r="X24" s="1305"/>
    </row>
    <row r="25" spans="1:24" s="1293" customFormat="1" ht="20.100000000000001" customHeight="1">
      <c r="A25" s="488" t="s">
        <v>395</v>
      </c>
      <c r="B25" s="454" t="s">
        <v>396</v>
      </c>
      <c r="C25" s="453">
        <v>8112.5360679999994</v>
      </c>
      <c r="D25" s="1307"/>
      <c r="E25" s="1308"/>
      <c r="F25" s="1307"/>
      <c r="G25" s="1308"/>
      <c r="H25" s="452"/>
      <c r="I25" s="454"/>
      <c r="J25" s="454" t="s">
        <v>391</v>
      </c>
      <c r="K25" s="455">
        <v>0</v>
      </c>
      <c r="L25" s="489"/>
      <c r="M25" s="454" t="s">
        <v>194</v>
      </c>
      <c r="N25" s="454">
        <v>551362.81599800009</v>
      </c>
      <c r="O25" s="452" t="s">
        <v>894</v>
      </c>
      <c r="P25" s="454">
        <v>41393.982560000004</v>
      </c>
      <c r="Q25" s="471" t="s">
        <v>401</v>
      </c>
      <c r="R25" s="455">
        <v>326555</v>
      </c>
      <c r="S25" s="471"/>
      <c r="T25" s="1296"/>
      <c r="U25" s="1302"/>
      <c r="V25" s="2790"/>
      <c r="X25" s="1306"/>
    </row>
    <row r="26" spans="1:24" s="1293" customFormat="1" ht="20.100000000000001" customHeight="1">
      <c r="A26" s="484"/>
      <c r="B26" s="477" t="s">
        <v>354</v>
      </c>
      <c r="C26" s="478">
        <v>8112.5360679999994</v>
      </c>
      <c r="D26" s="477" t="s">
        <v>402</v>
      </c>
      <c r="E26" s="478">
        <v>9020475.1338689998</v>
      </c>
      <c r="F26" s="477" t="s">
        <v>403</v>
      </c>
      <c r="G26" s="479">
        <v>24673.158999999996</v>
      </c>
      <c r="H26" s="477" t="s">
        <v>404</v>
      </c>
      <c r="I26" s="479">
        <v>3365000.5504200007</v>
      </c>
      <c r="J26" s="454" t="s">
        <v>398</v>
      </c>
      <c r="K26" s="455">
        <v>720444.51899999997</v>
      </c>
      <c r="L26" s="489" t="s">
        <v>395</v>
      </c>
      <c r="M26" s="454" t="s">
        <v>192</v>
      </c>
      <c r="N26" s="454">
        <v>1.5840000000000001</v>
      </c>
      <c r="O26" s="452" t="s">
        <v>393</v>
      </c>
      <c r="P26" s="454">
        <v>335888.28779999999</v>
      </c>
      <c r="Q26" s="471" t="s">
        <v>408</v>
      </c>
      <c r="R26" s="454">
        <v>60995.670789999996</v>
      </c>
      <c r="S26" s="471"/>
      <c r="T26" s="1296"/>
      <c r="U26" s="1302"/>
      <c r="V26" s="2790"/>
      <c r="W26" s="1306"/>
    </row>
    <row r="27" spans="1:24" s="1293" customFormat="1" ht="20.100000000000001" customHeight="1">
      <c r="A27" s="1301"/>
      <c r="B27" s="483"/>
      <c r="C27" s="497"/>
      <c r="D27" s="1309"/>
      <c r="E27" s="1310"/>
      <c r="F27" s="1309"/>
      <c r="G27" s="1311">
        <v>103.584</v>
      </c>
      <c r="H27" s="454" t="s">
        <v>895</v>
      </c>
      <c r="I27" s="497"/>
      <c r="J27" s="454" t="s">
        <v>405</v>
      </c>
      <c r="K27" s="455">
        <v>731422.40099999995</v>
      </c>
      <c r="L27" s="1294"/>
      <c r="M27" s="454" t="s">
        <v>841</v>
      </c>
      <c r="N27" s="454">
        <v>52534.018087000011</v>
      </c>
      <c r="O27" s="452" t="s">
        <v>400</v>
      </c>
      <c r="P27" s="454">
        <v>955962.17479999992</v>
      </c>
      <c r="Q27" s="471" t="s">
        <v>412</v>
      </c>
      <c r="R27" s="454">
        <v>74430.851150000002</v>
      </c>
      <c r="S27" s="471"/>
      <c r="T27" s="1296"/>
      <c r="U27" s="1312"/>
      <c r="V27" s="506"/>
    </row>
    <row r="28" spans="1:24" s="1293" customFormat="1" ht="20.100000000000001" customHeight="1">
      <c r="A28" s="451"/>
      <c r="B28" s="477" t="s">
        <v>370</v>
      </c>
      <c r="C28" s="478">
        <v>354877.22997800005</v>
      </c>
      <c r="D28" s="477" t="s">
        <v>414</v>
      </c>
      <c r="E28" s="478">
        <v>9020479.1030919999</v>
      </c>
      <c r="F28" s="1311"/>
      <c r="G28" s="1313">
        <v>65582.849715999953</v>
      </c>
      <c r="H28" s="452" t="s">
        <v>896</v>
      </c>
      <c r="I28" s="455">
        <v>15359.13249</v>
      </c>
      <c r="J28" s="454" t="s">
        <v>409</v>
      </c>
      <c r="K28" s="455">
        <v>4828.8249999999998</v>
      </c>
      <c r="L28" s="1294"/>
      <c r="M28" s="454"/>
      <c r="N28" s="454"/>
      <c r="O28" s="452" t="s">
        <v>407</v>
      </c>
      <c r="P28" s="454">
        <v>854247</v>
      </c>
      <c r="Q28" s="471" t="s">
        <v>419</v>
      </c>
      <c r="R28" s="454">
        <v>266753.00400000002</v>
      </c>
      <c r="S28" s="474" t="s">
        <v>897</v>
      </c>
      <c r="T28" s="1296"/>
      <c r="U28" s="1312"/>
      <c r="V28" s="516"/>
      <c r="X28" s="1306"/>
    </row>
    <row r="29" spans="1:24" s="1293" customFormat="1" ht="20.100000000000001" customHeight="1">
      <c r="A29" s="451"/>
      <c r="B29" s="462"/>
      <c r="C29" s="455"/>
      <c r="D29" s="452"/>
      <c r="E29" s="497"/>
      <c r="F29" s="1314"/>
      <c r="G29" s="1315"/>
      <c r="H29" s="452" t="s">
        <v>421</v>
      </c>
      <c r="I29" s="455">
        <v>0</v>
      </c>
      <c r="J29" s="454" t="s">
        <v>416</v>
      </c>
      <c r="K29" s="455">
        <v>758231.21</v>
      </c>
      <c r="L29" s="1294"/>
      <c r="M29" s="505"/>
      <c r="N29" s="505"/>
      <c r="O29" s="452" t="s">
        <v>411</v>
      </c>
      <c r="P29" s="454">
        <v>464871.348</v>
      </c>
      <c r="Q29" s="471" t="s">
        <v>423</v>
      </c>
      <c r="R29" s="454">
        <v>21941.612000000001</v>
      </c>
      <c r="S29" s="454" t="s">
        <v>898</v>
      </c>
      <c r="T29" s="454">
        <v>2413.2869539999997</v>
      </c>
      <c r="U29" s="505"/>
      <c r="V29" s="516"/>
    </row>
    <row r="30" spans="1:24" s="1293" customFormat="1" ht="20.100000000000001" customHeight="1">
      <c r="A30" s="451"/>
      <c r="B30" s="452" t="s">
        <v>384</v>
      </c>
      <c r="C30" s="455"/>
      <c r="D30" s="454"/>
      <c r="E30" s="455"/>
      <c r="F30" s="454"/>
      <c r="G30" s="454"/>
      <c r="H30" s="452" t="s">
        <v>424</v>
      </c>
      <c r="I30" s="455">
        <v>24327.199769999999</v>
      </c>
      <c r="J30" s="454" t="s">
        <v>422</v>
      </c>
      <c r="K30" s="455">
        <v>0</v>
      </c>
      <c r="L30" s="1294"/>
      <c r="M30" s="1316"/>
      <c r="N30" s="1317"/>
      <c r="O30" s="452" t="s">
        <v>418</v>
      </c>
      <c r="P30" s="454">
        <v>93830.967269999994</v>
      </c>
      <c r="Q30" s="471" t="s">
        <v>427</v>
      </c>
      <c r="R30" s="454">
        <v>180345.48569999999</v>
      </c>
      <c r="S30" s="462"/>
      <c r="T30" s="454"/>
      <c r="U30" s="505"/>
      <c r="V30" s="516"/>
      <c r="X30" s="1306"/>
    </row>
    <row r="31" spans="1:24" s="1293" customFormat="1" ht="20.100000000000001" customHeight="1">
      <c r="A31" s="451"/>
      <c r="B31" s="454" t="s">
        <v>392</v>
      </c>
      <c r="C31" s="455">
        <v>65686.433715999956</v>
      </c>
      <c r="D31" s="454" t="s">
        <v>406</v>
      </c>
      <c r="E31" s="455">
        <v>142957.016</v>
      </c>
      <c r="F31" s="454" t="s">
        <v>194</v>
      </c>
      <c r="G31" s="454">
        <v>270725.92504899995</v>
      </c>
      <c r="H31" s="477" t="s">
        <v>428</v>
      </c>
      <c r="I31" s="479">
        <v>39686.332259999996</v>
      </c>
      <c r="J31" s="483" t="s">
        <v>425</v>
      </c>
      <c r="K31" s="455">
        <v>742489.45299999998</v>
      </c>
      <c r="L31" s="1294"/>
      <c r="M31" s="505"/>
      <c r="N31" s="505"/>
      <c r="O31" s="452"/>
      <c r="P31" s="454"/>
      <c r="Q31" s="471" t="s">
        <v>431</v>
      </c>
      <c r="R31" s="454">
        <v>237581.1085</v>
      </c>
      <c r="S31" s="462" t="s">
        <v>899</v>
      </c>
      <c r="T31" s="1296"/>
      <c r="U31" s="505"/>
      <c r="V31" s="516"/>
    </row>
    <row r="32" spans="1:24" s="1293" customFormat="1" ht="20.100000000000001" customHeight="1">
      <c r="A32" s="451"/>
      <c r="B32" s="454" t="s">
        <v>191</v>
      </c>
      <c r="C32" s="455">
        <v>5385.5208490000005</v>
      </c>
      <c r="D32" s="454" t="s">
        <v>432</v>
      </c>
      <c r="E32" s="455">
        <v>107493.05468799999</v>
      </c>
      <c r="F32" s="454" t="s">
        <v>195</v>
      </c>
      <c r="G32" s="454">
        <v>0</v>
      </c>
      <c r="H32" s="454" t="s">
        <v>433</v>
      </c>
      <c r="I32" s="497"/>
      <c r="J32" s="483" t="s">
        <v>429</v>
      </c>
      <c r="K32" s="455">
        <v>1057747.8030000001</v>
      </c>
      <c r="L32" s="468"/>
      <c r="M32" s="454"/>
      <c r="N32" s="454"/>
      <c r="O32" s="452"/>
      <c r="P32" s="454"/>
      <c r="Q32" s="471" t="s">
        <v>435</v>
      </c>
      <c r="R32" s="454">
        <v>45360.289969999998</v>
      </c>
      <c r="S32" s="454" t="s">
        <v>900</v>
      </c>
      <c r="T32" s="1296">
        <v>1954.336832</v>
      </c>
      <c r="U32" s="505"/>
      <c r="V32" s="516"/>
    </row>
    <row r="33" spans="1:22" s="1293" customFormat="1" ht="20.100000000000001" customHeight="1">
      <c r="A33" s="451"/>
      <c r="B33" s="454" t="s">
        <v>841</v>
      </c>
      <c r="C33" s="455">
        <v>12518.377879</v>
      </c>
      <c r="D33" s="454"/>
      <c r="E33" s="455"/>
      <c r="F33" s="454"/>
      <c r="G33" s="454"/>
      <c r="H33" s="452" t="s">
        <v>901</v>
      </c>
      <c r="I33" s="455">
        <v>6468.9350000000004</v>
      </c>
      <c r="J33" s="483" t="s">
        <v>902</v>
      </c>
      <c r="K33" s="455">
        <v>1080571.9650000001</v>
      </c>
      <c r="L33" s="468"/>
      <c r="M33" s="454"/>
      <c r="N33" s="454"/>
      <c r="O33" s="452" t="s">
        <v>426</v>
      </c>
      <c r="P33" s="454"/>
      <c r="Q33" s="471" t="s">
        <v>437</v>
      </c>
      <c r="R33" s="454">
        <v>83920.807939999999</v>
      </c>
      <c r="S33" s="454"/>
      <c r="T33" s="1296"/>
      <c r="U33" s="505"/>
      <c r="V33" s="516"/>
    </row>
    <row r="34" spans="1:22" s="1293" customFormat="1" ht="20.100000000000001" customHeight="1">
      <c r="A34" s="451"/>
      <c r="B34" s="454"/>
      <c r="C34" s="455"/>
      <c r="D34" s="454"/>
      <c r="E34" s="455"/>
      <c r="F34" s="454"/>
      <c r="G34" s="454"/>
      <c r="H34" s="452"/>
      <c r="I34" s="455"/>
      <c r="J34" s="483"/>
      <c r="K34" s="497"/>
      <c r="L34" s="468"/>
      <c r="M34" s="454"/>
      <c r="N34" s="454"/>
      <c r="O34" s="1303" t="s">
        <v>903</v>
      </c>
      <c r="P34" s="1303">
        <v>0</v>
      </c>
      <c r="Q34" s="471" t="s">
        <v>438</v>
      </c>
      <c r="R34" s="454">
        <v>0</v>
      </c>
      <c r="S34" s="454"/>
      <c r="T34" s="1296"/>
      <c r="U34" s="1318"/>
      <c r="V34" s="516"/>
    </row>
    <row r="35" spans="1:22" s="1293" customFormat="1" ht="20.100000000000001" customHeight="1">
      <c r="A35" s="517"/>
      <c r="B35" s="518" t="s">
        <v>439</v>
      </c>
      <c r="C35" s="519">
        <v>604766.32818099996</v>
      </c>
      <c r="D35" s="1319"/>
      <c r="E35" s="521"/>
      <c r="F35" s="1319"/>
      <c r="G35" s="521"/>
      <c r="H35" s="518" t="s">
        <v>440</v>
      </c>
      <c r="I35" s="519">
        <v>6468.9350000000004</v>
      </c>
      <c r="J35" s="518" t="s">
        <v>441</v>
      </c>
      <c r="K35" s="522">
        <v>13608608.497999998</v>
      </c>
      <c r="L35" s="523"/>
      <c r="M35" s="518" t="s">
        <v>439</v>
      </c>
      <c r="N35" s="518">
        <v>5441368.3617930049</v>
      </c>
      <c r="O35" s="518" t="s">
        <v>404</v>
      </c>
      <c r="P35" s="518">
        <v>6377697.9440179998</v>
      </c>
      <c r="Q35" s="1320" t="s">
        <v>442</v>
      </c>
      <c r="R35" s="520">
        <v>144105.68090000001</v>
      </c>
      <c r="S35" s="518" t="s">
        <v>428</v>
      </c>
      <c r="T35" s="518">
        <v>3409889.9339939998</v>
      </c>
      <c r="U35" s="2791" t="s">
        <v>440</v>
      </c>
      <c r="V35" s="1321">
        <v>287884.76640199992</v>
      </c>
    </row>
    <row r="36" spans="1:22" s="1293" customFormat="1" ht="9.9499999999999993" customHeight="1">
      <c r="A36" s="527"/>
      <c r="B36" s="527"/>
      <c r="C36" s="527"/>
      <c r="D36" s="527"/>
      <c r="E36" s="527"/>
      <c r="F36" s="527"/>
      <c r="G36" s="527"/>
      <c r="H36" s="527"/>
      <c r="I36" s="527"/>
      <c r="J36" s="528"/>
      <c r="K36" s="681"/>
      <c r="L36" s="527"/>
      <c r="M36" s="527"/>
      <c r="N36" s="527"/>
      <c r="O36" s="527"/>
      <c r="P36" s="527"/>
      <c r="Q36" s="528"/>
      <c r="R36" s="528"/>
      <c r="S36" s="528"/>
      <c r="T36" s="528"/>
      <c r="U36" s="528"/>
      <c r="V36" s="532"/>
    </row>
    <row r="37" spans="1:22" s="1293" customFormat="1" ht="20.100000000000001" customHeight="1">
      <c r="A37" s="527"/>
      <c r="B37" s="1322" t="s">
        <v>904</v>
      </c>
      <c r="C37" s="1322"/>
      <c r="D37" s="527"/>
      <c r="E37" s="527"/>
      <c r="F37" s="528"/>
      <c r="G37" s="527"/>
      <c r="H37" s="528"/>
      <c r="I37" s="527"/>
      <c r="J37" s="528"/>
      <c r="K37" s="1323" t="s">
        <v>905</v>
      </c>
      <c r="L37" s="532"/>
      <c r="M37" s="527"/>
      <c r="N37" s="527"/>
      <c r="O37" s="527"/>
      <c r="P37" s="527"/>
      <c r="Q37" s="528"/>
      <c r="R37" s="528"/>
      <c r="S37" s="532"/>
      <c r="T37" s="282"/>
      <c r="U37" s="1323"/>
      <c r="V37" s="1323" t="s">
        <v>905</v>
      </c>
    </row>
    <row r="38" spans="1:22" s="1293" customFormat="1" ht="20.100000000000001" customHeight="1">
      <c r="A38" s="527"/>
      <c r="B38" s="1324" t="s">
        <v>445</v>
      </c>
      <c r="C38" s="542"/>
      <c r="D38" s="1325"/>
      <c r="E38" s="541" t="s">
        <v>446</v>
      </c>
      <c r="F38" s="542"/>
      <c r="G38" s="542"/>
      <c r="H38" s="542"/>
      <c r="I38" s="542"/>
      <c r="J38" s="542"/>
      <c r="K38" s="542"/>
      <c r="L38" s="1326"/>
      <c r="M38" s="1327" t="s">
        <v>446</v>
      </c>
      <c r="N38" s="1328"/>
      <c r="O38" s="1329" t="s">
        <v>447</v>
      </c>
      <c r="P38" s="546" t="s">
        <v>448</v>
      </c>
      <c r="Q38" s="547"/>
      <c r="R38" s="547"/>
      <c r="S38" s="547"/>
      <c r="T38" s="547"/>
      <c r="U38" s="548"/>
      <c r="V38" s="1330" t="s">
        <v>181</v>
      </c>
    </row>
    <row r="39" spans="1:22" s="1293" customFormat="1" ht="20.100000000000001" customHeight="1">
      <c r="A39" s="527"/>
      <c r="B39" s="550" t="s">
        <v>449</v>
      </c>
      <c r="C39" s="551" t="s">
        <v>450</v>
      </c>
      <c r="D39" s="551" t="s">
        <v>451</v>
      </c>
      <c r="E39" s="551" t="s">
        <v>452</v>
      </c>
      <c r="F39" s="551" t="s">
        <v>453</v>
      </c>
      <c r="G39" s="551" t="s">
        <v>186</v>
      </c>
      <c r="H39" s="551" t="s">
        <v>454</v>
      </c>
      <c r="I39" s="551" t="s">
        <v>455</v>
      </c>
      <c r="J39" s="551" t="s">
        <v>97</v>
      </c>
      <c r="K39" s="551" t="s">
        <v>450</v>
      </c>
      <c r="L39" s="466"/>
      <c r="M39" s="552" t="s">
        <v>112</v>
      </c>
      <c r="N39" s="552" t="s">
        <v>451</v>
      </c>
      <c r="O39" s="1331" t="s">
        <v>456</v>
      </c>
      <c r="P39" s="550" t="s">
        <v>453</v>
      </c>
      <c r="Q39" s="551" t="s">
        <v>457</v>
      </c>
      <c r="R39" s="551" t="s">
        <v>455</v>
      </c>
      <c r="S39" s="551" t="s">
        <v>450</v>
      </c>
      <c r="T39" s="1332" t="s">
        <v>112</v>
      </c>
      <c r="U39" s="1333" t="s">
        <v>456</v>
      </c>
      <c r="V39" s="1334"/>
    </row>
    <row r="40" spans="1:22" s="1293" customFormat="1" ht="20.100000000000001" customHeight="1">
      <c r="A40" s="527"/>
      <c r="B40" s="1335">
        <v>24673.158999999996</v>
      </c>
      <c r="C40" s="456">
        <v>103.584</v>
      </c>
      <c r="D40" s="1336">
        <v>24776.742999999995</v>
      </c>
      <c r="E40" s="456">
        <v>275421.99391000002</v>
      </c>
      <c r="F40" s="456">
        <v>9020479.1030919999</v>
      </c>
      <c r="G40" s="456">
        <v>0</v>
      </c>
      <c r="H40" s="456">
        <v>3365000.5504200007</v>
      </c>
      <c r="I40" s="1337">
        <v>39686.332259999996</v>
      </c>
      <c r="J40" s="456">
        <v>13608608.497999998</v>
      </c>
      <c r="K40" s="1338">
        <v>684117.9802489999</v>
      </c>
      <c r="L40" s="466"/>
      <c r="M40" s="562">
        <v>6468.9350000000004</v>
      </c>
      <c r="N40" s="562">
        <v>26999783.392930996</v>
      </c>
      <c r="O40" s="1339">
        <v>27024560.135930996</v>
      </c>
      <c r="P40" s="1335">
        <v>1674030.1699009999</v>
      </c>
      <c r="Q40" s="456">
        <v>6377697.9440179998</v>
      </c>
      <c r="R40" s="1336">
        <v>3409889.9339939998</v>
      </c>
      <c r="S40" s="456">
        <v>5604083.9972690046</v>
      </c>
      <c r="T40" s="1340">
        <v>287884.76640199992</v>
      </c>
      <c r="U40" s="1341">
        <v>17353586.811584003</v>
      </c>
      <c r="V40" s="1342">
        <v>44378146.947514996</v>
      </c>
    </row>
    <row r="41" spans="1:22" s="1347" customFormat="1" ht="20.100000000000001" customHeight="1">
      <c r="A41" s="567"/>
      <c r="B41" s="1343">
        <v>5.5597542252452239E-2</v>
      </c>
      <c r="C41" s="1344">
        <v>2.3341217947316819E-4</v>
      </c>
      <c r="D41" s="1344">
        <v>5.5830954431925407E-2</v>
      </c>
      <c r="E41" s="1344">
        <v>0.62062526908961568</v>
      </c>
      <c r="F41" s="1344">
        <v>20.326398742516922</v>
      </c>
      <c r="G41" s="1344">
        <v>0</v>
      </c>
      <c r="H41" s="1344">
        <v>7.582562098412331</v>
      </c>
      <c r="I41" s="1344">
        <v>8.9427646239794781E-2</v>
      </c>
      <c r="J41" s="1344">
        <v>30.665112074405865</v>
      </c>
      <c r="K41" s="1344">
        <v>1.5415649983269701</v>
      </c>
      <c r="L41" s="570"/>
      <c r="M41" s="571">
        <v>1.4576847941962651E-2</v>
      </c>
      <c r="N41" s="571">
        <v>60.840267676933458</v>
      </c>
      <c r="O41" s="1345">
        <v>60.896098631365383</v>
      </c>
      <c r="P41" s="1343">
        <v>3.7721948414854647</v>
      </c>
      <c r="Q41" s="1344">
        <v>14.371257888619718</v>
      </c>
      <c r="R41" s="1344">
        <v>7.6837140992542965</v>
      </c>
      <c r="S41" s="1344">
        <v>12.628026140651668</v>
      </c>
      <c r="T41" s="1344">
        <v>0.6487083986234814</v>
      </c>
      <c r="U41" s="572">
        <v>39.103901368634631</v>
      </c>
      <c r="V41" s="1346">
        <v>100</v>
      </c>
    </row>
    <row r="42" spans="1:22" s="1293" customFormat="1" ht="12.75" customHeight="1">
      <c r="A42" s="575"/>
      <c r="B42" s="1348" t="s">
        <v>906</v>
      </c>
      <c r="C42" s="527"/>
      <c r="D42" s="527"/>
      <c r="E42" s="527"/>
      <c r="F42" s="527"/>
      <c r="G42" s="527"/>
      <c r="H42" s="527"/>
      <c r="I42" s="527"/>
      <c r="J42" s="527"/>
      <c r="K42" s="527"/>
      <c r="L42" s="532"/>
      <c r="M42" s="1349" t="s">
        <v>907</v>
      </c>
      <c r="N42" s="527"/>
      <c r="O42" s="527"/>
      <c r="P42" s="527"/>
      <c r="Q42" s="578"/>
      <c r="R42" s="527"/>
      <c r="S42" s="579"/>
      <c r="T42" s="579"/>
      <c r="U42" s="579"/>
      <c r="V42" s="532"/>
    </row>
    <row r="43" spans="1:22" s="1293" customFormat="1" ht="11.25" customHeight="1">
      <c r="A43" s="1350"/>
      <c r="B43" s="346" t="s">
        <v>908</v>
      </c>
      <c r="C43" s="1350"/>
      <c r="D43" s="1350"/>
      <c r="E43" s="1350"/>
      <c r="F43" s="1350"/>
      <c r="G43" s="1350"/>
      <c r="H43" s="1350"/>
      <c r="I43" s="1350"/>
      <c r="J43" s="1350"/>
      <c r="K43" s="1350"/>
      <c r="L43" s="1351"/>
      <c r="M43" s="1352"/>
      <c r="N43" s="1353"/>
      <c r="O43" s="1353"/>
      <c r="P43" s="1353"/>
      <c r="Q43" s="1354"/>
      <c r="R43" s="1355"/>
      <c r="S43" s="1354"/>
      <c r="T43" s="1354"/>
      <c r="U43" s="1354"/>
    </row>
    <row r="44" spans="1:22" s="1293" customFormat="1" ht="8.1" customHeight="1">
      <c r="A44" s="1356"/>
      <c r="B44" s="1357"/>
      <c r="C44" s="1350"/>
      <c r="D44" s="1350"/>
      <c r="E44" s="1350"/>
      <c r="F44" s="1350"/>
      <c r="G44" s="1350"/>
      <c r="H44" s="1350"/>
      <c r="I44" s="1350"/>
      <c r="J44" s="1350"/>
      <c r="K44" s="1350"/>
      <c r="L44" s="1351"/>
      <c r="M44" s="1353"/>
      <c r="N44" s="1353"/>
      <c r="O44" s="1353"/>
      <c r="P44" s="1353"/>
      <c r="Q44" s="1354"/>
      <c r="R44" s="1355"/>
      <c r="S44" s="1358"/>
      <c r="T44" s="1358"/>
      <c r="U44" s="1358"/>
    </row>
    <row r="45" spans="1:22" s="1360" customFormat="1" ht="12" customHeight="1">
      <c r="A45" s="1359"/>
      <c r="B45" s="1357"/>
      <c r="C45" s="1350"/>
      <c r="D45" s="1350"/>
      <c r="E45" s="1350"/>
      <c r="F45" s="1350"/>
      <c r="G45" s="1350"/>
      <c r="H45" s="1350"/>
      <c r="I45" s="1350"/>
      <c r="J45" s="1350"/>
      <c r="K45" s="1350"/>
      <c r="L45" s="1351"/>
      <c r="M45" s="1353"/>
      <c r="N45" s="1353"/>
      <c r="O45" s="1353"/>
      <c r="P45" s="1353"/>
      <c r="Q45" s="1354"/>
      <c r="R45" s="1355"/>
      <c r="S45" s="1358"/>
      <c r="T45" s="1358"/>
      <c r="U45" s="1358"/>
    </row>
    <row r="46" spans="1:22" s="1361" customFormat="1" ht="9.6" customHeight="1">
      <c r="C46" s="1362"/>
      <c r="E46" s="1362"/>
      <c r="G46" s="1362"/>
      <c r="H46" s="1025"/>
      <c r="I46" s="1362"/>
      <c r="K46" s="1363"/>
      <c r="L46" s="1364"/>
      <c r="M46" s="1293"/>
      <c r="N46" s="1293"/>
      <c r="O46" s="1365"/>
      <c r="P46" s="1360"/>
      <c r="Q46" s="1366"/>
      <c r="R46" s="1367"/>
      <c r="S46" s="1350"/>
      <c r="T46" s="1368"/>
    </row>
    <row r="47" spans="1:22" s="1361" customFormat="1" ht="15.75" customHeight="1">
      <c r="B47" s="1369"/>
      <c r="C47" s="1370"/>
      <c r="E47" s="1362"/>
      <c r="G47" s="1362"/>
      <c r="H47" s="1025"/>
      <c r="I47" s="1362"/>
      <c r="K47" s="1363"/>
      <c r="L47" s="1364"/>
      <c r="M47" s="1293"/>
      <c r="N47" s="1293"/>
      <c r="O47" s="1293"/>
      <c r="P47" s="1293"/>
      <c r="Q47" s="1367"/>
      <c r="R47" s="1371"/>
      <c r="S47" s="1372"/>
    </row>
    <row r="48" spans="1:22" ht="9.75" customHeight="1">
      <c r="D48" s="1370"/>
      <c r="K48" s="1363"/>
      <c r="L48" s="1364"/>
      <c r="M48" s="1361"/>
      <c r="N48" s="1361"/>
      <c r="O48" s="1361"/>
      <c r="P48" s="1361"/>
      <c r="Q48" s="1367"/>
      <c r="R48" s="1371"/>
      <c r="S48" s="1373"/>
    </row>
    <row r="49" spans="2:20" ht="14.25">
      <c r="B49" s="1374"/>
      <c r="H49" s="1375"/>
      <c r="L49" s="1364"/>
      <c r="M49" s="1361"/>
      <c r="N49" s="1361"/>
      <c r="O49" s="1361"/>
      <c r="P49" s="1361"/>
      <c r="Q49" s="1293"/>
      <c r="R49" s="1293"/>
      <c r="S49" s="1376"/>
    </row>
    <row r="50" spans="2:20">
      <c r="B50" s="1370"/>
      <c r="D50" s="1370"/>
      <c r="Q50" s="1293"/>
      <c r="R50" s="1293"/>
    </row>
    <row r="51" spans="2:20">
      <c r="B51" s="1374"/>
      <c r="Q51" s="1293"/>
      <c r="R51" s="1293"/>
    </row>
    <row r="52" spans="2:20">
      <c r="O52" s="1298"/>
      <c r="P52" s="1298"/>
      <c r="Q52" s="1298"/>
      <c r="R52" s="1298"/>
      <c r="S52" s="1298"/>
      <c r="T52" s="1298"/>
    </row>
    <row r="53" spans="2:20">
      <c r="L53" s="1360"/>
    </row>
    <row r="60" spans="2:20">
      <c r="I60" s="1377"/>
    </row>
    <row r="61" spans="2:20">
      <c r="M61" s="1293"/>
      <c r="N61" s="1293"/>
      <c r="O61" s="1293"/>
      <c r="P61" s="1293"/>
    </row>
    <row r="62" spans="2:20">
      <c r="M62" s="1293"/>
      <c r="N62" s="1293"/>
      <c r="O62" s="1293"/>
      <c r="P62" s="1293"/>
    </row>
    <row r="63" spans="2:20">
      <c r="M63" s="1360"/>
      <c r="N63" s="1360"/>
      <c r="O63" s="1360"/>
      <c r="P63" s="1360"/>
    </row>
    <row r="64" spans="2:20">
      <c r="M64" s="1378"/>
      <c r="N64" s="1360"/>
      <c r="O64" s="1360"/>
      <c r="P64" s="1360"/>
    </row>
    <row r="65" spans="13:16">
      <c r="M65" s="1360"/>
      <c r="N65" s="1360"/>
      <c r="O65" s="1360"/>
      <c r="P65" s="1360"/>
    </row>
    <row r="66" spans="13:16">
      <c r="M66" s="1378"/>
    </row>
    <row r="71" spans="13:16">
      <c r="M71" s="1298"/>
    </row>
    <row r="72" spans="13:16">
      <c r="M72" s="1298"/>
    </row>
    <row r="73" spans="13:16">
      <c r="M73" s="1298"/>
    </row>
    <row r="74" spans="13:16">
      <c r="M74" s="1298"/>
    </row>
    <row r="75" spans="13:16">
      <c r="M75" s="1298"/>
    </row>
    <row r="76" spans="13:16">
      <c r="M76" s="1379"/>
    </row>
  </sheetData>
  <mergeCells count="14">
    <mergeCell ref="O4:P4"/>
    <mergeCell ref="Q4:T4"/>
    <mergeCell ref="U4:V4"/>
    <mergeCell ref="B37:C37"/>
    <mergeCell ref="B38:D38"/>
    <mergeCell ref="E38:K38"/>
    <mergeCell ref="M38:N38"/>
    <mergeCell ref="P38:U38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/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1F89-A3BC-4FF3-9AD7-5A25D79FADD1}">
  <sheetPr>
    <tabColor theme="8"/>
  </sheetPr>
  <dimension ref="A1:AX38"/>
  <sheetViews>
    <sheetView view="pageBreakPreview" zoomScaleNormal="100" zoomScaleSheetLayoutView="100" workbookViewId="0"/>
  </sheetViews>
  <sheetFormatPr defaultColWidth="10" defaultRowHeight="13.5"/>
  <cols>
    <col min="1" max="1" width="12.5" style="13" customWidth="1"/>
    <col min="2" max="7" width="11.5" style="13" customWidth="1"/>
    <col min="8" max="8" width="12.125" style="13" customWidth="1"/>
    <col min="9" max="9" width="9.375" style="13" customWidth="1"/>
    <col min="10" max="11" width="10.25" style="13" customWidth="1"/>
    <col min="12" max="12" width="8.25" style="13" customWidth="1"/>
    <col min="13" max="13" width="9.375" style="13" customWidth="1"/>
    <col min="14" max="14" width="10.25" style="13" customWidth="1"/>
    <col min="15" max="16" width="8.25" style="13" customWidth="1"/>
    <col min="17" max="17" width="7.625" style="13" customWidth="1"/>
    <col min="18" max="18" width="11.625" style="13" customWidth="1"/>
    <col min="19" max="19" width="11.25" style="13" customWidth="1"/>
    <col min="20" max="25" width="11" style="13" customWidth="1"/>
    <col min="26" max="26" width="12.125" style="13" customWidth="1"/>
    <col min="27" max="33" width="12.75" style="13" customWidth="1"/>
    <col min="34" max="34" width="11.125" style="13" customWidth="1"/>
    <col min="35" max="40" width="11.75" style="13" customWidth="1"/>
    <col min="41" max="41" width="11.875" style="13" customWidth="1"/>
    <col min="42" max="44" width="11.625" style="13" customWidth="1"/>
    <col min="45" max="45" width="12.125" style="13" customWidth="1"/>
    <col min="46" max="47" width="11.625" style="13" customWidth="1"/>
    <col min="48" max="48" width="11.625" style="1455" customWidth="1"/>
    <col min="49" max="49" width="11.75" style="13" customWidth="1"/>
    <col min="50" max="50" width="11.875" style="13" customWidth="1"/>
    <col min="51" max="16384" width="10" style="13"/>
  </cols>
  <sheetData>
    <row r="1" spans="1:50" s="273" customFormat="1" ht="20.25" customHeight="1">
      <c r="A1" s="609" t="s">
        <v>909</v>
      </c>
      <c r="B1" s="1116"/>
      <c r="C1" s="271"/>
      <c r="D1" s="271"/>
      <c r="E1" s="271"/>
      <c r="F1" s="271"/>
      <c r="G1" s="271"/>
      <c r="H1" s="271"/>
      <c r="I1" s="1380"/>
      <c r="J1" s="1380"/>
      <c r="K1" s="271"/>
      <c r="L1" s="271"/>
      <c r="M1" s="271"/>
      <c r="N1" s="271"/>
      <c r="O1" s="271"/>
      <c r="P1" s="271"/>
      <c r="Q1" s="271"/>
      <c r="R1" s="271"/>
      <c r="S1" s="609" t="s">
        <v>910</v>
      </c>
      <c r="T1" s="976"/>
      <c r="U1" s="271"/>
      <c r="V1" s="271"/>
      <c r="W1" s="271"/>
      <c r="X1" s="272"/>
      <c r="Y1" s="272"/>
      <c r="Z1" s="272"/>
      <c r="AA1" s="271"/>
      <c r="AB1" s="271"/>
      <c r="AC1" s="271"/>
      <c r="AD1" s="271"/>
      <c r="AE1" s="271"/>
      <c r="AF1" s="271"/>
      <c r="AG1" s="271"/>
      <c r="AH1" s="609" t="s">
        <v>911</v>
      </c>
      <c r="AI1" s="610"/>
      <c r="AJ1" s="271"/>
      <c r="AK1" s="1381"/>
      <c r="AL1" s="271"/>
      <c r="AM1" s="271"/>
      <c r="AN1" s="271"/>
      <c r="AO1" s="271"/>
      <c r="AP1" s="1380"/>
      <c r="AQ1" s="271"/>
      <c r="AR1" s="271"/>
      <c r="AS1" s="596"/>
      <c r="AT1" s="596"/>
      <c r="AU1" s="596"/>
      <c r="AV1" s="1382"/>
      <c r="AW1" s="271"/>
      <c r="AX1" s="1383"/>
    </row>
    <row r="2" spans="1:50" s="276" customFormat="1" ht="17.25">
      <c r="A2" s="274" t="s">
        <v>912</v>
      </c>
      <c r="B2" s="274"/>
      <c r="C2" s="274"/>
      <c r="D2" s="274"/>
      <c r="E2" s="274"/>
      <c r="F2" s="274"/>
      <c r="G2" s="274"/>
      <c r="H2" s="274"/>
      <c r="I2" s="1380"/>
      <c r="J2" s="274"/>
      <c r="K2" s="274"/>
      <c r="L2" s="274"/>
      <c r="M2" s="274"/>
      <c r="N2" s="274"/>
      <c r="O2" s="274"/>
      <c r="P2" s="274"/>
      <c r="Q2" s="274"/>
      <c r="R2" s="274"/>
      <c r="S2" s="274" t="s">
        <v>913</v>
      </c>
      <c r="T2" s="274"/>
      <c r="U2" s="274"/>
      <c r="V2" s="274"/>
      <c r="W2" s="274"/>
      <c r="X2" s="272"/>
      <c r="Y2" s="272"/>
      <c r="Z2" s="272"/>
      <c r="AA2" s="274"/>
      <c r="AB2" s="274"/>
      <c r="AC2" s="274"/>
      <c r="AD2" s="274"/>
      <c r="AE2" s="274"/>
      <c r="AF2" s="274"/>
      <c r="AG2" s="274"/>
      <c r="AH2" s="274" t="s">
        <v>914</v>
      </c>
      <c r="AI2" s="274"/>
      <c r="AJ2" s="272"/>
      <c r="AK2" s="274"/>
      <c r="AL2" s="274"/>
      <c r="AM2" s="274"/>
      <c r="AN2" s="274"/>
      <c r="AO2" s="1384"/>
      <c r="AP2" s="274"/>
      <c r="AQ2" s="274"/>
      <c r="AR2" s="274"/>
      <c r="AS2" s="596"/>
      <c r="AT2" s="596"/>
      <c r="AU2" s="596"/>
      <c r="AV2" s="1385"/>
      <c r="AW2" s="274"/>
      <c r="AX2" s="1383"/>
    </row>
    <row r="3" spans="1:50" s="273" customFormat="1" ht="15" customHeight="1">
      <c r="A3" s="271"/>
      <c r="B3" s="1386"/>
      <c r="C3" s="1387"/>
      <c r="D3" s="272"/>
      <c r="E3" s="272"/>
      <c r="F3" s="272"/>
      <c r="G3" s="272"/>
      <c r="H3" s="1387"/>
      <c r="I3" s="272"/>
      <c r="J3" s="272"/>
      <c r="K3" s="272"/>
      <c r="L3" s="272"/>
      <c r="M3" s="271"/>
      <c r="N3" s="272"/>
      <c r="O3" s="272"/>
      <c r="P3" s="272"/>
      <c r="Q3" s="272"/>
      <c r="R3" s="1246" t="s">
        <v>915</v>
      </c>
      <c r="S3" s="272"/>
      <c r="T3" s="272"/>
      <c r="U3" s="271"/>
      <c r="V3" s="272"/>
      <c r="W3" s="272"/>
      <c r="X3" s="271"/>
      <c r="Y3" s="281"/>
      <c r="Z3" s="272"/>
      <c r="AA3" s="271"/>
      <c r="AB3" s="271"/>
      <c r="AC3" s="281"/>
      <c r="AD3" s="271"/>
      <c r="AE3" s="271"/>
      <c r="AF3" s="271"/>
      <c r="AG3" s="1246" t="s">
        <v>915</v>
      </c>
      <c r="AH3" s="1388"/>
      <c r="AI3" s="271"/>
      <c r="AJ3" s="271"/>
      <c r="AK3" s="271"/>
      <c r="AL3" s="271"/>
      <c r="AM3" s="271"/>
      <c r="AN3" s="271"/>
      <c r="AO3" s="271"/>
      <c r="AP3" s="271"/>
      <c r="AQ3" s="281"/>
      <c r="AR3" s="281"/>
      <c r="AS3" s="271"/>
      <c r="AT3" s="271"/>
      <c r="AU3" s="271"/>
      <c r="AV3" s="1382"/>
      <c r="AW3" s="1246" t="s">
        <v>915</v>
      </c>
      <c r="AX3" s="1383"/>
    </row>
    <row r="4" spans="1:50" s="1398" customFormat="1" ht="23.1" customHeight="1">
      <c r="A4" s="1389" t="s">
        <v>56</v>
      </c>
      <c r="B4" s="1390" t="s">
        <v>916</v>
      </c>
      <c r="C4" s="1391"/>
      <c r="D4" s="1391"/>
      <c r="E4" s="1391"/>
      <c r="F4" s="1391"/>
      <c r="G4" s="1391"/>
      <c r="H4" s="1392"/>
      <c r="I4" s="1390" t="s">
        <v>466</v>
      </c>
      <c r="J4" s="1391"/>
      <c r="K4" s="1391"/>
      <c r="L4" s="1391"/>
      <c r="M4" s="1391"/>
      <c r="N4" s="1391"/>
      <c r="O4" s="1391"/>
      <c r="P4" s="1391"/>
      <c r="Q4" s="1391"/>
      <c r="R4" s="1392"/>
      <c r="S4" s="1389" t="s">
        <v>56</v>
      </c>
      <c r="T4" s="1390" t="s">
        <v>917</v>
      </c>
      <c r="U4" s="1391"/>
      <c r="V4" s="1391"/>
      <c r="W4" s="1391"/>
      <c r="X4" s="1391"/>
      <c r="Y4" s="1391"/>
      <c r="Z4" s="1392"/>
      <c r="AA4" s="1390" t="s">
        <v>918</v>
      </c>
      <c r="AB4" s="1391"/>
      <c r="AC4" s="1391"/>
      <c r="AD4" s="1391"/>
      <c r="AE4" s="1391"/>
      <c r="AF4" s="1391"/>
      <c r="AG4" s="1392"/>
      <c r="AH4" s="1389" t="s">
        <v>56</v>
      </c>
      <c r="AI4" s="1390" t="s">
        <v>919</v>
      </c>
      <c r="AJ4" s="1391"/>
      <c r="AK4" s="1391"/>
      <c r="AL4" s="1391"/>
      <c r="AM4" s="1391"/>
      <c r="AN4" s="1391"/>
      <c r="AO4" s="1392"/>
      <c r="AP4" s="1390" t="s">
        <v>920</v>
      </c>
      <c r="AQ4" s="1391"/>
      <c r="AR4" s="1391"/>
      <c r="AS4" s="1392"/>
      <c r="AT4" s="1393" t="s">
        <v>474</v>
      </c>
      <c r="AU4" s="1394"/>
      <c r="AV4" s="1395"/>
      <c r="AW4" s="1396" t="s">
        <v>921</v>
      </c>
      <c r="AX4" s="1397"/>
    </row>
    <row r="5" spans="1:50" s="1409" customFormat="1" ht="23.1" customHeight="1">
      <c r="A5" s="1399"/>
      <c r="B5" s="1400" t="s">
        <v>922</v>
      </c>
      <c r="C5" s="1401" t="s">
        <v>108</v>
      </c>
      <c r="D5" s="1401" t="s">
        <v>107</v>
      </c>
      <c r="E5" s="1401" t="s">
        <v>100</v>
      </c>
      <c r="F5" s="1401" t="s">
        <v>476</v>
      </c>
      <c r="G5" s="1401" t="s">
        <v>477</v>
      </c>
      <c r="H5" s="1402" t="s">
        <v>160</v>
      </c>
      <c r="I5" s="1400" t="s">
        <v>922</v>
      </c>
      <c r="J5" s="1403" t="s">
        <v>108</v>
      </c>
      <c r="K5" s="1404" t="s">
        <v>107</v>
      </c>
      <c r="L5" s="1401" t="s">
        <v>100</v>
      </c>
      <c r="M5" s="1401" t="s">
        <v>481</v>
      </c>
      <c r="N5" s="1401" t="s">
        <v>476</v>
      </c>
      <c r="O5" s="1401" t="s">
        <v>479</v>
      </c>
      <c r="P5" s="1401" t="s">
        <v>477</v>
      </c>
      <c r="Q5" s="1404" t="s">
        <v>480</v>
      </c>
      <c r="R5" s="1402" t="s">
        <v>160</v>
      </c>
      <c r="S5" s="1399"/>
      <c r="T5" s="1400" t="s">
        <v>922</v>
      </c>
      <c r="U5" s="1401" t="s">
        <v>107</v>
      </c>
      <c r="V5" s="1404" t="s">
        <v>100</v>
      </c>
      <c r="W5" s="1401" t="s">
        <v>481</v>
      </c>
      <c r="X5" s="1401" t="s">
        <v>476</v>
      </c>
      <c r="Y5" s="1401" t="s">
        <v>477</v>
      </c>
      <c r="Z5" s="1402" t="s">
        <v>160</v>
      </c>
      <c r="AA5" s="1400" t="s">
        <v>922</v>
      </c>
      <c r="AB5" s="1401" t="s">
        <v>98</v>
      </c>
      <c r="AC5" s="1401" t="s">
        <v>100</v>
      </c>
      <c r="AD5" s="1401" t="s">
        <v>476</v>
      </c>
      <c r="AE5" s="1401" t="s">
        <v>923</v>
      </c>
      <c r="AF5" s="1401" t="s">
        <v>477</v>
      </c>
      <c r="AG5" s="1402" t="s">
        <v>160</v>
      </c>
      <c r="AH5" s="1399"/>
      <c r="AI5" s="1400" t="s">
        <v>922</v>
      </c>
      <c r="AJ5" s="1401" t="s">
        <v>108</v>
      </c>
      <c r="AK5" s="1401" t="s">
        <v>107</v>
      </c>
      <c r="AL5" s="1401" t="s">
        <v>100</v>
      </c>
      <c r="AM5" s="1401" t="s">
        <v>476</v>
      </c>
      <c r="AN5" s="1401" t="s">
        <v>477</v>
      </c>
      <c r="AO5" s="1402" t="s">
        <v>160</v>
      </c>
      <c r="AP5" s="1405" t="s">
        <v>110</v>
      </c>
      <c r="AQ5" s="1401" t="s">
        <v>12</v>
      </c>
      <c r="AR5" s="1401" t="s">
        <v>477</v>
      </c>
      <c r="AS5" s="1404" t="s">
        <v>160</v>
      </c>
      <c r="AT5" s="1400" t="s">
        <v>161</v>
      </c>
      <c r="AU5" s="1406" t="s">
        <v>484</v>
      </c>
      <c r="AV5" s="1402" t="s">
        <v>477</v>
      </c>
      <c r="AW5" s="1407" t="s">
        <v>160</v>
      </c>
      <c r="AX5" s="1408"/>
    </row>
    <row r="6" spans="1:50" s="1360" customFormat="1" ht="24.95" customHeight="1">
      <c r="A6" s="1410">
        <v>2015</v>
      </c>
      <c r="B6" s="1411">
        <v>72.599999999999994</v>
      </c>
      <c r="C6" s="1412">
        <v>2378.4679999999998</v>
      </c>
      <c r="D6" s="1412">
        <v>66531.301999999996</v>
      </c>
      <c r="E6" s="1412">
        <v>0</v>
      </c>
      <c r="F6" s="1412">
        <v>1897.6410000000001</v>
      </c>
      <c r="G6" s="1413">
        <v>108.989</v>
      </c>
      <c r="H6" s="1414">
        <v>70989</v>
      </c>
      <c r="I6" s="1411">
        <v>19.416</v>
      </c>
      <c r="J6" s="1412">
        <v>2527.27</v>
      </c>
      <c r="K6" s="1412">
        <v>32259.079000000002</v>
      </c>
      <c r="L6" s="1412">
        <v>796.59299999999996</v>
      </c>
      <c r="M6" s="1412">
        <v>222.47200000000001</v>
      </c>
      <c r="N6" s="1412">
        <v>9839.0509999999995</v>
      </c>
      <c r="O6" s="1412">
        <v>401.20299999999997</v>
      </c>
      <c r="P6" s="1413">
        <v>24.335000000000001</v>
      </c>
      <c r="Q6" s="1415" t="s">
        <v>133</v>
      </c>
      <c r="R6" s="1414">
        <v>46089.419000000002</v>
      </c>
      <c r="S6" s="1410">
        <v>2015</v>
      </c>
      <c r="T6" s="1411">
        <v>4.4390000000000001</v>
      </c>
      <c r="U6" s="1412">
        <v>32462.137999999999</v>
      </c>
      <c r="V6" s="1412">
        <v>3578.1619999999998</v>
      </c>
      <c r="W6" s="1412" t="s">
        <v>133</v>
      </c>
      <c r="X6" s="1412">
        <v>11923.366</v>
      </c>
      <c r="Y6" s="1413">
        <v>121.565</v>
      </c>
      <c r="Z6" s="1414">
        <v>48089.671000000002</v>
      </c>
      <c r="AA6" s="1411">
        <v>4.9000000000000002E-2</v>
      </c>
      <c r="AB6" s="1416">
        <v>31911.609</v>
      </c>
      <c r="AC6" s="1412">
        <v>1333.203</v>
      </c>
      <c r="AD6" s="1412">
        <v>15389.791999999999</v>
      </c>
      <c r="AE6" s="1415">
        <v>0</v>
      </c>
      <c r="AF6" s="1413">
        <v>93.165999999999997</v>
      </c>
      <c r="AG6" s="1414">
        <v>48727.819000000003</v>
      </c>
      <c r="AH6" s="1410">
        <v>2015</v>
      </c>
      <c r="AI6" s="1411">
        <v>32.335000000000001</v>
      </c>
      <c r="AJ6" s="1412">
        <v>2532.5300000000002</v>
      </c>
      <c r="AK6" s="1412">
        <v>36731.296000000002</v>
      </c>
      <c r="AL6" s="1412">
        <v>3114.047</v>
      </c>
      <c r="AM6" s="1412">
        <v>6873.018</v>
      </c>
      <c r="AN6" s="1413">
        <v>254.619</v>
      </c>
      <c r="AO6" s="1414">
        <v>49537.845000000001</v>
      </c>
      <c r="AP6" s="1411">
        <v>4295.4430000000002</v>
      </c>
      <c r="AQ6" s="1412">
        <v>164762.416</v>
      </c>
      <c r="AR6" s="1413">
        <v>21.76</v>
      </c>
      <c r="AS6" s="1417">
        <v>169079.61900000001</v>
      </c>
      <c r="AT6" s="1411" t="s">
        <v>133</v>
      </c>
      <c r="AU6" s="1412">
        <v>245.39599999999999</v>
      </c>
      <c r="AV6" s="1414">
        <v>0</v>
      </c>
      <c r="AW6" s="1414">
        <v>95332.01</v>
      </c>
      <c r="AX6" s="1397"/>
    </row>
    <row r="7" spans="1:50" s="1360" customFormat="1" ht="24.95" customHeight="1">
      <c r="A7" s="1410">
        <v>2016</v>
      </c>
      <c r="B7" s="1411">
        <v>74.054000000000002</v>
      </c>
      <c r="C7" s="1412">
        <v>2102.002</v>
      </c>
      <c r="D7" s="1412">
        <v>67215.070999999996</v>
      </c>
      <c r="E7" s="1412" t="s">
        <v>133</v>
      </c>
      <c r="F7" s="1412">
        <v>2188.9360000000001</v>
      </c>
      <c r="G7" s="1412">
        <v>116.35</v>
      </c>
      <c r="H7" s="1414">
        <v>71696.413</v>
      </c>
      <c r="I7" s="1411">
        <v>20.439</v>
      </c>
      <c r="J7" s="1412">
        <v>2733.8249999999998</v>
      </c>
      <c r="K7" s="1412">
        <v>31415.306</v>
      </c>
      <c r="L7" s="1412">
        <v>790.37300000000005</v>
      </c>
      <c r="M7" s="1412">
        <v>368.541</v>
      </c>
      <c r="N7" s="1412">
        <v>9428.0630000000001</v>
      </c>
      <c r="O7" s="1412">
        <v>323.666</v>
      </c>
      <c r="P7" s="1412">
        <v>72.16</v>
      </c>
      <c r="Q7" s="1415" t="s">
        <v>133</v>
      </c>
      <c r="R7" s="1414">
        <v>45152.374000000003</v>
      </c>
      <c r="S7" s="1410">
        <v>2016</v>
      </c>
      <c r="T7" s="1411">
        <v>3.601</v>
      </c>
      <c r="U7" s="1412">
        <v>32984.152999999998</v>
      </c>
      <c r="V7" s="1412">
        <v>5186.616</v>
      </c>
      <c r="W7" s="1412" t="s">
        <v>133</v>
      </c>
      <c r="X7" s="1412">
        <v>11778.402</v>
      </c>
      <c r="Y7" s="1412">
        <v>523.47799999999995</v>
      </c>
      <c r="Z7" s="1414">
        <v>50476.25</v>
      </c>
      <c r="AA7" s="1411">
        <v>2.1000000000000001E-2</v>
      </c>
      <c r="AB7" s="1416">
        <v>32791.167000000001</v>
      </c>
      <c r="AC7" s="1412">
        <v>1347.9680000000001</v>
      </c>
      <c r="AD7" s="1412">
        <v>15786.338</v>
      </c>
      <c r="AE7" s="1415" t="s">
        <v>133</v>
      </c>
      <c r="AF7" s="1412">
        <v>96.926000000000002</v>
      </c>
      <c r="AG7" s="1414">
        <v>50022.421000000002</v>
      </c>
      <c r="AH7" s="1410">
        <v>2016</v>
      </c>
      <c r="AI7" s="1411">
        <v>24.678000000000001</v>
      </c>
      <c r="AJ7" s="1412">
        <v>2924.8539999999998</v>
      </c>
      <c r="AK7" s="1412">
        <v>35745.790999999997</v>
      </c>
      <c r="AL7" s="1412">
        <v>5729.8119999999999</v>
      </c>
      <c r="AM7" s="1412">
        <v>7295.64</v>
      </c>
      <c r="AN7" s="1412">
        <v>269.09800000000001</v>
      </c>
      <c r="AO7" s="1414">
        <v>51989.874000000003</v>
      </c>
      <c r="AP7" s="1411">
        <v>4707.8909999999996</v>
      </c>
      <c r="AQ7" s="1412">
        <v>161995.10399999999</v>
      </c>
      <c r="AR7" s="1412">
        <v>19.355</v>
      </c>
      <c r="AS7" s="1417">
        <v>166722.35</v>
      </c>
      <c r="AT7" s="1411">
        <v>4.1349999999999998</v>
      </c>
      <c r="AU7" s="1412">
        <v>249.53</v>
      </c>
      <c r="AV7" s="1414">
        <v>0.69599999999999995</v>
      </c>
      <c r="AW7" s="1414">
        <v>104126.81200000001</v>
      </c>
      <c r="AX7" s="1397"/>
    </row>
    <row r="8" spans="1:50" s="1360" customFormat="1" ht="24.95" customHeight="1">
      <c r="A8" s="1410">
        <v>2017</v>
      </c>
      <c r="B8" s="1411">
        <v>74.572999999999993</v>
      </c>
      <c r="C8" s="1412">
        <v>792.03700000000003</v>
      </c>
      <c r="D8" s="1412">
        <v>66787.452999999994</v>
      </c>
      <c r="E8" s="1412" t="s">
        <v>133</v>
      </c>
      <c r="F8" s="1412">
        <v>2261.3420000000001</v>
      </c>
      <c r="G8" s="1412">
        <v>716.27099999999996</v>
      </c>
      <c r="H8" s="1414">
        <v>70631.676000000007</v>
      </c>
      <c r="I8" s="1411">
        <v>31.233000000000001</v>
      </c>
      <c r="J8" s="1412">
        <v>1094.624</v>
      </c>
      <c r="K8" s="1412">
        <v>40717.374000000003</v>
      </c>
      <c r="L8" s="1412">
        <v>804.32399999999996</v>
      </c>
      <c r="M8" s="1412">
        <v>220.18299999999999</v>
      </c>
      <c r="N8" s="1412">
        <v>9734.2450000000008</v>
      </c>
      <c r="O8" s="1412">
        <v>245.249</v>
      </c>
      <c r="P8" s="1412">
        <v>107.03700000000001</v>
      </c>
      <c r="Q8" s="1415" t="s">
        <v>133</v>
      </c>
      <c r="R8" s="1414">
        <v>52954.269</v>
      </c>
      <c r="S8" s="1410">
        <v>2017</v>
      </c>
      <c r="T8" s="1411">
        <v>3.4449999999999998</v>
      </c>
      <c r="U8" s="1412">
        <v>38748.675999999999</v>
      </c>
      <c r="V8" s="1412">
        <v>1081.5509999999999</v>
      </c>
      <c r="W8" s="1412" t="s">
        <v>133</v>
      </c>
      <c r="X8" s="1412">
        <v>6637.5990000000002</v>
      </c>
      <c r="Y8" s="1412">
        <v>1458.818</v>
      </c>
      <c r="Z8" s="1414">
        <v>47930.09</v>
      </c>
      <c r="AA8" s="1411">
        <v>3.08</v>
      </c>
      <c r="AB8" s="1416">
        <v>37857.171000000002</v>
      </c>
      <c r="AC8" s="1412">
        <v>1252.7149999999999</v>
      </c>
      <c r="AD8" s="1412">
        <v>10793.852000000001</v>
      </c>
      <c r="AE8" s="1415" t="s">
        <v>133</v>
      </c>
      <c r="AF8" s="1412">
        <v>92.084000000000003</v>
      </c>
      <c r="AG8" s="1414">
        <v>49998.900999999998</v>
      </c>
      <c r="AH8" s="1410">
        <v>2017</v>
      </c>
      <c r="AI8" s="1411">
        <v>23.472000000000001</v>
      </c>
      <c r="AJ8" s="1412">
        <v>2539.9499999999998</v>
      </c>
      <c r="AK8" s="1412">
        <v>38649.213000000003</v>
      </c>
      <c r="AL8" s="1412">
        <v>2086.1779999999999</v>
      </c>
      <c r="AM8" s="1412">
        <v>7529.52</v>
      </c>
      <c r="AN8" s="1412">
        <v>291.11200000000002</v>
      </c>
      <c r="AO8" s="1414">
        <v>51119.445</v>
      </c>
      <c r="AP8" s="1411">
        <v>5123.6689999999999</v>
      </c>
      <c r="AQ8" s="1412">
        <v>148426.72500000001</v>
      </c>
      <c r="AR8" s="1412">
        <v>27.341999999999999</v>
      </c>
      <c r="AS8" s="1417">
        <v>153577.736</v>
      </c>
      <c r="AT8" s="1411">
        <v>3.036</v>
      </c>
      <c r="AU8" s="1412">
        <v>268.09699999999998</v>
      </c>
      <c r="AV8" s="1414">
        <v>0.81699999999999995</v>
      </c>
      <c r="AW8" s="1414">
        <v>127046.039</v>
      </c>
      <c r="AX8" s="1397"/>
    </row>
    <row r="9" spans="1:50" s="1360" customFormat="1" ht="24.95" customHeight="1">
      <c r="A9" s="1410">
        <v>2018</v>
      </c>
      <c r="B9" s="1411">
        <v>62.978000000000002</v>
      </c>
      <c r="C9" s="1412">
        <v>484.02</v>
      </c>
      <c r="D9" s="1412">
        <v>64262.953999999998</v>
      </c>
      <c r="E9" s="1412" t="s">
        <v>133</v>
      </c>
      <c r="F9" s="1412">
        <v>2082.89</v>
      </c>
      <c r="G9" s="1412">
        <v>1071.08</v>
      </c>
      <c r="H9" s="1414">
        <v>67963.922000000006</v>
      </c>
      <c r="I9" s="1411">
        <v>30.242000000000001</v>
      </c>
      <c r="J9" s="1412" t="s">
        <v>133</v>
      </c>
      <c r="K9" s="1412">
        <v>36877.211000000003</v>
      </c>
      <c r="L9" s="1412">
        <v>820.596</v>
      </c>
      <c r="M9" s="1412" t="s">
        <v>133</v>
      </c>
      <c r="N9" s="1412">
        <v>9780.7119999999995</v>
      </c>
      <c r="O9" s="1412">
        <v>254.357</v>
      </c>
      <c r="P9" s="1412">
        <v>178.74100000000001</v>
      </c>
      <c r="Q9" s="1415">
        <v>0</v>
      </c>
      <c r="R9" s="1414">
        <v>47941.858999999997</v>
      </c>
      <c r="S9" s="1410">
        <v>2018</v>
      </c>
      <c r="T9" s="1411">
        <v>3.3780000000000001</v>
      </c>
      <c r="U9" s="1412">
        <v>38847.637000000002</v>
      </c>
      <c r="V9" s="1412">
        <v>1268.903</v>
      </c>
      <c r="W9" s="1412" t="s">
        <v>133</v>
      </c>
      <c r="X9" s="1412">
        <v>9923.4320000000007</v>
      </c>
      <c r="Y9" s="1413">
        <v>1859.6949999999999</v>
      </c>
      <c r="Z9" s="1414">
        <v>51903.044000000002</v>
      </c>
      <c r="AA9" s="1411">
        <v>11.026999999999999</v>
      </c>
      <c r="AB9" s="1416">
        <v>41118.974000000002</v>
      </c>
      <c r="AC9" s="1412">
        <v>1275.4939999999999</v>
      </c>
      <c r="AD9" s="1412">
        <v>15546.737999999999</v>
      </c>
      <c r="AE9" s="1415" t="s">
        <v>133</v>
      </c>
      <c r="AF9" s="1412">
        <v>222.447</v>
      </c>
      <c r="AG9" s="1414">
        <v>58174.68</v>
      </c>
      <c r="AH9" s="1410">
        <v>2018</v>
      </c>
      <c r="AI9" s="1411">
        <v>24.617000000000001</v>
      </c>
      <c r="AJ9" s="1412">
        <v>2193.02</v>
      </c>
      <c r="AK9" s="1412">
        <v>39033.794999999998</v>
      </c>
      <c r="AL9" s="1412">
        <v>2480.2539999999999</v>
      </c>
      <c r="AM9" s="1412">
        <v>9446.0709999999999</v>
      </c>
      <c r="AN9" s="1412">
        <v>300.95699999999999</v>
      </c>
      <c r="AO9" s="1414">
        <v>53478.714</v>
      </c>
      <c r="AP9" s="1411">
        <v>5052.9780000000001</v>
      </c>
      <c r="AQ9" s="1412">
        <v>133505.261</v>
      </c>
      <c r="AR9" s="1412">
        <v>29.998999999999999</v>
      </c>
      <c r="AS9" s="1417">
        <v>138588.23800000001</v>
      </c>
      <c r="AT9" s="1411">
        <v>2.0139999999999998</v>
      </c>
      <c r="AU9" s="1412">
        <v>274.09699999999998</v>
      </c>
      <c r="AV9" s="1414">
        <v>0.88400000000000001</v>
      </c>
      <c r="AW9" s="1414">
        <v>152319.05600000001</v>
      </c>
      <c r="AX9" s="1397"/>
    </row>
    <row r="10" spans="1:50" s="1360" customFormat="1" ht="24.95" customHeight="1">
      <c r="A10" s="1410">
        <v>2019</v>
      </c>
      <c r="B10" s="1411">
        <v>65.435000000000002</v>
      </c>
      <c r="C10" s="1412">
        <v>0</v>
      </c>
      <c r="D10" s="1412">
        <v>60418.531999999999</v>
      </c>
      <c r="E10" s="1412" t="s">
        <v>133</v>
      </c>
      <c r="F10" s="1412">
        <v>2310.3200000000002</v>
      </c>
      <c r="G10" s="1413">
        <v>1251.232</v>
      </c>
      <c r="H10" s="1414">
        <v>64045.519</v>
      </c>
      <c r="I10" s="1411">
        <v>32.445</v>
      </c>
      <c r="J10" s="1412" t="s">
        <v>133</v>
      </c>
      <c r="K10" s="1412">
        <v>36321.862999999998</v>
      </c>
      <c r="L10" s="1412" t="s">
        <v>133</v>
      </c>
      <c r="M10" s="1412" t="s">
        <v>133</v>
      </c>
      <c r="N10" s="1412">
        <v>8078.0339999999997</v>
      </c>
      <c r="O10" s="1412">
        <v>298.04899999999998</v>
      </c>
      <c r="P10" s="1413">
        <v>984.87800000000004</v>
      </c>
      <c r="Q10" s="1415">
        <v>0</v>
      </c>
      <c r="R10" s="1414">
        <v>45715.269</v>
      </c>
      <c r="S10" s="1410">
        <v>2019</v>
      </c>
      <c r="T10" s="1411">
        <v>3.3180000000000001</v>
      </c>
      <c r="U10" s="1412">
        <v>35149.332000000002</v>
      </c>
      <c r="V10" s="1412">
        <v>595.12699999999995</v>
      </c>
      <c r="W10" s="1412" t="s">
        <v>133</v>
      </c>
      <c r="X10" s="1412">
        <v>9450.1869999999999</v>
      </c>
      <c r="Y10" s="1413">
        <v>1304.46</v>
      </c>
      <c r="Z10" s="1414">
        <v>46502.423000000003</v>
      </c>
      <c r="AA10" s="1411">
        <v>16.37</v>
      </c>
      <c r="AB10" s="1416">
        <v>38439.284</v>
      </c>
      <c r="AC10" s="1412" t="s">
        <v>133</v>
      </c>
      <c r="AD10" s="1412">
        <v>11349.085999999999</v>
      </c>
      <c r="AE10" s="1412" t="s">
        <v>133</v>
      </c>
      <c r="AF10" s="1412">
        <v>1526.2550000000001</v>
      </c>
      <c r="AG10" s="1414">
        <v>51330.995000000003</v>
      </c>
      <c r="AH10" s="1410">
        <v>2019</v>
      </c>
      <c r="AI10" s="1411">
        <v>23.991</v>
      </c>
      <c r="AJ10" s="1412">
        <v>2592.2249999999999</v>
      </c>
      <c r="AK10" s="1412">
        <v>38864.358</v>
      </c>
      <c r="AL10" s="1412">
        <v>1247.3510000000001</v>
      </c>
      <c r="AM10" s="1412">
        <v>7861.058</v>
      </c>
      <c r="AN10" s="1412">
        <v>324.06299999999999</v>
      </c>
      <c r="AO10" s="1414">
        <v>50913.046000000002</v>
      </c>
      <c r="AP10" s="1411">
        <v>4331.4780000000001</v>
      </c>
      <c r="AQ10" s="1412">
        <v>145909.66899999999</v>
      </c>
      <c r="AR10" s="1412">
        <v>36.176000000000002</v>
      </c>
      <c r="AS10" s="1417">
        <v>150277.323</v>
      </c>
      <c r="AT10" s="1411">
        <v>3.6030000000000002</v>
      </c>
      <c r="AU10" s="1412">
        <v>280.863</v>
      </c>
      <c r="AV10" s="1414">
        <v>0.89800000000000002</v>
      </c>
      <c r="AW10" s="1414">
        <v>153970.36600000001</v>
      </c>
      <c r="AX10" s="1397"/>
    </row>
    <row r="11" spans="1:50" s="1360" customFormat="1" ht="24.95" customHeight="1">
      <c r="A11" s="1410">
        <v>2020</v>
      </c>
      <c r="B11" s="1411">
        <v>59.287999999999997</v>
      </c>
      <c r="C11" s="1412">
        <v>0</v>
      </c>
      <c r="D11" s="1412">
        <v>47988.072</v>
      </c>
      <c r="E11" s="1412" t="s">
        <v>133</v>
      </c>
      <c r="F11" s="1412">
        <v>2190.502</v>
      </c>
      <c r="G11" s="1413">
        <v>1537.5619999999999</v>
      </c>
      <c r="H11" s="1414">
        <v>51775.423999999999</v>
      </c>
      <c r="I11" s="1411">
        <v>28.513000000000002</v>
      </c>
      <c r="J11" s="1412" t="s">
        <v>133</v>
      </c>
      <c r="K11" s="1412">
        <v>35342.285000000003</v>
      </c>
      <c r="L11" s="1412" t="s">
        <v>133</v>
      </c>
      <c r="M11" s="1412" t="s">
        <v>133</v>
      </c>
      <c r="N11" s="1412">
        <v>12425.683000000001</v>
      </c>
      <c r="O11" s="1412">
        <v>125.312</v>
      </c>
      <c r="P11" s="1413">
        <v>889.04</v>
      </c>
      <c r="Q11" s="1415">
        <v>70.838999999999999</v>
      </c>
      <c r="R11" s="1414">
        <v>48881.673000000003</v>
      </c>
      <c r="S11" s="1410">
        <v>2020</v>
      </c>
      <c r="T11" s="1411">
        <v>3.1869999999999998</v>
      </c>
      <c r="U11" s="1412">
        <v>29624.652999999998</v>
      </c>
      <c r="V11" s="1412" t="s">
        <v>133</v>
      </c>
      <c r="W11" s="1412">
        <v>586.62699999999995</v>
      </c>
      <c r="X11" s="1412">
        <v>6933.0349999999999</v>
      </c>
      <c r="Y11" s="1413">
        <v>2827.4349999999999</v>
      </c>
      <c r="Z11" s="1414">
        <v>39974.936999999998</v>
      </c>
      <c r="AA11" s="1411">
        <v>8.4870000000000001</v>
      </c>
      <c r="AB11" s="1416">
        <v>29481.531999999999</v>
      </c>
      <c r="AC11" s="1412" t="s">
        <v>133</v>
      </c>
      <c r="AD11" s="1412">
        <v>12575.949000000001</v>
      </c>
      <c r="AE11" s="1412" t="s">
        <v>133</v>
      </c>
      <c r="AF11" s="1412">
        <v>1363.492</v>
      </c>
      <c r="AG11" s="1414">
        <v>43429.459000000003</v>
      </c>
      <c r="AH11" s="1410">
        <v>2020</v>
      </c>
      <c r="AI11" s="1411">
        <v>13.747</v>
      </c>
      <c r="AJ11" s="1412">
        <v>2094.21</v>
      </c>
      <c r="AK11" s="1412">
        <v>34277.47</v>
      </c>
      <c r="AL11" s="1412">
        <v>1503.944</v>
      </c>
      <c r="AM11" s="1412">
        <v>7321.2809999999999</v>
      </c>
      <c r="AN11" s="1412">
        <v>355.47800000000001</v>
      </c>
      <c r="AO11" s="1414">
        <v>45566.13</v>
      </c>
      <c r="AP11" s="1411">
        <v>4384.2349999999997</v>
      </c>
      <c r="AQ11" s="1412">
        <v>160183.72099999999</v>
      </c>
      <c r="AR11" s="1412">
        <v>42.177</v>
      </c>
      <c r="AS11" s="1417">
        <v>164610.133</v>
      </c>
      <c r="AT11" s="1411">
        <v>4.1680000000000001</v>
      </c>
      <c r="AU11" s="1412">
        <v>279.36099999999999</v>
      </c>
      <c r="AV11" s="1414">
        <v>0.96099999999999997</v>
      </c>
      <c r="AW11" s="1414">
        <v>157639.91500000001</v>
      </c>
      <c r="AX11" s="1397"/>
    </row>
    <row r="12" spans="1:50" s="1360" customFormat="1" ht="24.95" customHeight="1">
      <c r="A12" s="1410">
        <v>2021</v>
      </c>
      <c r="B12" s="1411">
        <v>56.793999999999997</v>
      </c>
      <c r="C12" s="1412" t="s">
        <v>133</v>
      </c>
      <c r="D12" s="1412">
        <v>41986.322</v>
      </c>
      <c r="E12" s="1412" t="s">
        <v>133</v>
      </c>
      <c r="F12" s="1412">
        <v>2333.3510000000001</v>
      </c>
      <c r="G12" s="1412">
        <v>2314.181</v>
      </c>
      <c r="H12" s="1414">
        <v>46690.648000000001</v>
      </c>
      <c r="I12" s="1411">
        <v>29.62</v>
      </c>
      <c r="J12" s="1412" t="s">
        <v>133</v>
      </c>
      <c r="K12" s="1412">
        <v>31851.216</v>
      </c>
      <c r="L12" s="1412" t="s">
        <v>133</v>
      </c>
      <c r="M12" s="1412" t="s">
        <v>133</v>
      </c>
      <c r="N12" s="1412">
        <v>15483.540999999999</v>
      </c>
      <c r="O12" s="1412">
        <v>192.464</v>
      </c>
      <c r="P12" s="1417">
        <v>962.79600000000005</v>
      </c>
      <c r="Q12" s="1413">
        <v>65.846000000000004</v>
      </c>
      <c r="R12" s="1414">
        <v>48585.482000000004</v>
      </c>
      <c r="S12" s="1410">
        <v>2021</v>
      </c>
      <c r="T12" s="1411">
        <v>8.4689999999999994</v>
      </c>
      <c r="U12" s="1412">
        <v>31593.4</v>
      </c>
      <c r="V12" s="1412" t="s">
        <v>133</v>
      </c>
      <c r="W12" s="1412">
        <v>1176.921</v>
      </c>
      <c r="X12" s="1412">
        <v>11307.679</v>
      </c>
      <c r="Y12" s="1412">
        <v>2950.8409999999999</v>
      </c>
      <c r="Z12" s="1414">
        <v>47037.31</v>
      </c>
      <c r="AA12" s="1411">
        <v>13.449</v>
      </c>
      <c r="AB12" s="1416">
        <v>33367.184999999998</v>
      </c>
      <c r="AC12" s="1412" t="s">
        <v>133</v>
      </c>
      <c r="AD12" s="1412">
        <v>16083.901</v>
      </c>
      <c r="AE12" s="1412" t="s">
        <v>133</v>
      </c>
      <c r="AF12" s="1412">
        <v>1516.671</v>
      </c>
      <c r="AG12" s="1414">
        <v>50981.205999999998</v>
      </c>
      <c r="AH12" s="1410">
        <v>2021</v>
      </c>
      <c r="AI12" s="1411">
        <v>4.4489999999999998</v>
      </c>
      <c r="AJ12" s="1412">
        <v>1853.7829999999999</v>
      </c>
      <c r="AK12" s="1412">
        <v>31767.486000000001</v>
      </c>
      <c r="AL12" s="1412">
        <v>1493.8530000000001</v>
      </c>
      <c r="AM12" s="1412">
        <v>8400.0339999999997</v>
      </c>
      <c r="AN12" s="1412">
        <v>523.68499999999995</v>
      </c>
      <c r="AO12" s="1414">
        <v>44043.290999999997</v>
      </c>
      <c r="AP12" s="1411">
        <v>4646.37</v>
      </c>
      <c r="AQ12" s="1412">
        <v>158015.23000000001</v>
      </c>
      <c r="AR12" s="1412">
        <v>71.704999999999998</v>
      </c>
      <c r="AS12" s="1417">
        <v>162733.30600000001</v>
      </c>
      <c r="AT12" s="1411">
        <v>2.758</v>
      </c>
      <c r="AU12" s="1412">
        <v>298.233</v>
      </c>
      <c r="AV12" s="1414">
        <v>0.94799999999999995</v>
      </c>
      <c r="AW12" s="1414">
        <v>176436.30600000001</v>
      </c>
      <c r="AX12" s="1397"/>
    </row>
    <row r="13" spans="1:50" ht="24.95" customHeight="1">
      <c r="A13" s="1410">
        <v>2022</v>
      </c>
      <c r="B13" s="1411">
        <v>47.164000000000001</v>
      </c>
      <c r="C13" s="1412" t="s">
        <v>133</v>
      </c>
      <c r="D13" s="1412">
        <v>40015.218000000001</v>
      </c>
      <c r="E13" s="1412" t="s">
        <v>133</v>
      </c>
      <c r="F13" s="1412">
        <v>2685.2849999999999</v>
      </c>
      <c r="G13" s="1412">
        <v>2124.7530000000002</v>
      </c>
      <c r="H13" s="1414">
        <v>44872.42</v>
      </c>
      <c r="I13" s="1411">
        <v>32.249000000000002</v>
      </c>
      <c r="J13" s="1412" t="s">
        <v>133</v>
      </c>
      <c r="K13" s="1412">
        <v>31693.412</v>
      </c>
      <c r="L13" s="1412" t="s">
        <v>133</v>
      </c>
      <c r="M13" s="1412" t="s">
        <v>133</v>
      </c>
      <c r="N13" s="1412">
        <v>13988.120999999999</v>
      </c>
      <c r="O13" s="1412">
        <v>255.976</v>
      </c>
      <c r="P13" s="1417">
        <v>1076.162</v>
      </c>
      <c r="Q13" s="1413">
        <v>68.94</v>
      </c>
      <c r="R13" s="1414">
        <v>47114.858999999997</v>
      </c>
      <c r="S13" s="1410">
        <v>2022</v>
      </c>
      <c r="T13" s="1411">
        <v>9.3889999999999993</v>
      </c>
      <c r="U13" s="1412">
        <v>29220.476999999999</v>
      </c>
      <c r="V13" s="1412" t="s">
        <v>133</v>
      </c>
      <c r="W13" s="1412">
        <v>1377.345</v>
      </c>
      <c r="X13" s="1412">
        <v>10209.954</v>
      </c>
      <c r="Y13" s="1412">
        <v>2797.4639999999999</v>
      </c>
      <c r="Z13" s="1414">
        <v>43614.629000000001</v>
      </c>
      <c r="AA13" s="1411">
        <v>11.554</v>
      </c>
      <c r="AB13" s="1416">
        <v>33526.22</v>
      </c>
      <c r="AC13" s="1412" t="s">
        <v>133</v>
      </c>
      <c r="AD13" s="1412">
        <v>16657.468000000001</v>
      </c>
      <c r="AE13" s="1412" t="s">
        <v>133</v>
      </c>
      <c r="AF13" s="1412">
        <v>1724.873</v>
      </c>
      <c r="AG13" s="1414">
        <v>51920.114999999998</v>
      </c>
      <c r="AH13" s="1410">
        <v>2022</v>
      </c>
      <c r="AI13" s="1411">
        <v>0</v>
      </c>
      <c r="AJ13" s="1412">
        <v>1870.76</v>
      </c>
      <c r="AK13" s="1412">
        <v>27944.675999999999</v>
      </c>
      <c r="AL13" s="1412">
        <v>351.79300000000001</v>
      </c>
      <c r="AM13" s="1412">
        <v>8702.4490000000005</v>
      </c>
      <c r="AN13" s="1412">
        <v>649.75800000000004</v>
      </c>
      <c r="AO13" s="1414">
        <v>39519.434999999998</v>
      </c>
      <c r="AP13" s="1411">
        <v>4943.0110000000004</v>
      </c>
      <c r="AQ13" s="1412">
        <v>176054.01199999999</v>
      </c>
      <c r="AR13" s="1412">
        <v>88.91</v>
      </c>
      <c r="AS13" s="1417">
        <v>181085.93299999999</v>
      </c>
      <c r="AT13" s="1411">
        <v>0</v>
      </c>
      <c r="AU13" s="1412">
        <v>314.07</v>
      </c>
      <c r="AV13" s="1414">
        <v>0</v>
      </c>
      <c r="AW13" s="1418">
        <v>185958.90400000001</v>
      </c>
    </row>
    <row r="14" spans="1:50" ht="24.95" customHeight="1">
      <c r="A14" s="1410">
        <v>2023</v>
      </c>
      <c r="B14" s="1411">
        <v>31.087</v>
      </c>
      <c r="C14" s="1412" t="s">
        <v>133</v>
      </c>
      <c r="D14" s="1412">
        <v>36646.908000000003</v>
      </c>
      <c r="E14" s="1412" t="s">
        <v>133</v>
      </c>
      <c r="F14" s="1412">
        <v>2322.8780000000002</v>
      </c>
      <c r="G14" s="1412">
        <v>1848.9490000000001</v>
      </c>
      <c r="H14" s="1414">
        <v>40849.822</v>
      </c>
      <c r="I14" s="1411">
        <v>28.913</v>
      </c>
      <c r="J14" s="1412" t="s">
        <v>133</v>
      </c>
      <c r="K14" s="1412">
        <v>31216.623</v>
      </c>
      <c r="L14" s="1412" t="s">
        <v>133</v>
      </c>
      <c r="M14" s="1412" t="s">
        <v>133</v>
      </c>
      <c r="N14" s="1412">
        <v>14869.460999999999</v>
      </c>
      <c r="O14" s="1412">
        <v>74.808999999999997</v>
      </c>
      <c r="P14" s="1417">
        <v>1123.771</v>
      </c>
      <c r="Q14" s="1413">
        <v>63.808999999999997</v>
      </c>
      <c r="R14" s="1414">
        <v>47377.387000000002</v>
      </c>
      <c r="S14" s="1410">
        <v>2023</v>
      </c>
      <c r="T14" s="1411">
        <v>10.372</v>
      </c>
      <c r="U14" s="1412">
        <v>28162.797999999999</v>
      </c>
      <c r="V14" s="1412" t="s">
        <v>133</v>
      </c>
      <c r="W14" s="1412">
        <v>878.10799999999995</v>
      </c>
      <c r="X14" s="1412">
        <v>10174.459999999999</v>
      </c>
      <c r="Y14" s="1412">
        <v>2304.598</v>
      </c>
      <c r="Z14" s="1414">
        <v>41530.336000000003</v>
      </c>
      <c r="AA14" s="1411">
        <v>10.893000000000001</v>
      </c>
      <c r="AB14" s="1416">
        <v>25755.79</v>
      </c>
      <c r="AC14" s="1412" t="s">
        <v>133</v>
      </c>
      <c r="AD14" s="1412">
        <v>12356.615</v>
      </c>
      <c r="AE14" s="1412" t="s">
        <v>133</v>
      </c>
      <c r="AF14" s="1412">
        <v>1764.7190000000001</v>
      </c>
      <c r="AG14" s="1414">
        <v>39888.016000000003</v>
      </c>
      <c r="AH14" s="1410">
        <v>2023</v>
      </c>
      <c r="AI14" s="1411" t="s">
        <v>133</v>
      </c>
      <c r="AJ14" s="1412">
        <v>1875.8879999999999</v>
      </c>
      <c r="AK14" s="1412">
        <v>27197.268</v>
      </c>
      <c r="AL14" s="1412" t="s">
        <v>133</v>
      </c>
      <c r="AM14" s="1412">
        <v>6225.8829999999998</v>
      </c>
      <c r="AN14" s="1412">
        <v>678.12800000000004</v>
      </c>
      <c r="AO14" s="1414">
        <v>35977.165999999997</v>
      </c>
      <c r="AP14" s="1411">
        <v>5006.07</v>
      </c>
      <c r="AQ14" s="1412">
        <v>180494.09599999999</v>
      </c>
      <c r="AR14" s="1412">
        <v>129.49</v>
      </c>
      <c r="AS14" s="1417">
        <v>185629.65599999999</v>
      </c>
      <c r="AT14" s="1411">
        <v>2.1579999999999999</v>
      </c>
      <c r="AU14" s="1412">
        <v>314.98</v>
      </c>
      <c r="AV14" s="1414">
        <v>1.024</v>
      </c>
      <c r="AW14" s="1418">
        <v>196475.96</v>
      </c>
    </row>
    <row r="15" spans="1:50" ht="24.95" customHeight="1">
      <c r="A15" s="1410">
        <v>2024</v>
      </c>
      <c r="B15" s="1411">
        <v>35.985999999999997</v>
      </c>
      <c r="C15" s="1412" t="s">
        <v>133</v>
      </c>
      <c r="D15" s="1412">
        <v>35226.54</v>
      </c>
      <c r="E15" s="1412" t="s">
        <v>133</v>
      </c>
      <c r="F15" s="1412">
        <v>2265.9340000000002</v>
      </c>
      <c r="G15" s="1412">
        <v>2135.4479999999999</v>
      </c>
      <c r="H15" s="1414">
        <v>39663.906999999999</v>
      </c>
      <c r="I15" s="1411">
        <v>23.815000000000001</v>
      </c>
      <c r="J15" s="1412" t="s">
        <v>133</v>
      </c>
      <c r="K15" s="1412">
        <v>30486.101999999999</v>
      </c>
      <c r="L15" s="1412" t="s">
        <v>133</v>
      </c>
      <c r="M15" s="1412" t="s">
        <v>133</v>
      </c>
      <c r="N15" s="1412">
        <v>14626.695</v>
      </c>
      <c r="O15" s="1412">
        <v>2.46</v>
      </c>
      <c r="P15" s="1412">
        <v>1061.991</v>
      </c>
      <c r="Q15" s="1417">
        <v>65.096000000000004</v>
      </c>
      <c r="R15" s="1414">
        <v>46266.159</v>
      </c>
      <c r="S15" s="1410">
        <v>2024</v>
      </c>
      <c r="T15" s="1411">
        <v>11.000999999999999</v>
      </c>
      <c r="U15" s="1412">
        <v>24471.871999999999</v>
      </c>
      <c r="V15" s="1412" t="s">
        <v>133</v>
      </c>
      <c r="W15" s="1412">
        <v>586.42600000000004</v>
      </c>
      <c r="X15" s="1412">
        <v>9293.0849999999991</v>
      </c>
      <c r="Y15" s="1412">
        <v>3678.2809999999999</v>
      </c>
      <c r="Z15" s="1414">
        <v>38040.665000000001</v>
      </c>
      <c r="AA15" s="1411">
        <v>4.5380000000000003</v>
      </c>
      <c r="AB15" s="1416">
        <v>22292.231</v>
      </c>
      <c r="AC15" s="1412" t="s">
        <v>133</v>
      </c>
      <c r="AD15" s="1412">
        <v>13534.763999999999</v>
      </c>
      <c r="AE15" s="1412" t="s">
        <v>133</v>
      </c>
      <c r="AF15" s="1412">
        <v>1888.453</v>
      </c>
      <c r="AG15" s="1414">
        <v>37719.985000000001</v>
      </c>
      <c r="AH15" s="1410">
        <v>2024</v>
      </c>
      <c r="AI15" s="1411" t="s">
        <v>133</v>
      </c>
      <c r="AJ15" s="1412">
        <v>1990.7539999999999</v>
      </c>
      <c r="AK15" s="1412">
        <v>26337.715</v>
      </c>
      <c r="AL15" s="1412" t="s">
        <v>133</v>
      </c>
      <c r="AM15" s="1412">
        <v>6239.9229999999998</v>
      </c>
      <c r="AN15" s="1412">
        <v>695.47500000000002</v>
      </c>
      <c r="AO15" s="1414">
        <v>35263.866000000002</v>
      </c>
      <c r="AP15" s="1411">
        <v>6125.018</v>
      </c>
      <c r="AQ15" s="1412">
        <v>188754.10200000001</v>
      </c>
      <c r="AR15" s="1412">
        <v>275.53699999999998</v>
      </c>
      <c r="AS15" s="1414">
        <v>195154.65599999999</v>
      </c>
      <c r="AT15" s="1411">
        <v>0</v>
      </c>
      <c r="AU15" s="1412">
        <v>326.14499999999998</v>
      </c>
      <c r="AV15" s="1414">
        <v>1.175</v>
      </c>
      <c r="AW15" s="1418">
        <v>203164.12400000001</v>
      </c>
    </row>
    <row r="16" spans="1:50" ht="24.95" customHeight="1">
      <c r="A16" s="1410">
        <v>2025</v>
      </c>
      <c r="B16" s="1411">
        <v>33.140999999999998</v>
      </c>
      <c r="C16" s="1412" t="s">
        <v>133</v>
      </c>
      <c r="D16" s="1412">
        <v>34584.144</v>
      </c>
      <c r="E16" s="1412" t="s">
        <v>133</v>
      </c>
      <c r="F16" s="1412">
        <v>2449.0129999999999</v>
      </c>
      <c r="G16" s="1412">
        <v>2177.3009999999999</v>
      </c>
      <c r="H16" s="1414">
        <v>39243.599000000002</v>
      </c>
      <c r="I16" s="1411">
        <v>28.303000000000001</v>
      </c>
      <c r="J16" s="1412" t="s">
        <v>133</v>
      </c>
      <c r="K16" s="1412">
        <v>29692.19</v>
      </c>
      <c r="L16" s="1412" t="s">
        <v>133</v>
      </c>
      <c r="M16" s="1412" t="s">
        <v>133</v>
      </c>
      <c r="N16" s="1412">
        <v>7920.25</v>
      </c>
      <c r="O16" s="1412" t="s">
        <v>133</v>
      </c>
      <c r="P16" s="1417">
        <v>905.03499999999997</v>
      </c>
      <c r="Q16" s="1417">
        <v>61.637</v>
      </c>
      <c r="R16" s="1414">
        <v>38607.413999999997</v>
      </c>
      <c r="S16" s="1410">
        <v>2025</v>
      </c>
      <c r="T16" s="1411">
        <v>5.5350000000000001</v>
      </c>
      <c r="U16" s="1412">
        <v>26143.722000000002</v>
      </c>
      <c r="V16" s="1412" t="s">
        <v>133</v>
      </c>
      <c r="W16" s="1412" t="s">
        <v>133</v>
      </c>
      <c r="X16" s="1412">
        <v>8927.9060000000009</v>
      </c>
      <c r="Y16" s="1412">
        <v>2951.5050000000001</v>
      </c>
      <c r="Z16" s="1414">
        <v>38028.667999999998</v>
      </c>
      <c r="AA16" s="1411">
        <v>7.1539999999999999</v>
      </c>
      <c r="AB16" s="1416">
        <v>22368.088</v>
      </c>
      <c r="AC16" s="1412" t="s">
        <v>133</v>
      </c>
      <c r="AD16" s="1412">
        <v>13796.499</v>
      </c>
      <c r="AE16" s="1412" t="s">
        <v>133</v>
      </c>
      <c r="AF16" s="1412">
        <v>1888.346</v>
      </c>
      <c r="AG16" s="1414">
        <v>38060.087</v>
      </c>
      <c r="AH16" s="1410">
        <v>2025</v>
      </c>
      <c r="AI16" s="1411" t="s">
        <v>133</v>
      </c>
      <c r="AJ16" s="1412">
        <v>1349.452</v>
      </c>
      <c r="AK16" s="1412">
        <v>27760.381000000001</v>
      </c>
      <c r="AL16" s="1412" t="s">
        <v>133</v>
      </c>
      <c r="AM16" s="1412">
        <v>4577.16</v>
      </c>
      <c r="AN16" s="1412">
        <v>775.851</v>
      </c>
      <c r="AO16" s="1414">
        <v>34462.843000000001</v>
      </c>
      <c r="AP16" s="1411">
        <v>5813.8440000000001</v>
      </c>
      <c r="AQ16" s="1412">
        <v>184692.894</v>
      </c>
      <c r="AR16" s="1412">
        <v>351.22699999999998</v>
      </c>
      <c r="AS16" s="1417">
        <v>190857.965</v>
      </c>
      <c r="AT16" s="1411">
        <v>0</v>
      </c>
      <c r="AU16" s="1412">
        <v>331.47399999999999</v>
      </c>
      <c r="AV16" s="1414">
        <v>1.3049999999999999</v>
      </c>
      <c r="AW16" s="1418">
        <v>216055.68599999999</v>
      </c>
    </row>
    <row r="17" spans="1:50" s="1133" customFormat="1" ht="24" customHeight="1">
      <c r="A17" s="1419" t="s">
        <v>828</v>
      </c>
      <c r="B17" s="1420">
        <v>10.599</v>
      </c>
      <c r="C17" s="1421" t="s">
        <v>133</v>
      </c>
      <c r="D17" s="1421">
        <v>10317.991</v>
      </c>
      <c r="E17" s="1421" t="s">
        <v>133</v>
      </c>
      <c r="F17" s="1421">
        <v>1350.6469999999999</v>
      </c>
      <c r="G17" s="1421">
        <v>751.84299999999996</v>
      </c>
      <c r="H17" s="1422">
        <v>12431.08</v>
      </c>
      <c r="I17" s="1420">
        <v>6.9870000000000001</v>
      </c>
      <c r="J17" s="1421" t="s">
        <v>133</v>
      </c>
      <c r="K17" s="1421">
        <v>7000.7460000000001</v>
      </c>
      <c r="L17" s="1421" t="s">
        <v>133</v>
      </c>
      <c r="M17" s="1421" t="s">
        <v>133</v>
      </c>
      <c r="N17" s="1421">
        <v>3515.8939999999998</v>
      </c>
      <c r="O17" s="1421" t="s">
        <v>133</v>
      </c>
      <c r="P17" s="1421">
        <v>281.92500000000001</v>
      </c>
      <c r="Q17" s="1421">
        <v>21.468</v>
      </c>
      <c r="R17" s="1422">
        <v>10827.02</v>
      </c>
      <c r="S17" s="1419" t="s">
        <v>828</v>
      </c>
      <c r="T17" s="1420">
        <v>2.3610000000000002</v>
      </c>
      <c r="U17" s="1421">
        <v>5420.9870000000001</v>
      </c>
      <c r="V17" s="1421" t="s">
        <v>133</v>
      </c>
      <c r="W17" s="1421" t="s">
        <v>133</v>
      </c>
      <c r="X17" s="1421">
        <v>2849.62</v>
      </c>
      <c r="Y17" s="1421">
        <v>978.99300000000005</v>
      </c>
      <c r="Z17" s="1422">
        <v>9251.9599999999991</v>
      </c>
      <c r="AA17" s="1420">
        <v>1.385</v>
      </c>
      <c r="AB17" s="1421">
        <v>5235.16</v>
      </c>
      <c r="AC17" s="1421" t="s">
        <v>133</v>
      </c>
      <c r="AD17" s="1421">
        <v>3840.7170000000001</v>
      </c>
      <c r="AE17" s="1421" t="s">
        <v>133</v>
      </c>
      <c r="AF17" s="1421">
        <v>682.69600000000003</v>
      </c>
      <c r="AG17" s="1422">
        <v>9759.9590000000007</v>
      </c>
      <c r="AH17" s="1419" t="s">
        <v>828</v>
      </c>
      <c r="AI17" s="1420" t="s">
        <v>133</v>
      </c>
      <c r="AJ17" s="1421">
        <v>363.08800000000002</v>
      </c>
      <c r="AK17" s="1421">
        <v>6997.7089999999998</v>
      </c>
      <c r="AL17" s="1421" t="s">
        <v>133</v>
      </c>
      <c r="AM17" s="1421">
        <v>1828.655</v>
      </c>
      <c r="AN17" s="1421">
        <v>273.93700000000001</v>
      </c>
      <c r="AO17" s="1423">
        <v>9463.3889999999992</v>
      </c>
      <c r="AP17" s="1420">
        <v>1914.5989999999999</v>
      </c>
      <c r="AQ17" s="1421">
        <v>67920.801999999996</v>
      </c>
      <c r="AR17" s="1421">
        <v>113.792</v>
      </c>
      <c r="AS17" s="1422">
        <v>69949.191999999995</v>
      </c>
      <c r="AT17" s="1420">
        <v>0</v>
      </c>
      <c r="AU17" s="1421">
        <v>108.154</v>
      </c>
      <c r="AV17" s="1422">
        <v>0.40500000000000003</v>
      </c>
      <c r="AW17" s="1424">
        <v>72825.107999999993</v>
      </c>
      <c r="AX17" s="1425"/>
    </row>
    <row r="18" spans="1:50" ht="24.95" customHeight="1">
      <c r="A18" s="1426">
        <v>2025.04</v>
      </c>
      <c r="B18" s="1427">
        <v>2.6139999999999999</v>
      </c>
      <c r="C18" s="1428" t="s">
        <v>133</v>
      </c>
      <c r="D18" s="1428">
        <v>2411.8989999999999</v>
      </c>
      <c r="E18" s="1428" t="s">
        <v>133</v>
      </c>
      <c r="F18" s="1428">
        <v>207.22900000000001</v>
      </c>
      <c r="G18" s="1428">
        <v>159.50399999999999</v>
      </c>
      <c r="H18" s="1429">
        <v>2781.2460000000001</v>
      </c>
      <c r="I18" s="1427">
        <v>0.74199999999999999</v>
      </c>
      <c r="J18" s="1428" t="s">
        <v>133</v>
      </c>
      <c r="K18" s="1428">
        <v>1091.134</v>
      </c>
      <c r="L18" s="1428" t="s">
        <v>133</v>
      </c>
      <c r="M18" s="1428" t="s">
        <v>133</v>
      </c>
      <c r="N18" s="1428">
        <v>514.20299999999997</v>
      </c>
      <c r="O18" s="1428" t="s">
        <v>133</v>
      </c>
      <c r="P18" s="1430">
        <v>58.079000000000001</v>
      </c>
      <c r="Q18" s="1430">
        <v>6.5910000000000002</v>
      </c>
      <c r="R18" s="1429">
        <v>1670.749</v>
      </c>
      <c r="S18" s="1426">
        <v>2025.04</v>
      </c>
      <c r="T18" s="1427">
        <v>9.0999999999999998E-2</v>
      </c>
      <c r="U18" s="1428">
        <v>975.32399999999996</v>
      </c>
      <c r="V18" s="1428" t="s">
        <v>133</v>
      </c>
      <c r="W18" s="1428" t="s">
        <v>133</v>
      </c>
      <c r="X18" s="1428">
        <v>711.57600000000002</v>
      </c>
      <c r="Y18" s="1428">
        <v>122.048</v>
      </c>
      <c r="Z18" s="1429">
        <v>1809.039</v>
      </c>
      <c r="AA18" s="1427">
        <v>0.372</v>
      </c>
      <c r="AB18" s="1431">
        <v>1064.5740000000001</v>
      </c>
      <c r="AC18" s="1428" t="s">
        <v>133</v>
      </c>
      <c r="AD18" s="1428">
        <v>1018.45</v>
      </c>
      <c r="AE18" s="1428" t="s">
        <v>133</v>
      </c>
      <c r="AF18" s="1428">
        <v>161.13300000000001</v>
      </c>
      <c r="AG18" s="1429">
        <v>2244.529</v>
      </c>
      <c r="AH18" s="1432">
        <v>2025.04</v>
      </c>
      <c r="AI18" s="1427" t="s">
        <v>133</v>
      </c>
      <c r="AJ18" s="1428">
        <v>85.512</v>
      </c>
      <c r="AK18" s="1428">
        <v>1110.7</v>
      </c>
      <c r="AL18" s="1428" t="s">
        <v>133</v>
      </c>
      <c r="AM18" s="1428">
        <v>460.77100000000002</v>
      </c>
      <c r="AN18" s="1428">
        <v>62.314</v>
      </c>
      <c r="AO18" s="1429">
        <v>1719.297</v>
      </c>
      <c r="AP18" s="1427">
        <v>506.99200000000002</v>
      </c>
      <c r="AQ18" s="1428">
        <v>15930.975</v>
      </c>
      <c r="AR18" s="1428">
        <v>31.132000000000001</v>
      </c>
      <c r="AS18" s="1430">
        <v>16469.098999999998</v>
      </c>
      <c r="AT18" s="1427">
        <v>0</v>
      </c>
      <c r="AU18" s="1428">
        <v>25.37</v>
      </c>
      <c r="AV18" s="1429">
        <v>0.10100000000000001</v>
      </c>
      <c r="AW18" s="1433">
        <v>17821.960999999999</v>
      </c>
      <c r="AX18" s="1425"/>
    </row>
    <row r="19" spans="1:50" ht="24.95" customHeight="1">
      <c r="A19" s="1434">
        <v>2025.05</v>
      </c>
      <c r="B19" s="1411">
        <v>2.8330000000000002</v>
      </c>
      <c r="C19" s="1412" t="s">
        <v>133</v>
      </c>
      <c r="D19" s="1412">
        <v>2915.049</v>
      </c>
      <c r="E19" s="1412" t="s">
        <v>133</v>
      </c>
      <c r="F19" s="1412">
        <v>174.73599999999999</v>
      </c>
      <c r="G19" s="1412">
        <v>185.74100000000001</v>
      </c>
      <c r="H19" s="1414">
        <v>3278.3580000000002</v>
      </c>
      <c r="I19" s="1411">
        <v>1.1679999999999999</v>
      </c>
      <c r="J19" s="1412" t="s">
        <v>133</v>
      </c>
      <c r="K19" s="1412">
        <v>1596.6369999999999</v>
      </c>
      <c r="L19" s="1412" t="s">
        <v>133</v>
      </c>
      <c r="M19" s="1412" t="s">
        <v>133</v>
      </c>
      <c r="N19" s="1412">
        <v>571.43700000000001</v>
      </c>
      <c r="O19" s="1412" t="s">
        <v>133</v>
      </c>
      <c r="P19" s="1417">
        <v>70.775999999999996</v>
      </c>
      <c r="Q19" s="1417">
        <v>3.6659999999999999</v>
      </c>
      <c r="R19" s="1414">
        <v>2243.6849999999999</v>
      </c>
      <c r="S19" s="1434">
        <v>2025.05</v>
      </c>
      <c r="T19" s="1411">
        <v>9.0999999999999998E-2</v>
      </c>
      <c r="U19" s="1412">
        <v>1429.508</v>
      </c>
      <c r="V19" s="1412" t="s">
        <v>133</v>
      </c>
      <c r="W19" s="1412" t="s">
        <v>133</v>
      </c>
      <c r="X19" s="1412">
        <v>860.63499999999999</v>
      </c>
      <c r="Y19" s="1412">
        <v>186.13399999999999</v>
      </c>
      <c r="Z19" s="1414">
        <v>2476.3679999999999</v>
      </c>
      <c r="AA19" s="1411">
        <v>0.34499999999999997</v>
      </c>
      <c r="AB19" s="1416">
        <v>1439.2090000000001</v>
      </c>
      <c r="AC19" s="1412" t="s">
        <v>133</v>
      </c>
      <c r="AD19" s="1412">
        <v>1398.6030000000001</v>
      </c>
      <c r="AE19" s="1412" t="s">
        <v>133</v>
      </c>
      <c r="AF19" s="1412">
        <v>157.03</v>
      </c>
      <c r="AG19" s="1414">
        <v>2995.1869999999999</v>
      </c>
      <c r="AH19" s="1410">
        <v>2025.05</v>
      </c>
      <c r="AI19" s="1411" t="s">
        <v>133</v>
      </c>
      <c r="AJ19" s="1412">
        <v>6.359</v>
      </c>
      <c r="AK19" s="1412">
        <v>1529.4829999999999</v>
      </c>
      <c r="AL19" s="1412" t="s">
        <v>133</v>
      </c>
      <c r="AM19" s="1412">
        <v>383.125</v>
      </c>
      <c r="AN19" s="1412">
        <v>67.936000000000007</v>
      </c>
      <c r="AO19" s="1414">
        <v>1986.904</v>
      </c>
      <c r="AP19" s="1411">
        <v>573.577</v>
      </c>
      <c r="AQ19" s="1412">
        <v>15888.942999999999</v>
      </c>
      <c r="AR19" s="1412">
        <v>30.692</v>
      </c>
      <c r="AS19" s="1417">
        <v>16493.212</v>
      </c>
      <c r="AT19" s="1411">
        <v>0</v>
      </c>
      <c r="AU19" s="1412">
        <v>25.234000000000002</v>
      </c>
      <c r="AV19" s="1414">
        <v>0.105</v>
      </c>
      <c r="AW19" s="1418">
        <v>15908.584000000001</v>
      </c>
    </row>
    <row r="20" spans="1:50" ht="24.95" customHeight="1">
      <c r="A20" s="1434">
        <v>2025.06</v>
      </c>
      <c r="B20" s="1411">
        <v>3.0840000000000001</v>
      </c>
      <c r="C20" s="1412" t="s">
        <v>133</v>
      </c>
      <c r="D20" s="1412">
        <v>2905.2150000000001</v>
      </c>
      <c r="E20" s="1412" t="s">
        <v>133</v>
      </c>
      <c r="F20" s="1412">
        <v>72.134</v>
      </c>
      <c r="G20" s="1412">
        <v>189.09399999999999</v>
      </c>
      <c r="H20" s="1414">
        <v>3169.527</v>
      </c>
      <c r="I20" s="1411">
        <v>2.0859999999999999</v>
      </c>
      <c r="J20" s="1412" t="s">
        <v>133</v>
      </c>
      <c r="K20" s="1412">
        <v>2577.0540000000001</v>
      </c>
      <c r="L20" s="1412" t="s">
        <v>133</v>
      </c>
      <c r="M20" s="1412" t="s">
        <v>133</v>
      </c>
      <c r="N20" s="1412">
        <v>328.89800000000002</v>
      </c>
      <c r="O20" s="1412" t="s">
        <v>133</v>
      </c>
      <c r="P20" s="1417">
        <v>67.804000000000002</v>
      </c>
      <c r="Q20" s="1417">
        <v>6.7450000000000001</v>
      </c>
      <c r="R20" s="1414">
        <v>2982.5859999999998</v>
      </c>
      <c r="S20" s="1434">
        <v>2025.06</v>
      </c>
      <c r="T20" s="1411">
        <v>8.7999999999999995E-2</v>
      </c>
      <c r="U20" s="1412">
        <v>2034.961</v>
      </c>
      <c r="V20" s="1412" t="s">
        <v>133</v>
      </c>
      <c r="W20" s="1412" t="s">
        <v>133</v>
      </c>
      <c r="X20" s="1412">
        <v>671.32399999999996</v>
      </c>
      <c r="Y20" s="1412">
        <v>248.15600000000001</v>
      </c>
      <c r="Z20" s="1414">
        <v>2954.5279999999998</v>
      </c>
      <c r="AA20" s="1411">
        <v>0.50700000000000001</v>
      </c>
      <c r="AB20" s="1416">
        <v>1656.8150000000001</v>
      </c>
      <c r="AC20" s="1412" t="s">
        <v>133</v>
      </c>
      <c r="AD20" s="1412">
        <v>1065.463</v>
      </c>
      <c r="AE20" s="1412" t="s">
        <v>133</v>
      </c>
      <c r="AF20" s="1412">
        <v>107.61799999999999</v>
      </c>
      <c r="AG20" s="1414">
        <v>2830.4029999999998</v>
      </c>
      <c r="AH20" s="1434">
        <v>2025.06</v>
      </c>
      <c r="AI20" s="1411" t="s">
        <v>133</v>
      </c>
      <c r="AJ20" s="1412">
        <v>3.8740000000000001</v>
      </c>
      <c r="AK20" s="1412">
        <v>2061.7669999999998</v>
      </c>
      <c r="AL20" s="1412" t="s">
        <v>133</v>
      </c>
      <c r="AM20" s="1412">
        <v>214.554</v>
      </c>
      <c r="AN20" s="1412">
        <v>70.921999999999997</v>
      </c>
      <c r="AO20" s="1414">
        <v>2351.1179999999999</v>
      </c>
      <c r="AP20" s="1411">
        <v>508.31599999999997</v>
      </c>
      <c r="AQ20" s="1412">
        <v>15062.355</v>
      </c>
      <c r="AR20" s="1412">
        <v>30.13</v>
      </c>
      <c r="AS20" s="1412">
        <v>15600.800999999999</v>
      </c>
      <c r="AT20" s="1411">
        <v>0</v>
      </c>
      <c r="AU20" s="1412">
        <v>25.341000000000001</v>
      </c>
      <c r="AV20" s="1414">
        <v>0.10299999999999999</v>
      </c>
      <c r="AW20" s="1414">
        <v>17596.174999999999</v>
      </c>
      <c r="AX20" s="1163"/>
    </row>
    <row r="21" spans="1:50" ht="24.95" customHeight="1">
      <c r="A21" s="1434">
        <v>2025.07</v>
      </c>
      <c r="B21" s="1411">
        <v>2.7989999999999999</v>
      </c>
      <c r="C21" s="1412" t="s">
        <v>133</v>
      </c>
      <c r="D21" s="1412">
        <v>3887.1709999999998</v>
      </c>
      <c r="E21" s="1412" t="s">
        <v>133</v>
      </c>
      <c r="F21" s="1412">
        <v>99.043999999999997</v>
      </c>
      <c r="G21" s="1412">
        <v>206.90899999999999</v>
      </c>
      <c r="H21" s="1414">
        <v>4195.9229999999998</v>
      </c>
      <c r="I21" s="1411">
        <v>2.65</v>
      </c>
      <c r="J21" s="1412" t="s">
        <v>133</v>
      </c>
      <c r="K21" s="1412">
        <v>3569.9110000000001</v>
      </c>
      <c r="L21" s="1412" t="s">
        <v>133</v>
      </c>
      <c r="M21" s="1412" t="s">
        <v>133</v>
      </c>
      <c r="N21" s="1412">
        <v>619.16899999999998</v>
      </c>
      <c r="O21" s="1412" t="s">
        <v>133</v>
      </c>
      <c r="P21" s="1417">
        <v>79.885000000000005</v>
      </c>
      <c r="Q21" s="1417">
        <v>6.6289999999999996</v>
      </c>
      <c r="R21" s="1414">
        <v>4278.2449999999999</v>
      </c>
      <c r="S21" s="1434">
        <v>2025.07</v>
      </c>
      <c r="T21" s="1411">
        <v>0.63600000000000001</v>
      </c>
      <c r="U21" s="1412">
        <v>3191.683</v>
      </c>
      <c r="V21" s="1412" t="s">
        <v>133</v>
      </c>
      <c r="W21" s="1412" t="s">
        <v>133</v>
      </c>
      <c r="X21" s="1412">
        <v>903.92899999999997</v>
      </c>
      <c r="Y21" s="1412">
        <v>275.98700000000002</v>
      </c>
      <c r="Z21" s="1414">
        <v>4372.2349999999997</v>
      </c>
      <c r="AA21" s="1411">
        <v>0.92500000000000004</v>
      </c>
      <c r="AB21" s="1416">
        <v>2665.4749999999999</v>
      </c>
      <c r="AC21" s="1412" t="s">
        <v>133</v>
      </c>
      <c r="AD21" s="1412">
        <v>1526.3679999999999</v>
      </c>
      <c r="AE21" s="1412" t="s">
        <v>133</v>
      </c>
      <c r="AF21" s="1412">
        <v>134.16</v>
      </c>
      <c r="AG21" s="1414">
        <v>4326.9279999999999</v>
      </c>
      <c r="AH21" s="1434">
        <v>2025.07</v>
      </c>
      <c r="AI21" s="1411" t="s">
        <v>133</v>
      </c>
      <c r="AJ21" s="1412">
        <v>137.99600000000001</v>
      </c>
      <c r="AK21" s="1412">
        <v>3033.1750000000002</v>
      </c>
      <c r="AL21" s="1412" t="s">
        <v>133</v>
      </c>
      <c r="AM21" s="1412">
        <v>335.37799999999999</v>
      </c>
      <c r="AN21" s="1412">
        <v>73.774000000000001</v>
      </c>
      <c r="AO21" s="1414">
        <v>3580.3229999999999</v>
      </c>
      <c r="AP21" s="1411">
        <v>464.839</v>
      </c>
      <c r="AQ21" s="1412">
        <v>15253.08</v>
      </c>
      <c r="AR21" s="1412">
        <v>31.751999999999999</v>
      </c>
      <c r="AS21" s="1417">
        <v>15749.671</v>
      </c>
      <c r="AT21" s="1411">
        <v>0</v>
      </c>
      <c r="AU21" s="1412">
        <v>31.11</v>
      </c>
      <c r="AV21" s="1414">
        <v>0.13</v>
      </c>
      <c r="AW21" s="1436">
        <v>20608.600999999999</v>
      </c>
    </row>
    <row r="22" spans="1:50" ht="24.95" customHeight="1">
      <c r="A22" s="1434">
        <v>2025.08</v>
      </c>
      <c r="B22" s="1411">
        <v>2.927</v>
      </c>
      <c r="C22" s="1412" t="s">
        <v>133</v>
      </c>
      <c r="D22" s="1412">
        <v>3750.9679999999998</v>
      </c>
      <c r="E22" s="1412" t="s">
        <v>133</v>
      </c>
      <c r="F22" s="1412">
        <v>70.320999999999998</v>
      </c>
      <c r="G22" s="1412">
        <v>233.76499999999999</v>
      </c>
      <c r="H22" s="1414">
        <v>4057.9810000000002</v>
      </c>
      <c r="I22" s="1411">
        <v>3.9119999999999999</v>
      </c>
      <c r="J22" s="1412" t="s">
        <v>133</v>
      </c>
      <c r="K22" s="1412">
        <v>3692.09</v>
      </c>
      <c r="L22" s="1412" t="s">
        <v>133</v>
      </c>
      <c r="M22" s="1412" t="s">
        <v>133</v>
      </c>
      <c r="N22" s="1412">
        <v>900.23299999999995</v>
      </c>
      <c r="O22" s="1412" t="s">
        <v>133</v>
      </c>
      <c r="P22" s="1417">
        <v>85.798000000000002</v>
      </c>
      <c r="Q22" s="1417">
        <v>4.5540000000000003</v>
      </c>
      <c r="R22" s="1414">
        <v>4686.5860000000002</v>
      </c>
      <c r="S22" s="1434">
        <v>2025.08</v>
      </c>
      <c r="T22" s="1411">
        <v>0.82499999999999996</v>
      </c>
      <c r="U22" s="1412">
        <v>3463.6790000000001</v>
      </c>
      <c r="V22" s="1412" t="s">
        <v>133</v>
      </c>
      <c r="W22" s="1412" t="s">
        <v>133</v>
      </c>
      <c r="X22" s="1412">
        <v>728.50900000000001</v>
      </c>
      <c r="Y22" s="1412">
        <v>309.79000000000002</v>
      </c>
      <c r="Z22" s="1414">
        <v>4502.8040000000001</v>
      </c>
      <c r="AA22" s="1411">
        <v>1.054</v>
      </c>
      <c r="AB22" s="1416">
        <v>2848.53</v>
      </c>
      <c r="AC22" s="1412" t="s">
        <v>133</v>
      </c>
      <c r="AD22" s="1412">
        <v>1686.546</v>
      </c>
      <c r="AE22" s="1412" t="s">
        <v>133</v>
      </c>
      <c r="AF22" s="1412">
        <v>170.749</v>
      </c>
      <c r="AG22" s="1414">
        <v>4706.88</v>
      </c>
      <c r="AH22" s="1434">
        <v>2025.08</v>
      </c>
      <c r="AI22" s="1411" t="s">
        <v>133</v>
      </c>
      <c r="AJ22" s="1412">
        <v>132.542</v>
      </c>
      <c r="AK22" s="1412">
        <v>3411.5990000000002</v>
      </c>
      <c r="AL22" s="1412" t="s">
        <v>133</v>
      </c>
      <c r="AM22" s="1412">
        <v>392.45100000000002</v>
      </c>
      <c r="AN22" s="1412">
        <v>71.415999999999997</v>
      </c>
      <c r="AO22" s="1414">
        <v>4008.009</v>
      </c>
      <c r="AP22" s="1411">
        <v>418.23200000000003</v>
      </c>
      <c r="AQ22" s="1412">
        <v>14068.521000000001</v>
      </c>
      <c r="AR22" s="1412">
        <v>31.88</v>
      </c>
      <c r="AS22" s="1417">
        <v>14518.633</v>
      </c>
      <c r="AT22" s="1411">
        <v>0</v>
      </c>
      <c r="AU22" s="1412">
        <v>32.97</v>
      </c>
      <c r="AV22" s="1414">
        <v>0.13800000000000001</v>
      </c>
      <c r="AW22" s="1436">
        <v>20648.28</v>
      </c>
    </row>
    <row r="23" spans="1:50" ht="24.95" customHeight="1">
      <c r="A23" s="1434">
        <v>2025.09</v>
      </c>
      <c r="B23" s="1411">
        <v>2.9510000000000001</v>
      </c>
      <c r="C23" s="1412" t="s">
        <v>133</v>
      </c>
      <c r="D23" s="1412">
        <v>3466.902</v>
      </c>
      <c r="E23" s="1412" t="s">
        <v>133</v>
      </c>
      <c r="F23" s="1412">
        <v>80.290999999999997</v>
      </c>
      <c r="G23" s="1412">
        <v>138.19</v>
      </c>
      <c r="H23" s="1414">
        <v>3688.3339999999998</v>
      </c>
      <c r="I23" s="1411">
        <v>3.581</v>
      </c>
      <c r="J23" s="1412" t="s">
        <v>133</v>
      </c>
      <c r="K23" s="1412">
        <v>3161.337</v>
      </c>
      <c r="L23" s="1412" t="s">
        <v>133</v>
      </c>
      <c r="M23" s="1412" t="s">
        <v>133</v>
      </c>
      <c r="N23" s="1412">
        <v>369.64699999999999</v>
      </c>
      <c r="O23" s="1412" t="s">
        <v>133</v>
      </c>
      <c r="P23" s="1412">
        <v>69.468999999999994</v>
      </c>
      <c r="Q23" s="1412">
        <v>1.6850000000000001</v>
      </c>
      <c r="R23" s="1414">
        <v>3605.7179999999998</v>
      </c>
      <c r="S23" s="1434">
        <v>2025.09</v>
      </c>
      <c r="T23" s="1411">
        <v>0.72599999999999998</v>
      </c>
      <c r="U23" s="1412">
        <v>3016.4430000000002</v>
      </c>
      <c r="V23" s="1412" t="s">
        <v>133</v>
      </c>
      <c r="W23" s="1412" t="s">
        <v>133</v>
      </c>
      <c r="X23" s="1412">
        <v>530.64700000000005</v>
      </c>
      <c r="Y23" s="1412">
        <v>285.55799999999999</v>
      </c>
      <c r="Z23" s="1414">
        <v>3833.3739999999998</v>
      </c>
      <c r="AA23" s="1411">
        <v>1.556</v>
      </c>
      <c r="AB23" s="1416">
        <v>2984.46</v>
      </c>
      <c r="AC23" s="1412" t="s">
        <v>133</v>
      </c>
      <c r="AD23" s="1412">
        <v>1065.655</v>
      </c>
      <c r="AE23" s="1412" t="s">
        <v>133</v>
      </c>
      <c r="AF23" s="1412">
        <v>161.78700000000001</v>
      </c>
      <c r="AG23" s="1414">
        <v>4213.4579999999996</v>
      </c>
      <c r="AH23" s="1434">
        <v>2025.09</v>
      </c>
      <c r="AI23" s="1411" t="s">
        <v>133</v>
      </c>
      <c r="AJ23" s="1412">
        <v>101.152</v>
      </c>
      <c r="AK23" s="1412">
        <v>3194.1109999999999</v>
      </c>
      <c r="AL23" s="1412" t="s">
        <v>133</v>
      </c>
      <c r="AM23" s="1412">
        <v>253.62100000000001</v>
      </c>
      <c r="AN23" s="1412">
        <v>52.408999999999999</v>
      </c>
      <c r="AO23" s="1414">
        <v>3601.2930000000001</v>
      </c>
      <c r="AP23" s="1411">
        <v>519.51599999999996</v>
      </c>
      <c r="AQ23" s="1412">
        <v>14251.332</v>
      </c>
      <c r="AR23" s="1412">
        <v>28.387</v>
      </c>
      <c r="AS23" s="1414">
        <v>14799.235000000001</v>
      </c>
      <c r="AT23" s="1435">
        <v>0</v>
      </c>
      <c r="AU23" s="1412">
        <v>28.347999999999999</v>
      </c>
      <c r="AV23" s="1414">
        <v>0.11600000000000001</v>
      </c>
      <c r="AW23" s="1436">
        <v>16959.471000000001</v>
      </c>
    </row>
    <row r="24" spans="1:50" ht="24.95" customHeight="1">
      <c r="A24" s="1434">
        <v>2025.1</v>
      </c>
      <c r="B24" s="1411">
        <v>2.7989999999999999</v>
      </c>
      <c r="C24" s="1412" t="s">
        <v>133</v>
      </c>
      <c r="D24" s="1412">
        <v>2345.7620000000002</v>
      </c>
      <c r="E24" s="1412" t="s">
        <v>133</v>
      </c>
      <c r="F24" s="1412">
        <v>78.772000000000006</v>
      </c>
      <c r="G24" s="1412">
        <v>165.268</v>
      </c>
      <c r="H24" s="1414">
        <v>2592.6010000000001</v>
      </c>
      <c r="I24" s="1411">
        <v>2.6019999999999999</v>
      </c>
      <c r="J24" s="1412" t="s">
        <v>133</v>
      </c>
      <c r="K24" s="1412">
        <v>2138.7159999999999</v>
      </c>
      <c r="L24" s="1412" t="s">
        <v>133</v>
      </c>
      <c r="M24" s="1412" t="s">
        <v>133</v>
      </c>
      <c r="N24" s="1412">
        <v>497.80700000000002</v>
      </c>
      <c r="O24" s="1412" t="s">
        <v>133</v>
      </c>
      <c r="P24" s="1417">
        <v>72.820999999999998</v>
      </c>
      <c r="Q24" s="1417">
        <v>6.6669999999999998</v>
      </c>
      <c r="R24" s="1414">
        <v>2718.6129999999998</v>
      </c>
      <c r="S24" s="1434">
        <v>2025.1</v>
      </c>
      <c r="T24" s="1411">
        <v>0.56799999999999995</v>
      </c>
      <c r="U24" s="1412">
        <v>1840.701</v>
      </c>
      <c r="V24" s="1412" t="s">
        <v>133</v>
      </c>
      <c r="W24" s="1412" t="s">
        <v>133</v>
      </c>
      <c r="X24" s="1412">
        <v>870.97699999999998</v>
      </c>
      <c r="Y24" s="1412">
        <v>333.53500000000003</v>
      </c>
      <c r="Z24" s="1414">
        <v>3045.7809999999999</v>
      </c>
      <c r="AA24" s="1411">
        <v>0.69</v>
      </c>
      <c r="AB24" s="1416">
        <v>1770.62</v>
      </c>
      <c r="AC24" s="1412" t="s">
        <v>133</v>
      </c>
      <c r="AD24" s="1412">
        <v>1062.7619999999999</v>
      </c>
      <c r="AE24" s="1412" t="s">
        <v>133</v>
      </c>
      <c r="AF24" s="1412">
        <v>151.36099999999999</v>
      </c>
      <c r="AG24" s="1414">
        <v>2985.4340000000002</v>
      </c>
      <c r="AH24" s="1434">
        <v>2025.1</v>
      </c>
      <c r="AI24" s="1411" t="s">
        <v>133</v>
      </c>
      <c r="AJ24" s="1412">
        <v>97.355000000000004</v>
      </c>
      <c r="AK24" s="1412">
        <v>2586.721</v>
      </c>
      <c r="AL24" s="1412" t="s">
        <v>133</v>
      </c>
      <c r="AM24" s="1412">
        <v>349.55399999999997</v>
      </c>
      <c r="AN24" s="1412">
        <v>44.726999999999997</v>
      </c>
      <c r="AO24" s="1414">
        <v>3078.357</v>
      </c>
      <c r="AP24" s="1411">
        <v>561.39499999999998</v>
      </c>
      <c r="AQ24" s="1412">
        <v>13750.289000000001</v>
      </c>
      <c r="AR24" s="1412">
        <v>28.056999999999999</v>
      </c>
      <c r="AS24" s="1417">
        <v>14339.741</v>
      </c>
      <c r="AT24" s="1411">
        <v>0</v>
      </c>
      <c r="AU24" s="1412">
        <v>26.373999999999999</v>
      </c>
      <c r="AV24" s="1414">
        <v>0.109</v>
      </c>
      <c r="AW24" s="1436">
        <v>16475.164000000001</v>
      </c>
    </row>
    <row r="25" spans="1:50" ht="24.95" customHeight="1">
      <c r="A25" s="1434">
        <v>2025.11</v>
      </c>
      <c r="B25" s="1411">
        <v>2.4980000000000002</v>
      </c>
      <c r="C25" s="1412" t="s">
        <v>133</v>
      </c>
      <c r="D25" s="1412">
        <v>2170.5889999999999</v>
      </c>
      <c r="E25" s="1412" t="s">
        <v>133</v>
      </c>
      <c r="F25" s="1412">
        <v>166.51499999999999</v>
      </c>
      <c r="G25" s="1412">
        <v>127.015</v>
      </c>
      <c r="H25" s="1414">
        <v>2466.6170000000002</v>
      </c>
      <c r="I25" s="1411">
        <v>2.4049999999999998</v>
      </c>
      <c r="J25" s="1412" t="s">
        <v>133</v>
      </c>
      <c r="K25" s="1412">
        <v>2447.6320000000001</v>
      </c>
      <c r="L25" s="1412" t="s">
        <v>133</v>
      </c>
      <c r="M25" s="1412" t="s">
        <v>133</v>
      </c>
      <c r="N25" s="1412">
        <v>578.11300000000006</v>
      </c>
      <c r="O25" s="1412" t="s">
        <v>133</v>
      </c>
      <c r="P25" s="1412">
        <v>89.287000000000006</v>
      </c>
      <c r="Q25" s="1412">
        <v>5.9539999999999997</v>
      </c>
      <c r="R25" s="1414">
        <v>3123.3910000000001</v>
      </c>
      <c r="S25" s="1434">
        <v>2025.11</v>
      </c>
      <c r="T25" s="1411">
        <v>0.124</v>
      </c>
      <c r="U25" s="1412">
        <v>2371.1149999999998</v>
      </c>
      <c r="V25" s="1412" t="s">
        <v>133</v>
      </c>
      <c r="W25" s="1412" t="s">
        <v>133</v>
      </c>
      <c r="X25" s="1412">
        <v>743.327</v>
      </c>
      <c r="Y25" s="1412">
        <v>160.119</v>
      </c>
      <c r="Z25" s="1414">
        <v>3274.6860000000001</v>
      </c>
      <c r="AA25" s="1411">
        <v>0.23899999999999999</v>
      </c>
      <c r="AB25" s="1412">
        <v>1414.03</v>
      </c>
      <c r="AC25" s="1412" t="s">
        <v>133</v>
      </c>
      <c r="AD25" s="1412">
        <v>1248.751</v>
      </c>
      <c r="AE25" s="1412" t="s">
        <v>133</v>
      </c>
      <c r="AF25" s="1412">
        <v>149.28299999999999</v>
      </c>
      <c r="AG25" s="1414">
        <v>2812.3029999999999</v>
      </c>
      <c r="AH25" s="1434">
        <v>2025.11</v>
      </c>
      <c r="AI25" s="1411" t="s">
        <v>133</v>
      </c>
      <c r="AJ25" s="1412">
        <v>257.44299999999998</v>
      </c>
      <c r="AK25" s="1412">
        <v>2143.328</v>
      </c>
      <c r="AL25" s="1412" t="s">
        <v>133</v>
      </c>
      <c r="AM25" s="1412">
        <v>462.14600000000002</v>
      </c>
      <c r="AN25" s="1412">
        <v>52.548000000000002</v>
      </c>
      <c r="AO25" s="1414">
        <v>2915.4650000000001</v>
      </c>
      <c r="AP25" s="1411">
        <v>452.51299999999998</v>
      </c>
      <c r="AQ25" s="1412">
        <v>13057.03</v>
      </c>
      <c r="AR25" s="1412">
        <v>28.759</v>
      </c>
      <c r="AS25" s="1414">
        <v>13538.302</v>
      </c>
      <c r="AT25" s="1411">
        <v>0</v>
      </c>
      <c r="AU25" s="1412">
        <v>25.666</v>
      </c>
      <c r="AV25" s="1414">
        <v>9.8000000000000004E-2</v>
      </c>
      <c r="AW25" s="1436">
        <v>17526.084999999999</v>
      </c>
    </row>
    <row r="26" spans="1:50" ht="24.95" customHeight="1">
      <c r="A26" s="1434">
        <v>2025.12</v>
      </c>
      <c r="B26" s="1411">
        <v>2.6509999999999998</v>
      </c>
      <c r="C26" s="1412" t="s">
        <v>133</v>
      </c>
      <c r="D26" s="1412">
        <v>2824.4960000000001</v>
      </c>
      <c r="E26" s="1412" t="s">
        <v>133</v>
      </c>
      <c r="F26" s="1412">
        <v>356.553</v>
      </c>
      <c r="G26" s="1412">
        <v>179.476</v>
      </c>
      <c r="H26" s="1414">
        <v>3363.1770000000001</v>
      </c>
      <c r="I26" s="1411">
        <v>2.9119999999999999</v>
      </c>
      <c r="J26" s="1412" t="s">
        <v>133</v>
      </c>
      <c r="K26" s="1412">
        <v>3508.067</v>
      </c>
      <c r="L26" s="1412" t="s">
        <v>133</v>
      </c>
      <c r="M26" s="1412" t="s">
        <v>133</v>
      </c>
      <c r="N26" s="1412">
        <v>539.05200000000002</v>
      </c>
      <c r="O26" s="1412" t="s">
        <v>133</v>
      </c>
      <c r="P26" s="1417">
        <v>87.27</v>
      </c>
      <c r="Q26" s="1417">
        <v>4.2690000000000001</v>
      </c>
      <c r="R26" s="1414">
        <v>4141.5690000000004</v>
      </c>
      <c r="S26" s="1434">
        <v>2025.12</v>
      </c>
      <c r="T26" s="1411">
        <v>0.11700000000000001</v>
      </c>
      <c r="U26" s="1412">
        <v>3374.6460000000002</v>
      </c>
      <c r="V26" s="1412" t="s">
        <v>133</v>
      </c>
      <c r="W26" s="1412" t="s">
        <v>133</v>
      </c>
      <c r="X26" s="1412">
        <v>768.93700000000001</v>
      </c>
      <c r="Y26" s="1412">
        <v>173.233</v>
      </c>
      <c r="Z26" s="1414">
        <v>4316.9319999999998</v>
      </c>
      <c r="AA26" s="1411">
        <v>0.45200000000000001</v>
      </c>
      <c r="AB26" s="1416">
        <v>2353.7890000000002</v>
      </c>
      <c r="AC26" s="1412" t="s">
        <v>133</v>
      </c>
      <c r="AD26" s="1412">
        <v>901.63300000000004</v>
      </c>
      <c r="AE26" s="1412" t="s">
        <v>133</v>
      </c>
      <c r="AF26" s="1412">
        <v>173.661</v>
      </c>
      <c r="AG26" s="1414">
        <v>3429.5349999999999</v>
      </c>
      <c r="AH26" s="1434">
        <v>2025.12</v>
      </c>
      <c r="AI26" s="1411" t="s">
        <v>133</v>
      </c>
      <c r="AJ26" s="1412">
        <v>249.642</v>
      </c>
      <c r="AK26" s="1412">
        <v>2802.4859999999999</v>
      </c>
      <c r="AL26" s="1412" t="s">
        <v>133</v>
      </c>
      <c r="AM26" s="1412">
        <v>357.67599999999999</v>
      </c>
      <c r="AN26" s="1412">
        <v>68.180999999999997</v>
      </c>
      <c r="AO26" s="1414">
        <v>3477.9850000000001</v>
      </c>
      <c r="AP26" s="1411">
        <v>400.858</v>
      </c>
      <c r="AQ26" s="1412">
        <v>15440.541999999999</v>
      </c>
      <c r="AR26" s="1412">
        <v>27.779</v>
      </c>
      <c r="AS26" s="1417">
        <v>15869.178</v>
      </c>
      <c r="AT26" s="1411">
        <v>0</v>
      </c>
      <c r="AU26" s="1412">
        <v>28.276</v>
      </c>
      <c r="AV26" s="1414">
        <v>0.10199999999999999</v>
      </c>
      <c r="AW26" s="1436">
        <v>17508.217000000001</v>
      </c>
    </row>
    <row r="27" spans="1:50" ht="24.95" customHeight="1">
      <c r="A27" s="1437" t="s">
        <v>829</v>
      </c>
      <c r="B27" s="1438">
        <v>10.494999999999999</v>
      </c>
      <c r="C27" s="1439" t="s">
        <v>133</v>
      </c>
      <c r="D27" s="1439">
        <v>10605.656999999999</v>
      </c>
      <c r="E27" s="1439" t="s">
        <v>133</v>
      </c>
      <c r="F27" s="1439">
        <v>1137.373</v>
      </c>
      <c r="G27" s="1439">
        <v>699.75300000000004</v>
      </c>
      <c r="H27" s="1440">
        <v>12453.279</v>
      </c>
      <c r="I27" s="1438">
        <v>7.681</v>
      </c>
      <c r="J27" s="1439" t="s">
        <v>133</v>
      </c>
      <c r="K27" s="1439">
        <v>8866.4529999999995</v>
      </c>
      <c r="L27" s="1439" t="s">
        <v>133</v>
      </c>
      <c r="M27" s="1439" t="s">
        <v>133</v>
      </c>
      <c r="N27" s="1439">
        <v>3955.1610000000001</v>
      </c>
      <c r="O27" s="1439" t="s">
        <v>133</v>
      </c>
      <c r="P27" s="1441">
        <v>261.92399999999998</v>
      </c>
      <c r="Q27" s="1441">
        <v>22.529</v>
      </c>
      <c r="R27" s="1440">
        <v>13113.746999999999</v>
      </c>
      <c r="S27" s="1437" t="s">
        <v>829</v>
      </c>
      <c r="T27" s="1438">
        <v>1.1180000000000001</v>
      </c>
      <c r="U27" s="1439">
        <v>8564.1759999999995</v>
      </c>
      <c r="V27" s="1439" t="s">
        <v>133</v>
      </c>
      <c r="W27" s="1439" t="s">
        <v>133</v>
      </c>
      <c r="X27" s="1439">
        <v>4110.491</v>
      </c>
      <c r="Y27" s="1439">
        <v>485.74599999999998</v>
      </c>
      <c r="Z27" s="1440">
        <v>13161.531999999999</v>
      </c>
      <c r="AA27" s="1438">
        <v>1.728</v>
      </c>
      <c r="AB27" s="1442">
        <v>7788.7169999999996</v>
      </c>
      <c r="AC27" s="1439" t="s">
        <v>133</v>
      </c>
      <c r="AD27" s="1439">
        <v>3915.15</v>
      </c>
      <c r="AE27" s="1439" t="s">
        <v>133</v>
      </c>
      <c r="AF27" s="1439">
        <v>646.80899999999997</v>
      </c>
      <c r="AG27" s="1440">
        <v>12352.404</v>
      </c>
      <c r="AH27" s="1437" t="s">
        <v>829</v>
      </c>
      <c r="AI27" s="1438" t="s">
        <v>133</v>
      </c>
      <c r="AJ27" s="1439">
        <v>17.053999999999998</v>
      </c>
      <c r="AK27" s="1439">
        <v>9472.2780000000002</v>
      </c>
      <c r="AL27" s="1439" t="s">
        <v>133</v>
      </c>
      <c r="AM27" s="1439">
        <v>2585.9859999999999</v>
      </c>
      <c r="AN27" s="1439">
        <v>273.149</v>
      </c>
      <c r="AO27" s="1440">
        <v>12348.466</v>
      </c>
      <c r="AP27" s="1438">
        <v>1353.8589999999999</v>
      </c>
      <c r="AQ27" s="1439">
        <v>53576.692000000003</v>
      </c>
      <c r="AR27" s="1439">
        <v>117.89400000000001</v>
      </c>
      <c r="AS27" s="1441">
        <v>55048.445</v>
      </c>
      <c r="AT27" s="1438">
        <v>0</v>
      </c>
      <c r="AU27" s="1439">
        <v>106.06699999999999</v>
      </c>
      <c r="AV27" s="1440">
        <v>0.41</v>
      </c>
      <c r="AW27" s="2783">
        <v>74858.971999999994</v>
      </c>
    </row>
    <row r="28" spans="1:50" ht="24.95" customHeight="1">
      <c r="A28" s="1426">
        <v>2026.01</v>
      </c>
      <c r="B28" s="1427">
        <v>3.23</v>
      </c>
      <c r="C28" s="1428" t="s">
        <v>133</v>
      </c>
      <c r="D28" s="1428">
        <v>3259.6959999999999</v>
      </c>
      <c r="E28" s="1428" t="s">
        <v>133</v>
      </c>
      <c r="F28" s="1428">
        <v>482.25799999999998</v>
      </c>
      <c r="G28" s="1428">
        <v>217.173</v>
      </c>
      <c r="H28" s="1429">
        <v>3962.357</v>
      </c>
      <c r="I28" s="1427">
        <v>2.605</v>
      </c>
      <c r="J28" s="1428" t="s">
        <v>133</v>
      </c>
      <c r="K28" s="1428">
        <v>3099.1480000000001</v>
      </c>
      <c r="L28" s="1428" t="s">
        <v>133</v>
      </c>
      <c r="M28" s="1428" t="s">
        <v>133</v>
      </c>
      <c r="N28" s="1428">
        <v>1084.242</v>
      </c>
      <c r="O28" s="1428" t="s">
        <v>133</v>
      </c>
      <c r="P28" s="1430">
        <v>71.316999999999993</v>
      </c>
      <c r="Q28" s="1430">
        <v>6.6859999999999999</v>
      </c>
      <c r="R28" s="1429">
        <v>4263.9979999999996</v>
      </c>
      <c r="S28" s="1426">
        <v>2026.01</v>
      </c>
      <c r="T28" s="1427">
        <v>0.13200000000000001</v>
      </c>
      <c r="U28" s="1428">
        <v>2537.8879999999999</v>
      </c>
      <c r="V28" s="1428" t="s">
        <v>133</v>
      </c>
      <c r="W28" s="1428" t="s">
        <v>133</v>
      </c>
      <c r="X28" s="1428">
        <v>1294.2190000000001</v>
      </c>
      <c r="Y28" s="1428">
        <v>153.77000000000001</v>
      </c>
      <c r="Z28" s="1429">
        <v>3986.01</v>
      </c>
      <c r="AA28" s="1427">
        <v>0.36499999999999999</v>
      </c>
      <c r="AB28" s="1431">
        <v>2441.9589999999998</v>
      </c>
      <c r="AC28" s="1428" t="s">
        <v>133</v>
      </c>
      <c r="AD28" s="1428">
        <v>1422.758</v>
      </c>
      <c r="AE28" s="1428" t="s">
        <v>133</v>
      </c>
      <c r="AF28" s="1428">
        <v>171.44800000000001</v>
      </c>
      <c r="AG28" s="1429">
        <v>4036.529</v>
      </c>
      <c r="AH28" s="1426">
        <v>2026.01</v>
      </c>
      <c r="AI28" s="1427" t="s">
        <v>133</v>
      </c>
      <c r="AJ28" s="1428">
        <v>1E-3</v>
      </c>
      <c r="AK28" s="1428">
        <v>3081.7260000000001</v>
      </c>
      <c r="AL28" s="1428" t="s">
        <v>133</v>
      </c>
      <c r="AM28" s="1428">
        <v>729.97400000000005</v>
      </c>
      <c r="AN28" s="1428">
        <v>74.808000000000007</v>
      </c>
      <c r="AO28" s="1429">
        <v>3886.5079999999998</v>
      </c>
      <c r="AP28" s="1427">
        <v>349.07499999999999</v>
      </c>
      <c r="AQ28" s="1428">
        <v>14647.019</v>
      </c>
      <c r="AR28" s="1428">
        <v>28.652999999999999</v>
      </c>
      <c r="AS28" s="1430">
        <v>15024.748</v>
      </c>
      <c r="AT28" s="1427">
        <v>0</v>
      </c>
      <c r="AU28" s="1428">
        <v>29.437999999999999</v>
      </c>
      <c r="AV28" s="1429">
        <v>0.104</v>
      </c>
      <c r="AW28" s="2784">
        <v>19959.724999999999</v>
      </c>
    </row>
    <row r="29" spans="1:50" ht="24.95" customHeight="1">
      <c r="A29" s="1434">
        <v>2026.02</v>
      </c>
      <c r="B29" s="1411">
        <v>2.548</v>
      </c>
      <c r="C29" s="1412" t="s">
        <v>133</v>
      </c>
      <c r="D29" s="1412">
        <v>2353.2660000000001</v>
      </c>
      <c r="E29" s="1412" t="s">
        <v>133</v>
      </c>
      <c r="F29" s="1412">
        <v>388.49</v>
      </c>
      <c r="G29" s="1412">
        <v>160.053</v>
      </c>
      <c r="H29" s="1414">
        <v>2904.3580000000002</v>
      </c>
      <c r="I29" s="1411">
        <v>2.2890000000000001</v>
      </c>
      <c r="J29" s="1412" t="s">
        <v>133</v>
      </c>
      <c r="K29" s="1412">
        <v>2407.3240000000001</v>
      </c>
      <c r="L29" s="1412" t="s">
        <v>133</v>
      </c>
      <c r="M29" s="1412" t="s">
        <v>133</v>
      </c>
      <c r="N29" s="1412">
        <v>1084.636</v>
      </c>
      <c r="O29" s="1412" t="s">
        <v>133</v>
      </c>
      <c r="P29" s="1417">
        <v>69.367999999999995</v>
      </c>
      <c r="Q29" s="1417">
        <v>5.9459999999999997</v>
      </c>
      <c r="R29" s="1414">
        <v>3569.5630000000001</v>
      </c>
      <c r="S29" s="1434">
        <v>2026.02</v>
      </c>
      <c r="T29" s="1411">
        <v>0.26900000000000002</v>
      </c>
      <c r="U29" s="1412">
        <v>2480.902</v>
      </c>
      <c r="V29" s="1412" t="s">
        <v>133</v>
      </c>
      <c r="W29" s="1412" t="s">
        <v>133</v>
      </c>
      <c r="X29" s="1412">
        <v>622.54100000000005</v>
      </c>
      <c r="Y29" s="1412">
        <v>106.883</v>
      </c>
      <c r="Z29" s="1414">
        <v>3210.5940000000001</v>
      </c>
      <c r="AA29" s="1411">
        <v>0.55900000000000005</v>
      </c>
      <c r="AB29" s="1416">
        <v>1905.942</v>
      </c>
      <c r="AC29" s="1412" t="s">
        <v>133</v>
      </c>
      <c r="AD29" s="1412">
        <v>821.60699999999997</v>
      </c>
      <c r="AE29" s="1412" t="s">
        <v>133</v>
      </c>
      <c r="AF29" s="1412">
        <v>152.28100000000001</v>
      </c>
      <c r="AG29" s="1414">
        <v>2880.3879999999999</v>
      </c>
      <c r="AH29" s="1434">
        <v>2026.02</v>
      </c>
      <c r="AI29" s="1411" t="s">
        <v>133</v>
      </c>
      <c r="AJ29" s="1412">
        <v>17.048999999999999</v>
      </c>
      <c r="AK29" s="1412">
        <v>2450.89</v>
      </c>
      <c r="AL29" s="1412" t="s">
        <v>133</v>
      </c>
      <c r="AM29" s="1412">
        <v>607.47299999999996</v>
      </c>
      <c r="AN29" s="1412">
        <v>68.950999999999993</v>
      </c>
      <c r="AO29" s="1414">
        <v>3144.3620000000001</v>
      </c>
      <c r="AP29" s="1411">
        <v>310.846</v>
      </c>
      <c r="AQ29" s="1412">
        <v>12072.444</v>
      </c>
      <c r="AR29" s="1412">
        <v>26.411999999999999</v>
      </c>
      <c r="AS29" s="1417">
        <v>12409.701999999999</v>
      </c>
      <c r="AT29" s="1411">
        <v>0</v>
      </c>
      <c r="AU29" s="1412">
        <v>24.872</v>
      </c>
      <c r="AV29" s="1414">
        <v>9.6000000000000002E-2</v>
      </c>
      <c r="AW29" s="1436">
        <v>17797.669999999998</v>
      </c>
    </row>
    <row r="30" spans="1:50" ht="24.95" customHeight="1">
      <c r="A30" s="1434">
        <v>2026.03</v>
      </c>
      <c r="B30" s="1411">
        <v>2.5739999999999998</v>
      </c>
      <c r="C30" s="1412" t="s">
        <v>133</v>
      </c>
      <c r="D30" s="1412">
        <v>2356.7919999999999</v>
      </c>
      <c r="E30" s="1412" t="s">
        <v>133</v>
      </c>
      <c r="F30" s="1412">
        <v>220.81899999999999</v>
      </c>
      <c r="G30" s="1412">
        <v>138.31100000000001</v>
      </c>
      <c r="H30" s="1414">
        <v>2718.4960000000001</v>
      </c>
      <c r="I30" s="1411">
        <v>1.887</v>
      </c>
      <c r="J30" s="1412" t="s">
        <v>133</v>
      </c>
      <c r="K30" s="1412">
        <v>2037.3920000000001</v>
      </c>
      <c r="L30" s="1412" t="s">
        <v>133</v>
      </c>
      <c r="M30" s="1412" t="s">
        <v>133</v>
      </c>
      <c r="N30" s="1412">
        <v>1082.4580000000001</v>
      </c>
      <c r="O30" s="1412" t="s">
        <v>133</v>
      </c>
      <c r="P30" s="1417">
        <v>69.055999999999997</v>
      </c>
      <c r="Q30" s="1417">
        <v>3.4279999999999999</v>
      </c>
      <c r="R30" s="1414">
        <v>3194.2220000000002</v>
      </c>
      <c r="S30" s="1434">
        <v>2026.03</v>
      </c>
      <c r="T30" s="1411">
        <v>0.11</v>
      </c>
      <c r="U30" s="1412">
        <v>1741.3109999999999</v>
      </c>
      <c r="V30" s="1412" t="s">
        <v>133</v>
      </c>
      <c r="W30" s="1412" t="s">
        <v>133</v>
      </c>
      <c r="X30" s="1412">
        <v>942.12099999999998</v>
      </c>
      <c r="Y30" s="1412">
        <v>116.801</v>
      </c>
      <c r="Z30" s="1414">
        <v>2800.3440000000001</v>
      </c>
      <c r="AA30" s="1411">
        <v>0.51800000000000002</v>
      </c>
      <c r="AB30" s="1416">
        <v>1856.3389999999999</v>
      </c>
      <c r="AC30" s="1412" t="s">
        <v>133</v>
      </c>
      <c r="AD30" s="1412">
        <v>836.44100000000003</v>
      </c>
      <c r="AE30" s="1412" t="s">
        <v>133</v>
      </c>
      <c r="AF30" s="1412">
        <v>161.904</v>
      </c>
      <c r="AG30" s="1414">
        <v>2855.2020000000002</v>
      </c>
      <c r="AH30" s="1434">
        <v>2026.03</v>
      </c>
      <c r="AI30" s="1411" t="s">
        <v>133</v>
      </c>
      <c r="AJ30" s="1412">
        <v>0</v>
      </c>
      <c r="AK30" s="1412">
        <v>2266.2310000000002</v>
      </c>
      <c r="AL30" s="1412" t="s">
        <v>133</v>
      </c>
      <c r="AM30" s="1412">
        <v>679.43899999999996</v>
      </c>
      <c r="AN30" s="1412">
        <v>61.923000000000002</v>
      </c>
      <c r="AO30" s="1414">
        <v>3007.5929999999998</v>
      </c>
      <c r="AP30" s="1411">
        <v>342.995</v>
      </c>
      <c r="AQ30" s="1412">
        <v>13248.62</v>
      </c>
      <c r="AR30" s="1412">
        <v>31.5</v>
      </c>
      <c r="AS30" s="1417">
        <v>13623.115</v>
      </c>
      <c r="AT30" s="1411">
        <v>0</v>
      </c>
      <c r="AU30" s="1412">
        <v>27.082999999999998</v>
      </c>
      <c r="AV30" s="1414">
        <v>0.106</v>
      </c>
      <c r="AW30" s="1436">
        <v>19747.989000000001</v>
      </c>
    </row>
    <row r="31" spans="1:50" ht="24.95" customHeight="1">
      <c r="A31" s="1443">
        <v>2026.04</v>
      </c>
      <c r="B31" s="1444">
        <v>2.1429999999999998</v>
      </c>
      <c r="C31" s="1445" t="s">
        <v>133</v>
      </c>
      <c r="D31" s="1445">
        <v>2635.9029999999998</v>
      </c>
      <c r="E31" s="1445" t="s">
        <v>133</v>
      </c>
      <c r="F31" s="1445">
        <v>45.805999999999997</v>
      </c>
      <c r="G31" s="1445">
        <v>184.21600000000001</v>
      </c>
      <c r="H31" s="1446">
        <v>2868.0680000000002</v>
      </c>
      <c r="I31" s="1444">
        <v>0.89900000000000002</v>
      </c>
      <c r="J31" s="1445" t="s">
        <v>133</v>
      </c>
      <c r="K31" s="1445">
        <v>1322.5889999999999</v>
      </c>
      <c r="L31" s="1445" t="s">
        <v>133</v>
      </c>
      <c r="M31" s="1445" t="s">
        <v>133</v>
      </c>
      <c r="N31" s="1445">
        <v>703.82500000000005</v>
      </c>
      <c r="O31" s="1445" t="s">
        <v>133</v>
      </c>
      <c r="P31" s="1447">
        <v>52.183</v>
      </c>
      <c r="Q31" s="1447">
        <v>6.4690000000000003</v>
      </c>
      <c r="R31" s="1446">
        <v>2085.9639999999999</v>
      </c>
      <c r="S31" s="1443">
        <v>2026.04</v>
      </c>
      <c r="T31" s="1444">
        <v>0.60699999999999998</v>
      </c>
      <c r="U31" s="1445">
        <v>1804.075</v>
      </c>
      <c r="V31" s="1445" t="s">
        <v>133</v>
      </c>
      <c r="W31" s="1445" t="s">
        <v>133</v>
      </c>
      <c r="X31" s="1445">
        <v>1251.6099999999999</v>
      </c>
      <c r="Y31" s="1445">
        <v>108.292</v>
      </c>
      <c r="Z31" s="1446">
        <v>3164.5839999999998</v>
      </c>
      <c r="AA31" s="1444">
        <v>0.28599999999999998</v>
      </c>
      <c r="AB31" s="1448">
        <v>1584.4770000000001</v>
      </c>
      <c r="AC31" s="1445" t="s">
        <v>133</v>
      </c>
      <c r="AD31" s="1445">
        <v>834.34500000000003</v>
      </c>
      <c r="AE31" s="1445" t="s">
        <v>133</v>
      </c>
      <c r="AF31" s="1445">
        <v>161.17599999999999</v>
      </c>
      <c r="AG31" s="1446">
        <v>2580.2840000000001</v>
      </c>
      <c r="AH31" s="1443">
        <v>2026.04</v>
      </c>
      <c r="AI31" s="1444" t="s">
        <v>133</v>
      </c>
      <c r="AJ31" s="1445">
        <v>4.0000000000000001E-3</v>
      </c>
      <c r="AK31" s="1445">
        <v>1673.431</v>
      </c>
      <c r="AL31" s="1445" t="s">
        <v>133</v>
      </c>
      <c r="AM31" s="1445">
        <v>569.101</v>
      </c>
      <c r="AN31" s="1445">
        <v>67.468000000000004</v>
      </c>
      <c r="AO31" s="1446">
        <v>2310.0030000000002</v>
      </c>
      <c r="AP31" s="1444">
        <v>350.94299999999998</v>
      </c>
      <c r="AQ31" s="1445">
        <v>13608.608</v>
      </c>
      <c r="AR31" s="1445">
        <v>31.329000000000001</v>
      </c>
      <c r="AS31" s="1447">
        <v>13990.88</v>
      </c>
      <c r="AT31" s="1444">
        <v>0</v>
      </c>
      <c r="AU31" s="1445">
        <v>24.672999999999998</v>
      </c>
      <c r="AV31" s="1446">
        <v>0.104</v>
      </c>
      <c r="AW31" s="2785">
        <v>17353.587</v>
      </c>
    </row>
    <row r="32" spans="1:50" ht="2.25" customHeight="1">
      <c r="A32" s="1449"/>
      <c r="B32" s="1450"/>
      <c r="C32" s="1450"/>
      <c r="D32" s="1450"/>
      <c r="E32" s="1450"/>
      <c r="F32" s="1450"/>
      <c r="G32" s="1450"/>
      <c r="H32" s="1450"/>
      <c r="I32" s="1450"/>
      <c r="J32" s="1450"/>
      <c r="K32" s="1450"/>
      <c r="L32" s="1450"/>
      <c r="M32" s="1450"/>
      <c r="N32" s="1450"/>
      <c r="O32" s="1450"/>
      <c r="P32" s="1450"/>
      <c r="Q32" s="1450"/>
      <c r="R32" s="1450"/>
      <c r="S32" s="1450"/>
      <c r="T32" s="1450"/>
      <c r="U32" s="1450"/>
      <c r="V32" s="1450"/>
      <c r="W32" s="1450"/>
      <c r="X32" s="1450"/>
      <c r="Y32" s="1450"/>
      <c r="Z32" s="1450"/>
      <c r="AA32" s="1450"/>
      <c r="AB32" s="1450"/>
      <c r="AC32" s="1450"/>
      <c r="AD32" s="1450"/>
      <c r="AE32" s="1450"/>
      <c r="AF32" s="1450"/>
      <c r="AG32" s="1450"/>
      <c r="AH32" s="1450"/>
      <c r="AI32" s="1450"/>
      <c r="AJ32" s="1450"/>
      <c r="AK32" s="1450"/>
      <c r="AL32" s="1450"/>
      <c r="AM32" s="1450"/>
      <c r="AN32" s="1450"/>
      <c r="AO32" s="1450"/>
      <c r="AP32" s="1450"/>
      <c r="AQ32" s="1450"/>
      <c r="AR32" s="1450"/>
      <c r="AS32" s="1450"/>
      <c r="AT32" s="1450"/>
      <c r="AU32" s="1450"/>
      <c r="AV32" s="1450"/>
      <c r="AW32" s="1450"/>
    </row>
    <row r="33" spans="1:49" ht="0.75" hidden="1" customHeight="1">
      <c r="A33" s="532"/>
      <c r="B33" s="532"/>
      <c r="C33" s="532"/>
      <c r="D33" s="532"/>
      <c r="E33" s="532"/>
      <c r="F33" s="532"/>
      <c r="G33" s="532"/>
      <c r="H33" s="532"/>
      <c r="I33" s="532"/>
      <c r="J33" s="532"/>
      <c r="K33" s="532"/>
      <c r="L33" s="532"/>
      <c r="M33" s="532"/>
      <c r="N33" s="532"/>
      <c r="O33" s="532"/>
      <c r="P33" s="532"/>
      <c r="Q33" s="532"/>
      <c r="R33" s="532"/>
      <c r="S33" s="532"/>
      <c r="T33" s="532"/>
      <c r="U33" s="532"/>
      <c r="V33" s="532"/>
      <c r="W33" s="532"/>
      <c r="X33" s="532"/>
      <c r="Y33" s="532"/>
      <c r="Z33" s="532"/>
      <c r="AA33" s="532"/>
      <c r="AB33" s="532"/>
      <c r="AC33" s="532"/>
      <c r="AD33" s="532"/>
      <c r="AE33" s="532"/>
      <c r="AF33" s="532"/>
      <c r="AG33" s="532"/>
      <c r="AH33" s="532"/>
      <c r="AI33" s="532"/>
      <c r="AJ33" s="532"/>
      <c r="AK33" s="532"/>
      <c r="AL33" s="532"/>
      <c r="AM33" s="532"/>
      <c r="AN33" s="532"/>
      <c r="AO33" s="532"/>
      <c r="AP33" s="532"/>
      <c r="AQ33" s="532"/>
      <c r="AR33" s="532"/>
      <c r="AS33" s="532"/>
      <c r="AT33" s="532"/>
      <c r="AU33" s="532"/>
      <c r="AV33" s="450"/>
      <c r="AW33" s="532"/>
    </row>
    <row r="34" spans="1:49" ht="12.95" customHeight="1">
      <c r="A34" s="346" t="s">
        <v>924</v>
      </c>
      <c r="B34" s="346"/>
      <c r="C34" s="346"/>
      <c r="D34" s="346"/>
      <c r="E34" s="346"/>
      <c r="F34" s="346"/>
      <c r="G34" s="346"/>
      <c r="H34" s="346"/>
      <c r="I34" s="346" t="s">
        <v>925</v>
      </c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  <c r="Z34" s="346"/>
      <c r="AA34" s="346"/>
      <c r="AB34" s="346"/>
      <c r="AC34" s="346"/>
      <c r="AD34" s="346"/>
      <c r="AE34" s="346"/>
      <c r="AF34" s="346"/>
      <c r="AG34" s="346"/>
      <c r="AH34" s="346"/>
      <c r="AI34" s="346"/>
      <c r="AJ34" s="346"/>
      <c r="AK34" s="346"/>
      <c r="AL34" s="346"/>
      <c r="AM34" s="346"/>
      <c r="AN34" s="346"/>
      <c r="AO34" s="346"/>
      <c r="AP34" s="346" t="s">
        <v>926</v>
      </c>
      <c r="AQ34" s="346"/>
      <c r="AR34" s="346"/>
      <c r="AS34" s="346"/>
      <c r="AT34" s="346"/>
      <c r="AU34" s="346"/>
      <c r="AV34" s="1451"/>
      <c r="AW34" s="346"/>
    </row>
    <row r="35" spans="1:49" ht="12.95" customHeight="1">
      <c r="A35" s="346"/>
      <c r="B35" s="1452"/>
      <c r="C35" s="1452"/>
      <c r="D35" s="1452"/>
      <c r="E35" s="1452"/>
      <c r="F35" s="1452"/>
      <c r="G35" s="1452"/>
      <c r="H35" s="1452"/>
      <c r="I35" s="1452"/>
      <c r="J35" s="1452"/>
      <c r="K35" s="1452"/>
      <c r="L35" s="1452"/>
      <c r="M35" s="1452"/>
      <c r="N35" s="1452"/>
      <c r="O35" s="1452"/>
      <c r="P35" s="1452"/>
      <c r="Q35" s="1452"/>
      <c r="R35" s="1452"/>
      <c r="S35" s="1452"/>
      <c r="T35" s="1452"/>
      <c r="U35" s="1452"/>
      <c r="V35" s="1452"/>
      <c r="W35" s="1452"/>
      <c r="X35" s="1452"/>
      <c r="Y35" s="1452"/>
      <c r="Z35" s="1452"/>
      <c r="AA35" s="1452"/>
      <c r="AB35" s="1452"/>
      <c r="AC35" s="1452"/>
      <c r="AD35" s="1452"/>
      <c r="AE35" s="1452"/>
      <c r="AF35" s="1452"/>
      <c r="AG35" s="1452"/>
      <c r="AH35" s="1452"/>
      <c r="AI35" s="1452"/>
      <c r="AJ35" s="1452"/>
      <c r="AK35" s="1452"/>
      <c r="AL35" s="1452"/>
      <c r="AM35" s="1452"/>
      <c r="AN35" s="1452"/>
      <c r="AO35" s="1452"/>
      <c r="AP35" s="1452"/>
      <c r="AQ35" s="1452"/>
      <c r="AR35" s="1452"/>
      <c r="AS35" s="1452"/>
      <c r="AT35" s="1452"/>
      <c r="AU35" s="1452"/>
      <c r="AV35" s="1453"/>
      <c r="AW35" s="1452"/>
    </row>
    <row r="37" spans="1:49">
      <c r="B37" s="1454"/>
    </row>
    <row r="38" spans="1:49">
      <c r="Q38" s="1454"/>
    </row>
  </sheetData>
  <mergeCells count="10">
    <mergeCell ref="AH4:AH5"/>
    <mergeCell ref="AI4:AO4"/>
    <mergeCell ref="AP4:AS4"/>
    <mergeCell ref="AT4:AV4"/>
    <mergeCell ref="A4:A5"/>
    <mergeCell ref="B4:H4"/>
    <mergeCell ref="I4:R4"/>
    <mergeCell ref="S4:S5"/>
    <mergeCell ref="T4:Z4"/>
    <mergeCell ref="AA4:AG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6" orientation="portrait" useFirstPageNumber="1" r:id="rId1"/>
  <headerFooter differentOddEven="1" scaleWithDoc="0" alignWithMargins="0">
    <firstFooter>&amp;R&amp;P</firstFooter>
  </headerFooter>
  <colBreaks count="5" manualBreakCount="5">
    <brk id="8" max="33" man="1"/>
    <brk id="18" max="33" man="1"/>
    <brk id="26" max="33" man="1"/>
    <brk id="33" max="33" man="1"/>
    <brk id="41" max="33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635C-598F-4C73-B603-558ED39FBAE8}">
  <sheetPr>
    <tabColor theme="8"/>
  </sheetPr>
  <dimension ref="A1:O41"/>
  <sheetViews>
    <sheetView view="pageBreakPreview" zoomScale="115" zoomScaleNormal="100" zoomScaleSheetLayoutView="11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9.875" style="12" customWidth="1"/>
    <col min="2" max="6" width="10.5" style="12" customWidth="1"/>
    <col min="7" max="8" width="9.875" style="12" customWidth="1"/>
    <col min="9" max="9" width="11" style="12" customWidth="1"/>
    <col min="10" max="12" width="10" style="12" customWidth="1"/>
    <col min="13" max="13" width="2.75" style="12" customWidth="1"/>
    <col min="14" max="18" width="10" style="12" customWidth="1"/>
    <col min="19" max="19" width="2.75" style="12" customWidth="1"/>
    <col min="20" max="26" width="10" style="12" customWidth="1"/>
    <col min="27" max="27" width="2.75" style="12" customWidth="1"/>
    <col min="28" max="32" width="10" style="12" customWidth="1"/>
    <col min="33" max="33" width="2.75" style="12" customWidth="1"/>
    <col min="34" max="45" width="10" style="12" customWidth="1"/>
    <col min="46" max="46" width="8.75" style="12" customWidth="1"/>
    <col min="47" max="69" width="10" style="12" customWidth="1"/>
    <col min="70" max="70" width="2.75" style="12" customWidth="1"/>
    <col min="71" max="75" width="10" style="12" customWidth="1"/>
    <col min="76" max="76" width="2.75" style="12" customWidth="1"/>
    <col min="77" max="83" width="10" style="12" customWidth="1"/>
    <col min="84" max="84" width="2.75" style="12" customWidth="1"/>
    <col min="85" max="89" width="10" style="12" customWidth="1"/>
    <col min="90" max="90" width="2.75" style="12" customWidth="1"/>
    <col min="91" max="102" width="10" style="12" customWidth="1"/>
    <col min="103" max="103" width="8.75" style="12" customWidth="1"/>
    <col min="104" max="120" width="10" style="12" customWidth="1"/>
    <col min="121" max="121" width="2.75" style="12" customWidth="1"/>
    <col min="122" max="128" width="10" style="12" customWidth="1"/>
    <col min="129" max="129" width="2.75" style="12" customWidth="1"/>
    <col min="130" max="134" width="10" style="12" customWidth="1"/>
    <col min="135" max="135" width="2.75" style="12" customWidth="1"/>
    <col min="136" max="147" width="10" style="12" customWidth="1"/>
    <col min="148" max="148" width="8.75" style="12" customWidth="1"/>
    <col min="149" max="169" width="10" style="12" customWidth="1"/>
    <col min="170" max="170" width="8.75" style="12" customWidth="1"/>
    <col min="171" max="190" width="10" style="12" customWidth="1"/>
    <col min="191" max="196" width="8.75" style="12" customWidth="1"/>
    <col min="197" max="16384" width="10" style="12"/>
  </cols>
  <sheetData>
    <row r="1" spans="1:9" ht="20.25">
      <c r="A1" s="609" t="s">
        <v>927</v>
      </c>
      <c r="B1" s="609"/>
      <c r="C1" s="609"/>
      <c r="D1" s="609"/>
      <c r="E1" s="609"/>
      <c r="F1" s="609"/>
    </row>
    <row r="2" spans="1:9" ht="17.25">
      <c r="A2" s="590" t="s">
        <v>928</v>
      </c>
      <c r="B2" s="590"/>
      <c r="C2" s="590"/>
      <c r="D2" s="590"/>
      <c r="E2" s="590"/>
      <c r="F2" s="590"/>
    </row>
    <row r="3" spans="1:9" ht="15" customHeight="1">
      <c r="I3" s="978" t="s">
        <v>929</v>
      </c>
    </row>
    <row r="4" spans="1:9" ht="21.95" customHeight="1">
      <c r="A4" s="980" t="s">
        <v>734</v>
      </c>
      <c r="B4" s="981" t="s">
        <v>12</v>
      </c>
      <c r="C4" s="982" t="s">
        <v>201</v>
      </c>
      <c r="D4" s="982" t="s">
        <v>735</v>
      </c>
      <c r="E4" s="982" t="s">
        <v>202</v>
      </c>
      <c r="F4" s="982" t="s">
        <v>188</v>
      </c>
      <c r="G4" s="982" t="s">
        <v>184</v>
      </c>
      <c r="H4" s="983" t="s">
        <v>112</v>
      </c>
      <c r="I4" s="1456" t="s">
        <v>160</v>
      </c>
    </row>
    <row r="5" spans="1:9" ht="21.95" customHeight="1">
      <c r="A5" s="1457">
        <v>2015</v>
      </c>
      <c r="B5" s="1458">
        <v>164762.416</v>
      </c>
      <c r="C5" s="1459">
        <v>211392.815</v>
      </c>
      <c r="D5" s="1459">
        <v>118694.739</v>
      </c>
      <c r="E5" s="1459">
        <v>19463.668000000001</v>
      </c>
      <c r="F5" s="1459">
        <v>10127.234</v>
      </c>
      <c r="G5" s="1460">
        <v>3650.32</v>
      </c>
      <c r="H5" s="1461" t="s">
        <v>133</v>
      </c>
      <c r="I5" s="1462">
        <v>528091.19200000004</v>
      </c>
    </row>
    <row r="6" spans="1:9" ht="21.95" customHeight="1">
      <c r="A6" s="1457">
        <v>2016</v>
      </c>
      <c r="B6" s="1458">
        <v>161995.10419819999</v>
      </c>
      <c r="C6" s="1459">
        <v>213803.43914500001</v>
      </c>
      <c r="D6" s="1459">
        <v>121018.0721797</v>
      </c>
      <c r="E6" s="1459">
        <v>25836.3173685</v>
      </c>
      <c r="F6" s="1459">
        <v>14000.610826800001</v>
      </c>
      <c r="G6" s="1460">
        <v>3787.3103731000001</v>
      </c>
      <c r="H6" s="1463" t="s">
        <v>133</v>
      </c>
      <c r="I6" s="1462">
        <v>540440.85409130005</v>
      </c>
    </row>
    <row r="7" spans="1:9" ht="21.95" customHeight="1">
      <c r="A7" s="1457">
        <v>2017</v>
      </c>
      <c r="B7" s="1458">
        <v>148426.724823</v>
      </c>
      <c r="C7" s="1459">
        <v>238798.98941139999</v>
      </c>
      <c r="D7" s="1459">
        <v>126038.7076394</v>
      </c>
      <c r="E7" s="1459">
        <v>30816.758147</v>
      </c>
      <c r="F7" s="1459">
        <v>5262.5748182999996</v>
      </c>
      <c r="G7" s="1460">
        <v>4186.352543</v>
      </c>
      <c r="H7" s="1463" t="s">
        <v>133</v>
      </c>
      <c r="I7" s="1462">
        <v>553530.10738219996</v>
      </c>
    </row>
    <row r="8" spans="1:9" ht="21.95" customHeight="1">
      <c r="A8" s="1464">
        <v>2018</v>
      </c>
      <c r="B8" s="1458">
        <v>133505.261383</v>
      </c>
      <c r="C8" s="1459">
        <v>238967.33562649999</v>
      </c>
      <c r="D8" s="1459">
        <v>152924.4948016</v>
      </c>
      <c r="E8" s="1459">
        <v>35598.2014127</v>
      </c>
      <c r="F8" s="1459">
        <v>5740.1785730000001</v>
      </c>
      <c r="G8" s="1460">
        <v>3911.0347799000001</v>
      </c>
      <c r="H8" s="1463" t="s">
        <v>133</v>
      </c>
      <c r="I8" s="1462">
        <v>570646.50657660002</v>
      </c>
    </row>
    <row r="9" spans="1:9" ht="21.95" customHeight="1">
      <c r="A9" s="1464">
        <v>2019</v>
      </c>
      <c r="B9" s="1458">
        <v>145909.66948800001</v>
      </c>
      <c r="C9" s="1459">
        <v>227384.07225190001</v>
      </c>
      <c r="D9" s="1459">
        <v>144354.90479940001</v>
      </c>
      <c r="E9" s="1459">
        <v>36391.581797300001</v>
      </c>
      <c r="F9" s="1459">
        <v>3292.2533444000001</v>
      </c>
      <c r="G9" s="1460">
        <v>3458.3847553000001</v>
      </c>
      <c r="H9" s="1463">
        <v>2249.4383576</v>
      </c>
      <c r="I9" s="1462">
        <v>563040.304794</v>
      </c>
    </row>
    <row r="10" spans="1:9" ht="21.95" customHeight="1">
      <c r="A10" s="1464">
        <v>2020</v>
      </c>
      <c r="B10" s="1458">
        <v>160183.72136719999</v>
      </c>
      <c r="C10" s="1459">
        <v>196332.85714569999</v>
      </c>
      <c r="D10" s="1459">
        <v>145911.17935719999</v>
      </c>
      <c r="E10" s="1459">
        <v>36526.783778500001</v>
      </c>
      <c r="F10" s="1459">
        <v>2255.2989234000001</v>
      </c>
      <c r="G10" s="1460">
        <v>3271.0193528999998</v>
      </c>
      <c r="H10" s="1463">
        <v>7681.3002371000002</v>
      </c>
      <c r="I10" s="1462">
        <v>552162.16016189998</v>
      </c>
    </row>
    <row r="11" spans="1:9" ht="21.95" customHeight="1">
      <c r="A11" s="1464">
        <v>2021</v>
      </c>
      <c r="B11" s="1458">
        <v>158015.23027900001</v>
      </c>
      <c r="C11" s="1459">
        <v>197966.37213239999</v>
      </c>
      <c r="D11" s="1459">
        <v>168378.3146217</v>
      </c>
      <c r="E11" s="1459">
        <v>43095.801162999996</v>
      </c>
      <c r="F11" s="1459">
        <v>2354.4830339</v>
      </c>
      <c r="G11" s="1460">
        <v>3682.9323890999999</v>
      </c>
      <c r="H11" s="1463">
        <v>3316.3547459000001</v>
      </c>
      <c r="I11" s="1462">
        <v>576809.488365</v>
      </c>
    </row>
    <row r="12" spans="1:9" s="1465" customFormat="1" ht="21.95" customHeight="1">
      <c r="A12" s="1464">
        <v>2022</v>
      </c>
      <c r="B12" s="1458">
        <v>176054.01241699999</v>
      </c>
      <c r="C12" s="1459">
        <v>193231.4252314</v>
      </c>
      <c r="D12" s="1459">
        <v>163574.6870605</v>
      </c>
      <c r="E12" s="1459">
        <v>53181.676393299997</v>
      </c>
      <c r="F12" s="1459">
        <v>1965.6224397000001</v>
      </c>
      <c r="G12" s="1460">
        <v>3715.0491631</v>
      </c>
      <c r="H12" s="1463">
        <v>2677.8920910000002</v>
      </c>
      <c r="I12" s="1462">
        <v>594400.36479599995</v>
      </c>
    </row>
    <row r="13" spans="1:9" s="1465" customFormat="1" ht="21.95" customHeight="1">
      <c r="A13" s="1464">
        <v>2023</v>
      </c>
      <c r="B13" s="1458">
        <v>180494.0956502</v>
      </c>
      <c r="C13" s="1459">
        <v>184927.21192860001</v>
      </c>
      <c r="D13" s="1459">
        <v>157749.0219357</v>
      </c>
      <c r="E13" s="1459">
        <v>56562.054121599998</v>
      </c>
      <c r="F13" s="1459">
        <v>1486.5035706000001</v>
      </c>
      <c r="G13" s="1460">
        <v>3783.8770798</v>
      </c>
      <c r="H13" s="1463">
        <v>3043.7390464999999</v>
      </c>
      <c r="I13" s="1462">
        <v>588046.503333</v>
      </c>
    </row>
    <row r="14" spans="1:9" s="1465" customFormat="1" ht="21.95" customHeight="1">
      <c r="A14" s="1464">
        <v>2024</v>
      </c>
      <c r="B14" s="1458">
        <v>188754.10167080001</v>
      </c>
      <c r="C14" s="1459">
        <v>167151.5782242</v>
      </c>
      <c r="D14" s="1459">
        <v>167205.27736909999</v>
      </c>
      <c r="E14" s="1459">
        <v>63192.560778200001</v>
      </c>
      <c r="F14" s="1459">
        <v>1204.1206132</v>
      </c>
      <c r="G14" s="1460">
        <v>4677.2365966999996</v>
      </c>
      <c r="H14" s="1463">
        <v>3415.8082724999999</v>
      </c>
      <c r="I14" s="1466">
        <v>595600.6835246</v>
      </c>
    </row>
    <row r="15" spans="1:9" s="1465" customFormat="1" ht="21.95" customHeight="1">
      <c r="A15" s="1467">
        <v>2025</v>
      </c>
      <c r="B15" s="1468">
        <v>184692.8940912</v>
      </c>
      <c r="C15" s="1469">
        <v>170828.28758209999</v>
      </c>
      <c r="D15" s="1469">
        <v>163110.9830331</v>
      </c>
      <c r="E15" s="1469">
        <v>68118.162471699994</v>
      </c>
      <c r="F15" s="1469">
        <v>1137.8730558</v>
      </c>
      <c r="G15" s="1470">
        <v>4424.1554614999995</v>
      </c>
      <c r="H15" s="1463">
        <v>3336.6836923000001</v>
      </c>
      <c r="I15" s="1471">
        <v>595649.03938770003</v>
      </c>
    </row>
    <row r="16" spans="1:9" ht="23.1" customHeight="1">
      <c r="A16" s="1419" t="s">
        <v>828</v>
      </c>
      <c r="B16" s="1472">
        <v>67920.801529999997</v>
      </c>
      <c r="C16" s="1473">
        <v>42028.617798300002</v>
      </c>
      <c r="D16" s="1473">
        <v>59260.295945600003</v>
      </c>
      <c r="E16" s="1473">
        <v>22243.750200099999</v>
      </c>
      <c r="F16" s="1473">
        <v>389.04602599999998</v>
      </c>
      <c r="G16" s="1473">
        <v>1663.288628</v>
      </c>
      <c r="H16" s="1474">
        <v>1110.4665792999999</v>
      </c>
      <c r="I16" s="1475">
        <v>194616.2667073</v>
      </c>
    </row>
    <row r="17" spans="1:15" ht="23.1" customHeight="1">
      <c r="A17" s="1434">
        <v>2025.04</v>
      </c>
      <c r="B17" s="1458">
        <v>15930.974507999999</v>
      </c>
      <c r="C17" s="1459">
        <v>8145.4910323000004</v>
      </c>
      <c r="D17" s="1459">
        <v>13438.132018599999</v>
      </c>
      <c r="E17" s="1459">
        <v>6267.1139794000001</v>
      </c>
      <c r="F17" s="1459">
        <v>76.597967299999993</v>
      </c>
      <c r="G17" s="1476">
        <v>427.03935419999999</v>
      </c>
      <c r="H17" s="1463">
        <v>256.04145110000002</v>
      </c>
      <c r="I17" s="1477">
        <v>44541.390310800001</v>
      </c>
    </row>
    <row r="18" spans="1:15" ht="23.1" customHeight="1">
      <c r="A18" s="1478">
        <v>2025.05</v>
      </c>
      <c r="B18" s="1479">
        <v>15888.943117999999</v>
      </c>
      <c r="C18" s="1480">
        <v>10508.991614</v>
      </c>
      <c r="D18" s="1480">
        <v>11989.4367716</v>
      </c>
      <c r="E18" s="1480">
        <v>6226.0717326000004</v>
      </c>
      <c r="F18" s="1480">
        <v>112.58751239999999</v>
      </c>
      <c r="G18" s="1476">
        <v>421.6305744</v>
      </c>
      <c r="H18" s="1463">
        <v>259.97505460000002</v>
      </c>
      <c r="I18" s="1477">
        <v>45407.6363776</v>
      </c>
    </row>
    <row r="19" spans="1:15" ht="23.1" customHeight="1">
      <c r="A19" s="1478">
        <v>2025.06</v>
      </c>
      <c r="B19" s="1479">
        <v>15062.355496</v>
      </c>
      <c r="C19" s="1480">
        <v>13762.206184799999</v>
      </c>
      <c r="D19" s="1480">
        <v>11743.814519199999</v>
      </c>
      <c r="E19" s="1480">
        <v>6244.2075047999997</v>
      </c>
      <c r="F19" s="1480">
        <v>106.1031795</v>
      </c>
      <c r="G19" s="1476">
        <v>345.41101200000003</v>
      </c>
      <c r="H19" s="1463">
        <v>246.48554419999999</v>
      </c>
      <c r="I19" s="1477">
        <v>47510.583440499999</v>
      </c>
    </row>
    <row r="20" spans="1:15" ht="23.1" customHeight="1">
      <c r="A20" s="1434">
        <v>2025.07</v>
      </c>
      <c r="B20" s="1458">
        <v>15253.080187</v>
      </c>
      <c r="C20" s="1459">
        <v>20404.6257152</v>
      </c>
      <c r="D20" s="1459">
        <v>14254.402106199999</v>
      </c>
      <c r="E20" s="1459">
        <v>6551.0291360000001</v>
      </c>
      <c r="F20" s="1459">
        <v>81.890715900000004</v>
      </c>
      <c r="G20" s="1476">
        <v>347.45801460000001</v>
      </c>
      <c r="H20" s="1463">
        <v>250.6794672</v>
      </c>
      <c r="I20" s="1477">
        <v>57143.165342</v>
      </c>
    </row>
    <row r="21" spans="1:15" ht="23.1" customHeight="1">
      <c r="A21" s="1434">
        <v>2025.08</v>
      </c>
      <c r="B21" s="1458">
        <v>14068.521081999999</v>
      </c>
      <c r="C21" s="1459">
        <v>21148.7488849</v>
      </c>
      <c r="D21" s="1459">
        <v>15085.8640954</v>
      </c>
      <c r="E21" s="1459">
        <v>6250.6220702000001</v>
      </c>
      <c r="F21" s="1459">
        <v>64.464914800000003</v>
      </c>
      <c r="G21" s="1459">
        <v>297.12438639999999</v>
      </c>
      <c r="H21" s="1463">
        <v>246.93373629999999</v>
      </c>
      <c r="I21" s="1477">
        <v>57162.279170000002</v>
      </c>
    </row>
    <row r="22" spans="1:15" ht="23.1" customHeight="1">
      <c r="A22" s="1434">
        <v>2025.09</v>
      </c>
      <c r="B22" s="1458">
        <v>14251.331740600001</v>
      </c>
      <c r="C22" s="1459">
        <v>19059.850018199999</v>
      </c>
      <c r="D22" s="1459">
        <v>11679.615333399999</v>
      </c>
      <c r="E22" s="1459">
        <v>5113.3602177000002</v>
      </c>
      <c r="F22" s="1459">
        <v>102.59290420000001</v>
      </c>
      <c r="G22" s="1476">
        <v>294.89485830000001</v>
      </c>
      <c r="H22" s="1463">
        <v>227.70098999999999</v>
      </c>
      <c r="I22" s="1477">
        <v>50729.3460624</v>
      </c>
    </row>
    <row r="23" spans="1:15" ht="23.1" customHeight="1">
      <c r="A23" s="1434">
        <v>2025.1</v>
      </c>
      <c r="B23" s="1458">
        <v>13750.288623</v>
      </c>
      <c r="C23" s="1459">
        <v>13425.1218202</v>
      </c>
      <c r="D23" s="1459">
        <v>12241.133242399999</v>
      </c>
      <c r="E23" s="1459">
        <v>5179.6949424000004</v>
      </c>
      <c r="F23" s="1459">
        <v>61.7924565</v>
      </c>
      <c r="G23" s="1476">
        <v>349.06075520000002</v>
      </c>
      <c r="H23" s="1463">
        <v>255.0826089</v>
      </c>
      <c r="I23" s="1477">
        <v>45262.174448600003</v>
      </c>
      <c r="O23" s="602"/>
    </row>
    <row r="24" spans="1:15" ht="23.1" customHeight="1">
      <c r="A24" s="1434">
        <v>2025.11</v>
      </c>
      <c r="B24" s="1458">
        <v>13057.030489000001</v>
      </c>
      <c r="C24" s="1459">
        <v>13262.1666946</v>
      </c>
      <c r="D24" s="1459">
        <v>13263.477907799999</v>
      </c>
      <c r="E24" s="1459">
        <v>5277.2592555000001</v>
      </c>
      <c r="F24" s="1459">
        <v>101.1964275</v>
      </c>
      <c r="G24" s="1476">
        <v>371.08916909999999</v>
      </c>
      <c r="H24" s="1463">
        <v>350.3939469</v>
      </c>
      <c r="I24" s="1477">
        <v>45682.613890400004</v>
      </c>
    </row>
    <row r="25" spans="1:15" ht="23.1" customHeight="1">
      <c r="A25" s="1434">
        <v>2025.12</v>
      </c>
      <c r="B25" s="1458">
        <v>15440.541825599999</v>
      </c>
      <c r="C25" s="1459">
        <v>17227.958852</v>
      </c>
      <c r="D25" s="1459">
        <v>13592.943111500001</v>
      </c>
      <c r="E25" s="1459">
        <v>5032.1674124000001</v>
      </c>
      <c r="F25" s="1459">
        <v>118.1989189</v>
      </c>
      <c r="G25" s="1459">
        <v>334.19806360000001</v>
      </c>
      <c r="H25" s="1481">
        <v>388.96576490000001</v>
      </c>
      <c r="I25" s="1482">
        <v>52134.973948999999</v>
      </c>
    </row>
    <row r="26" spans="1:15" ht="23.1" customHeight="1">
      <c r="A26" s="1437" t="s">
        <v>829</v>
      </c>
      <c r="B26" s="1483">
        <v>53576.692003999997</v>
      </c>
      <c r="C26" s="1484">
        <v>53943.884602300001</v>
      </c>
      <c r="D26" s="1484">
        <v>59485.823437500003</v>
      </c>
      <c r="E26" s="1484">
        <v>23688.318097300002</v>
      </c>
      <c r="F26" s="1484">
        <v>427.12661270000001</v>
      </c>
      <c r="G26" s="1485">
        <v>1114.0737260000001</v>
      </c>
      <c r="H26" s="1486">
        <v>1207.4025995</v>
      </c>
      <c r="I26" s="1487">
        <v>193443.32107919999</v>
      </c>
    </row>
    <row r="27" spans="1:15" ht="23.1" customHeight="1">
      <c r="A27" s="1426">
        <v>2026.01</v>
      </c>
      <c r="B27" s="1488">
        <v>14647.019317</v>
      </c>
      <c r="C27" s="1489">
        <v>16821.4291122</v>
      </c>
      <c r="D27" s="1489">
        <v>17285.041867399999</v>
      </c>
      <c r="E27" s="1489">
        <v>5656.2440268999999</v>
      </c>
      <c r="F27" s="1489">
        <v>107.50173530000001</v>
      </c>
      <c r="G27" s="1490">
        <v>290.48835889999998</v>
      </c>
      <c r="H27" s="1491">
        <v>341.69316509999999</v>
      </c>
      <c r="I27" s="1492">
        <v>55149.417582800001</v>
      </c>
    </row>
    <row r="28" spans="1:15" s="1465" customFormat="1" ht="23.1" customHeight="1">
      <c r="A28" s="1434">
        <v>2026.02</v>
      </c>
      <c r="B28" s="1458">
        <v>12072.444303</v>
      </c>
      <c r="C28" s="1459">
        <v>13629.1676045</v>
      </c>
      <c r="D28" s="1459">
        <v>14203.9767803</v>
      </c>
      <c r="E28" s="1459">
        <v>5366.2450202999999</v>
      </c>
      <c r="F28" s="1459">
        <v>109.2626983</v>
      </c>
      <c r="G28" s="1476">
        <v>259.21215719999998</v>
      </c>
      <c r="H28" s="1463">
        <v>301.29877570000002</v>
      </c>
      <c r="I28" s="1477">
        <v>45941.607339299997</v>
      </c>
    </row>
    <row r="29" spans="1:15" s="1465" customFormat="1" ht="23.1" customHeight="1">
      <c r="A29" s="1434">
        <v>2026.03</v>
      </c>
      <c r="B29" s="1458">
        <v>13248.619886</v>
      </c>
      <c r="C29" s="1459">
        <v>12445.217834999999</v>
      </c>
      <c r="D29" s="1459">
        <v>15362.613155700001</v>
      </c>
      <c r="E29" s="1459">
        <v>6234.0093024999996</v>
      </c>
      <c r="F29" s="1459">
        <v>88.836181699999997</v>
      </c>
      <c r="G29" s="1476">
        <v>288.95121599999999</v>
      </c>
      <c r="H29" s="1463">
        <v>305.90163280000002</v>
      </c>
      <c r="I29" s="1477">
        <v>47974.149209700001</v>
      </c>
    </row>
    <row r="30" spans="1:15" ht="23.1" customHeight="1">
      <c r="A30" s="1443">
        <v>2026.04</v>
      </c>
      <c r="B30" s="1493">
        <v>13608.608498</v>
      </c>
      <c r="C30" s="1494">
        <v>11048.070050599999</v>
      </c>
      <c r="D30" s="1494">
        <v>12634.1916341</v>
      </c>
      <c r="E30" s="1494">
        <v>6431.8197475999996</v>
      </c>
      <c r="F30" s="1494">
        <v>121.52599739999999</v>
      </c>
      <c r="G30" s="1495">
        <v>275.42199390000002</v>
      </c>
      <c r="H30" s="1496">
        <v>258.50902589999998</v>
      </c>
      <c r="I30" s="1497">
        <v>44378.146947499998</v>
      </c>
    </row>
    <row r="31" spans="1:15" ht="3.75" customHeight="1">
      <c r="A31" s="1498"/>
      <c r="B31" s="1498"/>
      <c r="C31" s="1498"/>
      <c r="D31" s="1498"/>
      <c r="E31" s="1498"/>
      <c r="F31" s="1498"/>
      <c r="G31" s="1498"/>
      <c r="H31" s="1498"/>
      <c r="I31" s="1465"/>
    </row>
    <row r="32" spans="1:15" s="1499" customFormat="1" ht="15.95" customHeight="1">
      <c r="A32" s="349" t="s">
        <v>736</v>
      </c>
    </row>
    <row r="33" spans="1:9" s="1499" customFormat="1" ht="15.95" customHeight="1">
      <c r="A33" s="349" t="s">
        <v>930</v>
      </c>
    </row>
    <row r="34" spans="1:9" s="1499" customFormat="1" ht="15.95" customHeight="1">
      <c r="A34" s="1500" t="s">
        <v>931</v>
      </c>
      <c r="B34" s="1501"/>
      <c r="C34" s="1501"/>
      <c r="D34" s="1501"/>
      <c r="E34" s="1501"/>
      <c r="F34" s="1501"/>
    </row>
    <row r="35" spans="1:9" s="1499" customFormat="1" ht="15.95" customHeight="1">
      <c r="A35" s="349" t="s">
        <v>932</v>
      </c>
      <c r="B35" s="1501"/>
      <c r="C35" s="1501"/>
      <c r="D35" s="1501"/>
      <c r="E35" s="1501"/>
      <c r="F35" s="1501"/>
    </row>
    <row r="36" spans="1:9" s="1499" customFormat="1" ht="15.95" customHeight="1">
      <c r="A36" s="349" t="s">
        <v>933</v>
      </c>
      <c r="B36" s="1501"/>
      <c r="C36" s="1501"/>
      <c r="D36" s="1501"/>
      <c r="E36" s="1501"/>
      <c r="F36" s="1501"/>
    </row>
    <row r="37" spans="1:9" ht="12" customHeight="1">
      <c r="A37" s="346"/>
      <c r="B37" s="1182"/>
      <c r="C37" s="1182"/>
      <c r="D37" s="1182"/>
      <c r="E37" s="1182"/>
      <c r="F37" s="1182"/>
      <c r="G37" s="532"/>
      <c r="H37" s="532"/>
      <c r="I37" s="532"/>
    </row>
    <row r="38" spans="1:9" ht="12" customHeight="1">
      <c r="A38" s="1182"/>
      <c r="B38" s="1182"/>
      <c r="C38" s="1182"/>
      <c r="D38" s="1182"/>
      <c r="E38" s="1182"/>
      <c r="F38" s="1182"/>
      <c r="G38" s="532"/>
      <c r="H38" s="532"/>
      <c r="I38" s="532"/>
    </row>
    <row r="39" spans="1:9" ht="18.75" customHeight="1"/>
    <row r="40" spans="1:9" ht="15" customHeight="1"/>
    <row r="41" spans="1:9" ht="12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32" orientation="portrait" useFirstPageNumber="1" r:id="rId1"/>
  <headerFooter differentOddEven="1" scaleWithDoc="0" alignWithMargins="0">
    <firstFooter>&amp;R&amp;P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B8ED-41F2-426B-8C65-506742518105}">
  <sheetPr>
    <tabColor theme="8"/>
  </sheetPr>
  <dimension ref="A1:W44"/>
  <sheetViews>
    <sheetView view="pageBreakPreview" zoomScale="115" zoomScaleNormal="100" zoomScaleSheetLayoutView="11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5.125" style="1066" customWidth="1"/>
    <col min="2" max="2" width="5.125" style="12" customWidth="1"/>
    <col min="3" max="6" width="5.625" style="12" customWidth="1"/>
    <col min="7" max="7" width="5.125" style="12" customWidth="1"/>
    <col min="8" max="8" width="5.625" style="12" customWidth="1"/>
    <col min="9" max="9" width="5.125" style="12" customWidth="1"/>
    <col min="10" max="14" width="5.625" style="12" customWidth="1"/>
    <col min="15" max="15" width="5.125" style="12" customWidth="1"/>
    <col min="16" max="19" width="5.625" style="12" customWidth="1"/>
    <col min="20" max="16384" width="10" style="1066"/>
  </cols>
  <sheetData>
    <row r="1" spans="1:21" s="1502" customFormat="1" ht="20.25" customHeight="1">
      <c r="A1" s="609" t="s">
        <v>934</v>
      </c>
      <c r="C1" s="976"/>
      <c r="D1" s="976"/>
      <c r="E1" s="976"/>
      <c r="F1" s="976"/>
      <c r="G1" s="976"/>
      <c r="H1" s="976"/>
      <c r="I1" s="976"/>
      <c r="J1" s="976"/>
      <c r="K1" s="976"/>
      <c r="L1" s="976"/>
      <c r="M1" s="976"/>
      <c r="N1" s="976"/>
      <c r="O1" s="976"/>
      <c r="P1" s="976"/>
      <c r="Q1" s="976"/>
      <c r="R1" s="976"/>
      <c r="S1" s="976"/>
    </row>
    <row r="2" spans="1:21" ht="17.25" customHeight="1">
      <c r="A2" s="590" t="s">
        <v>935</v>
      </c>
    </row>
    <row r="3" spans="1:21" s="1031" customFormat="1" ht="12.95" customHeight="1">
      <c r="B3" s="12"/>
      <c r="C3" s="438"/>
      <c r="D3" s="1029"/>
      <c r="E3" s="438"/>
      <c r="F3" s="438"/>
      <c r="G3" s="1029"/>
      <c r="H3" s="1029"/>
      <c r="I3" s="1029"/>
      <c r="J3" s="1029"/>
      <c r="K3" s="1029"/>
      <c r="L3" s="1029"/>
      <c r="M3" s="1029"/>
      <c r="N3" s="1029"/>
      <c r="O3" s="1029"/>
      <c r="P3" s="1029"/>
      <c r="Q3" s="1029"/>
      <c r="R3" s="1029"/>
      <c r="S3" s="1503" t="s">
        <v>936</v>
      </c>
    </row>
    <row r="4" spans="1:21" s="1039" customFormat="1" ht="15" customHeight="1">
      <c r="A4" s="1504" t="s">
        <v>937</v>
      </c>
      <c r="B4" s="1505"/>
      <c r="C4" s="1506" t="s">
        <v>938</v>
      </c>
      <c r="D4" s="1507"/>
      <c r="E4" s="1507"/>
      <c r="F4" s="1507"/>
      <c r="G4" s="1507"/>
      <c r="H4" s="1507"/>
      <c r="I4" s="1507"/>
      <c r="J4" s="1508"/>
      <c r="K4" s="1509" t="s">
        <v>939</v>
      </c>
      <c r="L4" s="1507"/>
      <c r="M4" s="1507"/>
      <c r="N4" s="1507"/>
      <c r="O4" s="1507"/>
      <c r="P4" s="1507"/>
      <c r="Q4" s="1507"/>
      <c r="R4" s="1510"/>
      <c r="S4" s="1508"/>
      <c r="T4" s="1039" t="s">
        <v>862</v>
      </c>
    </row>
    <row r="5" spans="1:21" s="1039" customFormat="1" ht="15" customHeight="1">
      <c r="A5" s="1511"/>
      <c r="B5" s="1512"/>
      <c r="C5" s="1513" t="s">
        <v>922</v>
      </c>
      <c r="D5" s="1514" t="s">
        <v>392</v>
      </c>
      <c r="E5" s="1514" t="s">
        <v>399</v>
      </c>
      <c r="F5" s="1514" t="s">
        <v>940</v>
      </c>
      <c r="G5" s="1514" t="s">
        <v>941</v>
      </c>
      <c r="H5" s="1514" t="s">
        <v>194</v>
      </c>
      <c r="I5" s="1514" t="s">
        <v>942</v>
      </c>
      <c r="J5" s="1515" t="s">
        <v>456</v>
      </c>
      <c r="K5" s="1516" t="s">
        <v>922</v>
      </c>
      <c r="L5" s="1514" t="s">
        <v>392</v>
      </c>
      <c r="M5" s="1514" t="s">
        <v>399</v>
      </c>
      <c r="N5" s="1514" t="s">
        <v>940</v>
      </c>
      <c r="O5" s="1514" t="s">
        <v>941</v>
      </c>
      <c r="P5" s="1514" t="s">
        <v>194</v>
      </c>
      <c r="Q5" s="1514" t="s">
        <v>942</v>
      </c>
      <c r="R5" s="1517" t="s">
        <v>841</v>
      </c>
      <c r="S5" s="1515" t="s">
        <v>456</v>
      </c>
    </row>
    <row r="6" spans="1:21" s="1039" customFormat="1" ht="20.100000000000001" customHeight="1">
      <c r="A6" s="1518" t="s">
        <v>943</v>
      </c>
      <c r="B6" s="1519" t="s">
        <v>742</v>
      </c>
      <c r="C6" s="1520">
        <v>0</v>
      </c>
      <c r="D6" s="1521">
        <v>46.524000000000001</v>
      </c>
      <c r="E6" s="1522">
        <v>0</v>
      </c>
      <c r="F6" s="1521">
        <v>5.8</v>
      </c>
      <c r="G6" s="1522">
        <v>0</v>
      </c>
      <c r="H6" s="1521">
        <v>87.23</v>
      </c>
      <c r="I6" s="1522">
        <v>0</v>
      </c>
      <c r="J6" s="1523">
        <v>139.554</v>
      </c>
      <c r="K6" s="1520">
        <v>0</v>
      </c>
      <c r="L6" s="1524">
        <v>19.111822886999999</v>
      </c>
      <c r="M6" s="1521">
        <v>0</v>
      </c>
      <c r="N6" s="1524">
        <v>9.43309584</v>
      </c>
      <c r="O6" s="1521">
        <v>0</v>
      </c>
      <c r="P6" s="1524">
        <v>158.64900728999999</v>
      </c>
      <c r="Q6" s="1521">
        <v>0</v>
      </c>
      <c r="R6" s="1521">
        <v>0</v>
      </c>
      <c r="S6" s="1523">
        <v>187.193926017</v>
      </c>
      <c r="U6" s="1525"/>
    </row>
    <row r="7" spans="1:21" s="1039" customFormat="1" ht="20.100000000000001" customHeight="1">
      <c r="A7" s="1526"/>
      <c r="B7" s="1527" t="s">
        <v>743</v>
      </c>
      <c r="C7" s="1528">
        <v>0.02</v>
      </c>
      <c r="D7" s="1522">
        <v>370.60899999999998</v>
      </c>
      <c r="E7" s="1522">
        <v>0.76200000000000001</v>
      </c>
      <c r="F7" s="1522">
        <v>4.5739999999999998</v>
      </c>
      <c r="G7" s="1522">
        <v>0</v>
      </c>
      <c r="H7" s="1522">
        <v>40.479999999999997</v>
      </c>
      <c r="I7" s="1522">
        <v>0</v>
      </c>
      <c r="J7" s="1529">
        <v>416.44499999999999</v>
      </c>
      <c r="K7" s="1528">
        <v>1.3079999999999999E-3</v>
      </c>
      <c r="L7" s="1530">
        <v>157.94053762499999</v>
      </c>
      <c r="M7" s="1530">
        <v>1.6050000000000001E-3</v>
      </c>
      <c r="N7" s="1530">
        <v>3.4113888559999999</v>
      </c>
      <c r="O7" s="1522">
        <v>0</v>
      </c>
      <c r="P7" s="1530">
        <v>87.833022438</v>
      </c>
      <c r="Q7" s="1522">
        <v>0</v>
      </c>
      <c r="R7" s="1522">
        <v>0</v>
      </c>
      <c r="S7" s="1529">
        <v>249.187861919</v>
      </c>
      <c r="U7" s="1525"/>
    </row>
    <row r="8" spans="1:21" s="1039" customFormat="1" ht="20.100000000000001" customHeight="1">
      <c r="A8" s="1526"/>
      <c r="B8" s="1527" t="s">
        <v>744</v>
      </c>
      <c r="C8" s="1528">
        <v>4.0599999999999996</v>
      </c>
      <c r="D8" s="1522">
        <v>554.56500000000005</v>
      </c>
      <c r="E8" s="1522">
        <v>11.55</v>
      </c>
      <c r="F8" s="1522">
        <v>2.8</v>
      </c>
      <c r="G8" s="1522">
        <v>0</v>
      </c>
      <c r="H8" s="1522">
        <v>4.1100000000000003</v>
      </c>
      <c r="I8" s="1522">
        <v>0</v>
      </c>
      <c r="J8" s="1529">
        <v>577.08500000000004</v>
      </c>
      <c r="K8" s="1528">
        <v>4.5819613920000002</v>
      </c>
      <c r="L8" s="1530">
        <v>246.865738642</v>
      </c>
      <c r="M8" s="1522">
        <v>7.3205466540000002</v>
      </c>
      <c r="N8" s="1530">
        <v>2.04862704</v>
      </c>
      <c r="O8" s="1522">
        <v>0</v>
      </c>
      <c r="P8" s="1530">
        <v>9.8509316669999993</v>
      </c>
      <c r="Q8" s="1522">
        <v>0</v>
      </c>
      <c r="R8" s="1522">
        <v>0</v>
      </c>
      <c r="S8" s="1529">
        <v>270.66780539500002</v>
      </c>
      <c r="U8" s="1525"/>
    </row>
    <row r="9" spans="1:21" s="1039" customFormat="1" ht="20.100000000000001" customHeight="1">
      <c r="A9" s="1526"/>
      <c r="B9" s="1527" t="s">
        <v>745</v>
      </c>
      <c r="C9" s="1528">
        <v>12.599</v>
      </c>
      <c r="D9" s="1522">
        <v>229.125</v>
      </c>
      <c r="E9" s="1522">
        <v>49</v>
      </c>
      <c r="F9" s="1522">
        <v>71.73</v>
      </c>
      <c r="G9" s="1522">
        <v>0</v>
      </c>
      <c r="H9" s="1522">
        <v>274.78500000000003</v>
      </c>
      <c r="I9" s="1522">
        <v>0</v>
      </c>
      <c r="J9" s="1529">
        <v>637.23900000000003</v>
      </c>
      <c r="K9" s="1528">
        <v>6.4950001459999998</v>
      </c>
      <c r="L9" s="1530">
        <v>93.195249435999997</v>
      </c>
      <c r="M9" s="1530">
        <v>9.6797366490000005</v>
      </c>
      <c r="N9" s="1530">
        <v>56.547816214000001</v>
      </c>
      <c r="O9" s="1522">
        <v>0</v>
      </c>
      <c r="P9" s="1530">
        <v>525.86064277599996</v>
      </c>
      <c r="Q9" s="1522">
        <v>0</v>
      </c>
      <c r="R9" s="1522">
        <v>0</v>
      </c>
      <c r="S9" s="1529">
        <v>691.77844522099997</v>
      </c>
    </row>
    <row r="10" spans="1:21" s="1039" customFormat="1" ht="20.100000000000001" customHeight="1">
      <c r="A10" s="1526"/>
      <c r="B10" s="1527" t="s">
        <v>746</v>
      </c>
      <c r="C10" s="1528">
        <v>1.83</v>
      </c>
      <c r="D10" s="1522">
        <v>411.82900000000001</v>
      </c>
      <c r="E10" s="1522">
        <v>0</v>
      </c>
      <c r="F10" s="1522">
        <v>2.12</v>
      </c>
      <c r="G10" s="1522">
        <v>0</v>
      </c>
      <c r="H10" s="1522">
        <v>28.515000000000001</v>
      </c>
      <c r="I10" s="1522">
        <v>0</v>
      </c>
      <c r="J10" s="1529">
        <v>444.29399999999998</v>
      </c>
      <c r="K10" s="1528">
        <v>3.1827883680000002</v>
      </c>
      <c r="L10" s="1530">
        <v>169.53480127500001</v>
      </c>
      <c r="M10" s="1522">
        <v>0</v>
      </c>
      <c r="N10" s="1530">
        <v>0.70074067200000001</v>
      </c>
      <c r="O10" s="1522">
        <v>0</v>
      </c>
      <c r="P10" s="1522">
        <v>67.244765462000004</v>
      </c>
      <c r="Q10" s="1522">
        <v>0</v>
      </c>
      <c r="R10" s="1522">
        <v>0</v>
      </c>
      <c r="S10" s="1529">
        <v>240.663095777</v>
      </c>
    </row>
    <row r="11" spans="1:21" s="1039" customFormat="1" ht="20.100000000000001" customHeight="1">
      <c r="A11" s="1526"/>
      <c r="B11" s="1527" t="s">
        <v>747</v>
      </c>
      <c r="C11" s="1522">
        <v>0</v>
      </c>
      <c r="D11" s="1522">
        <v>75.376000000000005</v>
      </c>
      <c r="E11" s="1522">
        <v>0</v>
      </c>
      <c r="F11" s="1522">
        <v>9.9000000000000005E-2</v>
      </c>
      <c r="G11" s="1522">
        <v>0</v>
      </c>
      <c r="H11" s="1522">
        <v>7.165</v>
      </c>
      <c r="I11" s="1522">
        <v>0</v>
      </c>
      <c r="J11" s="1529">
        <v>82.64</v>
      </c>
      <c r="K11" s="1531">
        <v>0</v>
      </c>
      <c r="L11" s="1530">
        <v>32.030712143999999</v>
      </c>
      <c r="M11" s="1522">
        <v>0</v>
      </c>
      <c r="N11" s="1522">
        <v>2.2936000000000002E-2</v>
      </c>
      <c r="O11" s="1522">
        <v>0</v>
      </c>
      <c r="P11" s="1530">
        <v>49.605855767999998</v>
      </c>
      <c r="Q11" s="1522">
        <v>0</v>
      </c>
      <c r="R11" s="1522">
        <v>0</v>
      </c>
      <c r="S11" s="1529">
        <v>81.659503912000005</v>
      </c>
    </row>
    <row r="12" spans="1:21" s="1039" customFormat="1" ht="20.100000000000001" customHeight="1">
      <c r="A12" s="1526"/>
      <c r="B12" s="1527" t="s">
        <v>748</v>
      </c>
      <c r="C12" s="1528">
        <v>0.3</v>
      </c>
      <c r="D12" s="1522">
        <v>221.31399999999999</v>
      </c>
      <c r="E12" s="1522">
        <v>0</v>
      </c>
      <c r="F12" s="1522">
        <v>0</v>
      </c>
      <c r="G12" s="1522">
        <v>0</v>
      </c>
      <c r="H12" s="1522">
        <v>85.257999999999996</v>
      </c>
      <c r="I12" s="1522">
        <v>0</v>
      </c>
      <c r="J12" s="1529">
        <v>306.87200000000001</v>
      </c>
      <c r="K12" s="1528">
        <v>7.7910119999999999E-3</v>
      </c>
      <c r="L12" s="1530">
        <v>91.954194873000006</v>
      </c>
      <c r="M12" s="1530">
        <v>0</v>
      </c>
      <c r="N12" s="1522">
        <v>0</v>
      </c>
      <c r="O12" s="1522">
        <v>0</v>
      </c>
      <c r="P12" s="1530">
        <v>185.73282090000001</v>
      </c>
      <c r="Q12" s="1522">
        <v>0</v>
      </c>
      <c r="R12" s="1522">
        <v>0</v>
      </c>
      <c r="S12" s="1529">
        <v>277.69480678500003</v>
      </c>
    </row>
    <row r="13" spans="1:21" s="1039" customFormat="1" ht="20.100000000000001" customHeight="1">
      <c r="A13" s="1526"/>
      <c r="B13" s="1527" t="s">
        <v>944</v>
      </c>
      <c r="C13" s="1528">
        <v>2.31</v>
      </c>
      <c r="D13" s="1522">
        <v>105.568</v>
      </c>
      <c r="E13" s="1522">
        <v>0</v>
      </c>
      <c r="F13" s="1522">
        <v>5</v>
      </c>
      <c r="G13" s="1522">
        <v>0</v>
      </c>
      <c r="H13" s="1522">
        <v>5.28</v>
      </c>
      <c r="I13" s="1522">
        <v>0</v>
      </c>
      <c r="J13" s="1529">
        <v>118.158</v>
      </c>
      <c r="K13" s="1531">
        <v>0</v>
      </c>
      <c r="L13" s="1530">
        <v>44.709524866999999</v>
      </c>
      <c r="M13" s="1522">
        <v>0</v>
      </c>
      <c r="N13" s="1530">
        <v>7.7733983999999996</v>
      </c>
      <c r="O13" s="1522">
        <v>0</v>
      </c>
      <c r="P13" s="1530">
        <v>10.347758407000001</v>
      </c>
      <c r="Q13" s="1522">
        <v>0</v>
      </c>
      <c r="R13" s="1522">
        <v>0</v>
      </c>
      <c r="S13" s="1529">
        <v>62.830681673999997</v>
      </c>
    </row>
    <row r="14" spans="1:21" s="1039" customFormat="1" ht="20.100000000000001" customHeight="1">
      <c r="A14" s="1526"/>
      <c r="B14" s="1527" t="s">
        <v>750</v>
      </c>
      <c r="C14" s="1528">
        <v>275.95400000000001</v>
      </c>
      <c r="D14" s="1522">
        <v>2538.7640000000001</v>
      </c>
      <c r="E14" s="1522">
        <v>8.2710000000000008</v>
      </c>
      <c r="F14" s="1522">
        <v>62.523000000000003</v>
      </c>
      <c r="G14" s="1522">
        <v>254</v>
      </c>
      <c r="H14" s="1522">
        <v>377.31</v>
      </c>
      <c r="I14" s="1522">
        <v>0</v>
      </c>
      <c r="J14" s="1529">
        <v>3516.8220000000001</v>
      </c>
      <c r="K14" s="1528">
        <v>147.51493551600001</v>
      </c>
      <c r="L14" s="1530">
        <v>1105.2808638720001</v>
      </c>
      <c r="M14" s="1530">
        <v>0.81689398800000002</v>
      </c>
      <c r="N14" s="1530">
        <v>182.631911148</v>
      </c>
      <c r="O14" s="1522">
        <v>0</v>
      </c>
      <c r="P14" s="1530">
        <v>779.88619156499999</v>
      </c>
      <c r="Q14" s="1522">
        <v>0</v>
      </c>
      <c r="R14" s="1522">
        <v>0</v>
      </c>
      <c r="S14" s="1529">
        <v>2216.1307960889999</v>
      </c>
    </row>
    <row r="15" spans="1:21" s="1039" customFormat="1" ht="20.100000000000001" customHeight="1">
      <c r="A15" s="1526"/>
      <c r="B15" s="1527" t="s">
        <v>751</v>
      </c>
      <c r="C15" s="1528">
        <v>525.84500000000003</v>
      </c>
      <c r="D15" s="1522">
        <v>2129.9340000000002</v>
      </c>
      <c r="E15" s="1522">
        <v>598.99800000000005</v>
      </c>
      <c r="F15" s="1522">
        <v>368.46499999999997</v>
      </c>
      <c r="G15" s="1522">
        <v>0</v>
      </c>
      <c r="H15" s="1522">
        <v>98.495999999999995</v>
      </c>
      <c r="I15" s="1522">
        <v>0</v>
      </c>
      <c r="J15" s="1529">
        <v>3721.7379999999998</v>
      </c>
      <c r="K15" s="1528">
        <v>244.77056800900002</v>
      </c>
      <c r="L15" s="1530">
        <v>902.60546512400003</v>
      </c>
      <c r="M15" s="1522">
        <v>386.59373435499998</v>
      </c>
      <c r="N15" s="1530">
        <v>638.05485704</v>
      </c>
      <c r="O15" s="1522">
        <v>0</v>
      </c>
      <c r="P15" s="1522">
        <v>238.32453638699999</v>
      </c>
      <c r="Q15" s="1522">
        <v>0</v>
      </c>
      <c r="R15" s="1522">
        <v>0</v>
      </c>
      <c r="S15" s="1529">
        <v>2410.3491609150001</v>
      </c>
    </row>
    <row r="16" spans="1:21" s="1039" customFormat="1" ht="20.100000000000001" customHeight="1">
      <c r="A16" s="1526"/>
      <c r="B16" s="1527" t="s">
        <v>752</v>
      </c>
      <c r="C16" s="1528">
        <v>518.83000000000004</v>
      </c>
      <c r="D16" s="1522">
        <v>1871.6990000000001</v>
      </c>
      <c r="E16" s="1522">
        <v>0</v>
      </c>
      <c r="F16" s="1522">
        <v>2.7349999999999999</v>
      </c>
      <c r="G16" s="1522">
        <v>0</v>
      </c>
      <c r="H16" s="1522">
        <v>158.4</v>
      </c>
      <c r="I16" s="1522">
        <v>0</v>
      </c>
      <c r="J16" s="1529">
        <v>2551.6640000000002</v>
      </c>
      <c r="K16" s="1528">
        <v>199.71873339200002</v>
      </c>
      <c r="L16" s="1530">
        <v>812.578531666</v>
      </c>
      <c r="M16" s="1522">
        <v>0</v>
      </c>
      <c r="N16" s="1530">
        <v>2.0427392640000002</v>
      </c>
      <c r="O16" s="1522">
        <v>0</v>
      </c>
      <c r="P16" s="1530">
        <v>364.26454085699999</v>
      </c>
      <c r="Q16" s="1522">
        <v>0</v>
      </c>
      <c r="R16" s="1522">
        <v>0</v>
      </c>
      <c r="S16" s="1529">
        <v>1378.6045451790001</v>
      </c>
    </row>
    <row r="17" spans="1:19" s="1039" customFormat="1" ht="20.100000000000001" customHeight="1">
      <c r="A17" s="1526"/>
      <c r="B17" s="1527" t="s">
        <v>753</v>
      </c>
      <c r="C17" s="1528">
        <v>32.250999999999998</v>
      </c>
      <c r="D17" s="1522">
        <v>4474.8760000000002</v>
      </c>
      <c r="E17" s="1522">
        <v>2</v>
      </c>
      <c r="F17" s="1522">
        <v>383.52</v>
      </c>
      <c r="G17" s="1522">
        <v>0</v>
      </c>
      <c r="H17" s="1522">
        <v>92.29</v>
      </c>
      <c r="I17" s="1522">
        <v>346.33</v>
      </c>
      <c r="J17" s="1529">
        <v>5331.2669999999998</v>
      </c>
      <c r="K17" s="1528">
        <v>13.797503514000001</v>
      </c>
      <c r="L17" s="1530">
        <v>1946.6036710230001</v>
      </c>
      <c r="M17" s="1530">
        <v>1.485E-3</v>
      </c>
      <c r="N17" s="1530">
        <v>833.73336568599996</v>
      </c>
      <c r="O17" s="1522">
        <v>0</v>
      </c>
      <c r="P17" s="1530">
        <v>196.624863175</v>
      </c>
      <c r="Q17" s="1522">
        <v>0</v>
      </c>
      <c r="R17" s="1522">
        <v>0</v>
      </c>
      <c r="S17" s="1529">
        <v>2990.7608883980001</v>
      </c>
    </row>
    <row r="18" spans="1:19" s="1039" customFormat="1" ht="20.100000000000001" customHeight="1">
      <c r="A18" s="1526"/>
      <c r="B18" s="1527" t="s">
        <v>754</v>
      </c>
      <c r="C18" s="1528">
        <v>77.266999999999996</v>
      </c>
      <c r="D18" s="1522">
        <v>4868.6549999999997</v>
      </c>
      <c r="E18" s="1522">
        <v>79.5</v>
      </c>
      <c r="F18" s="1522">
        <v>479.81200000000001</v>
      </c>
      <c r="G18" s="1522">
        <v>0</v>
      </c>
      <c r="H18" s="1522">
        <v>16.05</v>
      </c>
      <c r="I18" s="1522">
        <v>0</v>
      </c>
      <c r="J18" s="1529">
        <v>5521.2839999999997</v>
      </c>
      <c r="K18" s="1528">
        <v>66.538762727999995</v>
      </c>
      <c r="L18" s="1530">
        <v>2221.6135797040001</v>
      </c>
      <c r="M18" s="1530">
        <v>49.232841557</v>
      </c>
      <c r="N18" s="1530">
        <v>1526.4196691520001</v>
      </c>
      <c r="O18" s="1522">
        <v>0</v>
      </c>
      <c r="P18" s="1530">
        <v>35.478574109</v>
      </c>
      <c r="Q18" s="1522">
        <v>0</v>
      </c>
      <c r="R18" s="1522">
        <v>0</v>
      </c>
      <c r="S18" s="1529">
        <v>3899.2834272499999</v>
      </c>
    </row>
    <row r="19" spans="1:19" s="1039" customFormat="1" ht="20.100000000000001" customHeight="1">
      <c r="A19" s="1526"/>
      <c r="B19" s="1527" t="s">
        <v>755</v>
      </c>
      <c r="C19" s="1528">
        <v>38.56</v>
      </c>
      <c r="D19" s="1522">
        <v>6504.4219999999996</v>
      </c>
      <c r="E19" s="1522">
        <v>555.17499999999995</v>
      </c>
      <c r="F19" s="1522">
        <v>2.6429999999999998</v>
      </c>
      <c r="G19" s="1522">
        <v>0.08</v>
      </c>
      <c r="H19" s="1522">
        <v>68.56</v>
      </c>
      <c r="I19" s="1522">
        <v>0</v>
      </c>
      <c r="J19" s="1529">
        <v>7169.44</v>
      </c>
      <c r="K19" s="1528">
        <v>30.853915099000002</v>
      </c>
      <c r="L19" s="1530">
        <v>2791.1617415000001</v>
      </c>
      <c r="M19" s="1530">
        <v>387.36440718</v>
      </c>
      <c r="N19" s="1530">
        <v>37.892365986000001</v>
      </c>
      <c r="O19" s="1522">
        <v>6.6290000000000003E-3</v>
      </c>
      <c r="P19" s="1530">
        <v>100.679906661</v>
      </c>
      <c r="Q19" s="1522">
        <v>0</v>
      </c>
      <c r="R19" s="1522">
        <v>0</v>
      </c>
      <c r="S19" s="1529">
        <v>3347.9589654259998</v>
      </c>
    </row>
    <row r="20" spans="1:19" s="1039" customFormat="1" ht="20.100000000000001" customHeight="1">
      <c r="A20" s="1526"/>
      <c r="B20" s="1527" t="s">
        <v>756</v>
      </c>
      <c r="C20" s="1528">
        <v>179.45500000000001</v>
      </c>
      <c r="D20" s="1522">
        <v>4570.8720000000003</v>
      </c>
      <c r="E20" s="1522">
        <v>641.46</v>
      </c>
      <c r="F20" s="1522">
        <v>1.5</v>
      </c>
      <c r="G20" s="1522">
        <v>0</v>
      </c>
      <c r="H20" s="1522">
        <v>66.988</v>
      </c>
      <c r="I20" s="1522">
        <v>0</v>
      </c>
      <c r="J20" s="1529">
        <v>5460.2749999999996</v>
      </c>
      <c r="K20" s="1528">
        <v>62.924328154999998</v>
      </c>
      <c r="L20" s="1530">
        <v>2023.5473934940001</v>
      </c>
      <c r="M20" s="1530">
        <v>541.54190480800003</v>
      </c>
      <c r="N20" s="1530">
        <v>1.8943484399999999</v>
      </c>
      <c r="O20" s="1522">
        <v>0</v>
      </c>
      <c r="P20" s="1530">
        <v>172.731298119</v>
      </c>
      <c r="Q20" s="1522">
        <v>0</v>
      </c>
      <c r="R20" s="1522">
        <v>0</v>
      </c>
      <c r="S20" s="1529">
        <v>2802.6392730160001</v>
      </c>
    </row>
    <row r="21" spans="1:19" s="1039" customFormat="1" ht="20.100000000000001" customHeight="1">
      <c r="A21" s="1526"/>
      <c r="B21" s="1527" t="s">
        <v>757</v>
      </c>
      <c r="C21" s="1528">
        <v>145.56899999999999</v>
      </c>
      <c r="D21" s="1522">
        <v>2450.2800000000002</v>
      </c>
      <c r="E21" s="1522">
        <v>101.786</v>
      </c>
      <c r="F21" s="1522">
        <v>15.65</v>
      </c>
      <c r="G21" s="1522">
        <v>0</v>
      </c>
      <c r="H21" s="1522">
        <v>43.755000000000003</v>
      </c>
      <c r="I21" s="1522">
        <v>0</v>
      </c>
      <c r="J21" s="1529">
        <v>2757.04</v>
      </c>
      <c r="K21" s="1528">
        <v>83.860923365000005</v>
      </c>
      <c r="L21" s="1530">
        <v>1064.906827561</v>
      </c>
      <c r="M21" s="1530">
        <v>71.257338152000003</v>
      </c>
      <c r="N21" s="1530">
        <v>95.898751743999995</v>
      </c>
      <c r="O21" s="1522">
        <v>0</v>
      </c>
      <c r="P21" s="1522">
        <v>178.02396921600001</v>
      </c>
      <c r="Q21" s="1522">
        <v>0</v>
      </c>
      <c r="R21" s="1522">
        <v>0</v>
      </c>
      <c r="S21" s="1529">
        <v>1493.9478100379999</v>
      </c>
    </row>
    <row r="22" spans="1:19" s="1039" customFormat="1" ht="20.100000000000001" customHeight="1">
      <c r="A22" s="1526"/>
      <c r="B22" s="1527" t="s">
        <v>758</v>
      </c>
      <c r="C22" s="1528">
        <v>0.81599999999999995</v>
      </c>
      <c r="D22" s="1522">
        <v>722.173</v>
      </c>
      <c r="E22" s="1522">
        <v>421.97</v>
      </c>
      <c r="F22" s="1522">
        <v>434.45</v>
      </c>
      <c r="G22" s="1522">
        <v>0.5</v>
      </c>
      <c r="H22" s="1522">
        <v>0</v>
      </c>
      <c r="I22" s="1522">
        <v>0</v>
      </c>
      <c r="J22" s="1529">
        <v>1579.9090000000001</v>
      </c>
      <c r="K22" s="1531">
        <v>0.618369795</v>
      </c>
      <c r="L22" s="1530">
        <v>202.477838005</v>
      </c>
      <c r="M22" s="1522">
        <v>27.781038406</v>
      </c>
      <c r="N22" s="1530">
        <v>476.27503328</v>
      </c>
      <c r="O22" s="1522">
        <v>3.7008000000000001E-4</v>
      </c>
      <c r="P22" s="1522">
        <v>0</v>
      </c>
      <c r="Q22" s="1522">
        <v>0</v>
      </c>
      <c r="R22" s="1522">
        <v>379.81445472000001</v>
      </c>
      <c r="S22" s="1529">
        <v>1086.967104286</v>
      </c>
    </row>
    <row r="23" spans="1:19" s="1039" customFormat="1" ht="20.100000000000001" customHeight="1">
      <c r="A23" s="1532"/>
      <c r="B23" s="1533" t="s">
        <v>181</v>
      </c>
      <c r="C23" s="1534">
        <v>1815.6659999999999</v>
      </c>
      <c r="D23" s="1535">
        <v>32146.584999999999</v>
      </c>
      <c r="E23" s="1535">
        <v>2470.4720000000002</v>
      </c>
      <c r="F23" s="1535">
        <v>1843.421</v>
      </c>
      <c r="G23" s="1535">
        <v>254.58</v>
      </c>
      <c r="H23" s="1535">
        <v>1454.672</v>
      </c>
      <c r="I23" s="1535">
        <v>346.33</v>
      </c>
      <c r="J23" s="1536">
        <v>40331.726000000002</v>
      </c>
      <c r="K23" s="1534">
        <v>864.86688849099994</v>
      </c>
      <c r="L23" s="1537">
        <v>13926.118493698001</v>
      </c>
      <c r="M23" s="1537">
        <v>1481.5915317490001</v>
      </c>
      <c r="N23" s="1537">
        <v>3874.781044762</v>
      </c>
      <c r="O23" s="1537">
        <v>6.9990800000000004E-3</v>
      </c>
      <c r="P23" s="1537">
        <v>3161.1386847970002</v>
      </c>
      <c r="Q23" s="1537">
        <v>0</v>
      </c>
      <c r="R23" s="1537">
        <v>379.81445472000001</v>
      </c>
      <c r="S23" s="1536">
        <v>23688.318097297</v>
      </c>
    </row>
    <row r="24" spans="1:19" s="1039" customFormat="1" ht="20.100000000000001" customHeight="1">
      <c r="A24" s="1538" t="s">
        <v>945</v>
      </c>
      <c r="B24" s="1539" t="s">
        <v>742</v>
      </c>
      <c r="C24" s="1540">
        <v>0</v>
      </c>
      <c r="D24" s="1541">
        <v>46.524000000000001</v>
      </c>
      <c r="E24" s="1522">
        <v>0</v>
      </c>
      <c r="F24" s="1541">
        <v>5.8</v>
      </c>
      <c r="G24" s="1522">
        <v>0</v>
      </c>
      <c r="H24" s="1541">
        <v>87.23</v>
      </c>
      <c r="I24" s="1522">
        <v>0</v>
      </c>
      <c r="J24" s="1542">
        <v>139.554</v>
      </c>
      <c r="K24" s="1543">
        <v>0</v>
      </c>
      <c r="L24" s="1521">
        <v>5.8569600609999997</v>
      </c>
      <c r="M24" s="1521">
        <v>0</v>
      </c>
      <c r="N24" s="1521">
        <v>2.32558752</v>
      </c>
      <c r="O24" s="1521">
        <v>0</v>
      </c>
      <c r="P24" s="1521">
        <v>39.398841505</v>
      </c>
      <c r="Q24" s="1521">
        <v>0</v>
      </c>
      <c r="R24" s="1521">
        <v>0</v>
      </c>
      <c r="S24" s="1523">
        <v>47.581389086000001</v>
      </c>
    </row>
    <row r="25" spans="1:19" s="1039" customFormat="1" ht="20.100000000000001" customHeight="1">
      <c r="A25" s="1526"/>
      <c r="B25" s="1527" t="s">
        <v>743</v>
      </c>
      <c r="C25" s="1544">
        <v>0.02</v>
      </c>
      <c r="D25" s="1545">
        <v>370.60899999999998</v>
      </c>
      <c r="E25" s="1545">
        <v>0.76200000000000001</v>
      </c>
      <c r="F25" s="1545">
        <v>4.5739999999999998</v>
      </c>
      <c r="G25" s="1522">
        <v>0</v>
      </c>
      <c r="H25" s="1545">
        <v>40.479999999999997</v>
      </c>
      <c r="I25" s="1522">
        <v>0</v>
      </c>
      <c r="J25" s="1546">
        <v>416.44499999999999</v>
      </c>
      <c r="K25" s="1531">
        <v>1.93E-4</v>
      </c>
      <c r="L25" s="1522">
        <v>47.152390461000003</v>
      </c>
      <c r="M25" s="1522">
        <v>4.4999999999999999E-4</v>
      </c>
      <c r="N25" s="1522">
        <v>0.982894347</v>
      </c>
      <c r="O25" s="1522">
        <v>0</v>
      </c>
      <c r="P25" s="1522">
        <v>21.667121713</v>
      </c>
      <c r="Q25" s="1522">
        <v>0</v>
      </c>
      <c r="R25" s="1522">
        <v>0</v>
      </c>
      <c r="S25" s="1529">
        <v>69.803049521000005</v>
      </c>
    </row>
    <row r="26" spans="1:19" s="1039" customFormat="1" ht="20.100000000000001" customHeight="1">
      <c r="A26" s="1526"/>
      <c r="B26" s="1527" t="s">
        <v>744</v>
      </c>
      <c r="C26" s="1544">
        <v>4.0599999999999996</v>
      </c>
      <c r="D26" s="1545">
        <v>554.56500000000005</v>
      </c>
      <c r="E26" s="1522">
        <v>11.55</v>
      </c>
      <c r="F26" s="1545">
        <v>2.8</v>
      </c>
      <c r="G26" s="1522">
        <v>0</v>
      </c>
      <c r="H26" s="1545">
        <v>4.1100000000000003</v>
      </c>
      <c r="I26" s="1522">
        <v>0</v>
      </c>
      <c r="J26" s="1546">
        <v>577.08500000000004</v>
      </c>
      <c r="K26" s="1531">
        <v>1.457087904</v>
      </c>
      <c r="L26" s="1522">
        <v>73.757863779999994</v>
      </c>
      <c r="M26" s="1522">
        <v>0.96547363799999997</v>
      </c>
      <c r="N26" s="1522">
        <v>0.48602496000000001</v>
      </c>
      <c r="O26" s="1522">
        <v>0</v>
      </c>
      <c r="P26" s="1522">
        <v>2.400984974</v>
      </c>
      <c r="Q26" s="1522">
        <v>0</v>
      </c>
      <c r="R26" s="1522">
        <v>0</v>
      </c>
      <c r="S26" s="1529">
        <v>79.067435255999996</v>
      </c>
    </row>
    <row r="27" spans="1:19" s="1039" customFormat="1" ht="20.100000000000001" customHeight="1">
      <c r="A27" s="1526"/>
      <c r="B27" s="1527" t="s">
        <v>745</v>
      </c>
      <c r="C27" s="1544">
        <v>12.599</v>
      </c>
      <c r="D27" s="1545">
        <v>229.125</v>
      </c>
      <c r="E27" s="1545">
        <v>49</v>
      </c>
      <c r="F27" s="1545">
        <v>71.73</v>
      </c>
      <c r="G27" s="1522">
        <v>0</v>
      </c>
      <c r="H27" s="1545">
        <v>274.78500000000003</v>
      </c>
      <c r="I27" s="1522">
        <v>0</v>
      </c>
      <c r="J27" s="1546">
        <v>637.23900000000003</v>
      </c>
      <c r="K27" s="1531">
        <v>1.264965334</v>
      </c>
      <c r="L27" s="1522">
        <v>29.867699886</v>
      </c>
      <c r="M27" s="1522">
        <v>1.313598729</v>
      </c>
      <c r="N27" s="1522">
        <v>13.100367609999999</v>
      </c>
      <c r="O27" s="1522">
        <v>0</v>
      </c>
      <c r="P27" s="1522">
        <v>130.050947544</v>
      </c>
      <c r="Q27" s="1522">
        <v>0</v>
      </c>
      <c r="R27" s="1522">
        <v>0</v>
      </c>
      <c r="S27" s="1529">
        <v>175.59757910299999</v>
      </c>
    </row>
    <row r="28" spans="1:19" s="1039" customFormat="1" ht="20.100000000000001" customHeight="1">
      <c r="A28" s="1526"/>
      <c r="B28" s="1527" t="s">
        <v>746</v>
      </c>
      <c r="C28" s="1544">
        <v>1.83</v>
      </c>
      <c r="D28" s="1545">
        <v>411.82900000000001</v>
      </c>
      <c r="E28" s="1522">
        <v>0</v>
      </c>
      <c r="F28" s="1545">
        <v>2.12</v>
      </c>
      <c r="G28" s="1522">
        <v>0</v>
      </c>
      <c r="H28" s="1545">
        <v>28.515000000000001</v>
      </c>
      <c r="I28" s="1522">
        <v>0</v>
      </c>
      <c r="J28" s="1546">
        <v>444.29399999999998</v>
      </c>
      <c r="K28" s="1531">
        <v>0.77647063199999999</v>
      </c>
      <c r="L28" s="1522">
        <v>48.181317901</v>
      </c>
      <c r="M28" s="1522">
        <v>0</v>
      </c>
      <c r="N28" s="1522">
        <v>0.17312640000000001</v>
      </c>
      <c r="O28" s="1522">
        <v>0</v>
      </c>
      <c r="P28" s="1522">
        <v>16.210044931999999</v>
      </c>
      <c r="Q28" s="1522">
        <v>0</v>
      </c>
      <c r="R28" s="1522">
        <v>0</v>
      </c>
      <c r="S28" s="1529">
        <v>65.340959865000002</v>
      </c>
    </row>
    <row r="29" spans="1:19" s="1039" customFormat="1" ht="20.100000000000001" customHeight="1">
      <c r="A29" s="1526"/>
      <c r="B29" s="1527" t="s">
        <v>747</v>
      </c>
      <c r="C29" s="1522">
        <v>0</v>
      </c>
      <c r="D29" s="1545">
        <v>75.376000000000005</v>
      </c>
      <c r="E29" s="1522">
        <v>0</v>
      </c>
      <c r="F29" s="1545">
        <v>9.9000000000000005E-2</v>
      </c>
      <c r="G29" s="1522">
        <v>0</v>
      </c>
      <c r="H29" s="1545">
        <v>7.165</v>
      </c>
      <c r="I29" s="1522">
        <v>0</v>
      </c>
      <c r="J29" s="1546">
        <v>82.64</v>
      </c>
      <c r="K29" s="1531">
        <v>0</v>
      </c>
      <c r="L29" s="1522">
        <v>9.859597462</v>
      </c>
      <c r="M29" s="1522">
        <v>0</v>
      </c>
      <c r="N29" s="1522">
        <v>9.2940000000000002E-3</v>
      </c>
      <c r="O29" s="1522">
        <v>0</v>
      </c>
      <c r="P29" s="1522">
        <v>4.1116405240000002</v>
      </c>
      <c r="Q29" s="1522">
        <v>0</v>
      </c>
      <c r="R29" s="1522">
        <v>0</v>
      </c>
      <c r="S29" s="1529">
        <v>13.980531986000001</v>
      </c>
    </row>
    <row r="30" spans="1:19" s="1039" customFormat="1" ht="20.100000000000001" customHeight="1">
      <c r="A30" s="1526"/>
      <c r="B30" s="1527" t="s">
        <v>748</v>
      </c>
      <c r="C30" s="1544">
        <v>0.3</v>
      </c>
      <c r="D30" s="1545">
        <v>221.31399999999999</v>
      </c>
      <c r="E30" s="1545">
        <v>0</v>
      </c>
      <c r="F30" s="1522">
        <v>0</v>
      </c>
      <c r="G30" s="1522">
        <v>0</v>
      </c>
      <c r="H30" s="1545">
        <v>85.257999999999996</v>
      </c>
      <c r="I30" s="1522">
        <v>0</v>
      </c>
      <c r="J30" s="1546">
        <v>306.87200000000001</v>
      </c>
      <c r="K30" s="1531">
        <v>0</v>
      </c>
      <c r="L30" s="1522">
        <v>28.327622528999999</v>
      </c>
      <c r="M30" s="1522">
        <v>0</v>
      </c>
      <c r="N30" s="1522">
        <v>0</v>
      </c>
      <c r="O30" s="1522">
        <v>0</v>
      </c>
      <c r="P30" s="1522">
        <v>51.182556933999997</v>
      </c>
      <c r="Q30" s="1522">
        <v>0</v>
      </c>
      <c r="R30" s="1522">
        <v>0</v>
      </c>
      <c r="S30" s="1529">
        <v>79.510179463</v>
      </c>
    </row>
    <row r="31" spans="1:19" s="1039" customFormat="1" ht="20.100000000000001" customHeight="1">
      <c r="A31" s="1526"/>
      <c r="B31" s="1527" t="s">
        <v>944</v>
      </c>
      <c r="C31" s="1544">
        <v>2.31</v>
      </c>
      <c r="D31" s="1545">
        <v>105.568</v>
      </c>
      <c r="E31" s="1522">
        <v>0</v>
      </c>
      <c r="F31" s="1545">
        <v>5</v>
      </c>
      <c r="G31" s="1522">
        <v>0</v>
      </c>
      <c r="H31" s="1545">
        <v>5.28</v>
      </c>
      <c r="I31" s="1522">
        <v>0</v>
      </c>
      <c r="J31" s="1546">
        <v>118.158</v>
      </c>
      <c r="K31" s="1531">
        <v>0</v>
      </c>
      <c r="L31" s="1522">
        <v>13.826429156</v>
      </c>
      <c r="M31" s="1522">
        <v>0</v>
      </c>
      <c r="N31" s="1522">
        <v>1.6384272</v>
      </c>
      <c r="O31" s="1522">
        <v>0</v>
      </c>
      <c r="P31" s="1522">
        <v>2.1839194919999998</v>
      </c>
      <c r="Q31" s="1522">
        <v>0</v>
      </c>
      <c r="R31" s="1522">
        <v>0</v>
      </c>
      <c r="S31" s="1529">
        <v>17.648775848</v>
      </c>
    </row>
    <row r="32" spans="1:19" s="1039" customFormat="1" ht="20.100000000000001" customHeight="1">
      <c r="A32" s="1526"/>
      <c r="B32" s="1527" t="s">
        <v>750</v>
      </c>
      <c r="C32" s="1544">
        <v>275.95400000000001</v>
      </c>
      <c r="D32" s="1545">
        <v>2538.7640000000001</v>
      </c>
      <c r="E32" s="1545">
        <v>8.2710000000000008</v>
      </c>
      <c r="F32" s="1545">
        <v>62.523000000000003</v>
      </c>
      <c r="G32" s="1545">
        <v>254</v>
      </c>
      <c r="H32" s="1545">
        <v>377.31</v>
      </c>
      <c r="I32" s="1522">
        <v>0</v>
      </c>
      <c r="J32" s="1546">
        <v>3516.8220000000001</v>
      </c>
      <c r="K32" s="1531">
        <v>42.247417659999996</v>
      </c>
      <c r="L32" s="1522">
        <v>354.311927389</v>
      </c>
      <c r="M32" s="1522">
        <v>0.151385874</v>
      </c>
      <c r="N32" s="1522">
        <v>33.958493930000003</v>
      </c>
      <c r="O32" s="1522">
        <v>0</v>
      </c>
      <c r="P32" s="1522">
        <v>217.66890056899999</v>
      </c>
      <c r="Q32" s="1522">
        <v>0</v>
      </c>
      <c r="R32" s="1522">
        <v>0</v>
      </c>
      <c r="S32" s="1529">
        <v>648.33812542199996</v>
      </c>
    </row>
    <row r="33" spans="1:23" s="1039" customFormat="1" ht="20.100000000000001" customHeight="1">
      <c r="A33" s="1526"/>
      <c r="B33" s="1527" t="s">
        <v>751</v>
      </c>
      <c r="C33" s="1544">
        <v>525.84500000000003</v>
      </c>
      <c r="D33" s="1545">
        <v>2129.9340000000002</v>
      </c>
      <c r="E33" s="1545">
        <v>598.99800000000005</v>
      </c>
      <c r="F33" s="1545">
        <v>368.46499999999997</v>
      </c>
      <c r="G33" s="1522">
        <v>0</v>
      </c>
      <c r="H33" s="1545">
        <v>98.495999999999995</v>
      </c>
      <c r="I33" s="1522">
        <v>0</v>
      </c>
      <c r="J33" s="1546">
        <v>3721.7379999999998</v>
      </c>
      <c r="K33" s="1531">
        <v>62.611033527000004</v>
      </c>
      <c r="L33" s="1522">
        <v>292.199417676</v>
      </c>
      <c r="M33" s="1522">
        <v>85.375197779000004</v>
      </c>
      <c r="N33" s="1522">
        <v>159.807700501</v>
      </c>
      <c r="O33" s="1522">
        <v>0</v>
      </c>
      <c r="P33" s="1522">
        <v>57.896708607000001</v>
      </c>
      <c r="Q33" s="1522">
        <v>0</v>
      </c>
      <c r="R33" s="1522">
        <v>0</v>
      </c>
      <c r="S33" s="1529">
        <v>657.89005809000003</v>
      </c>
      <c r="U33" s="1064"/>
      <c r="V33" s="1064"/>
      <c r="W33" s="1064"/>
    </row>
    <row r="34" spans="1:23" s="1039" customFormat="1" ht="20.100000000000001" customHeight="1">
      <c r="A34" s="1526"/>
      <c r="B34" s="1527" t="s">
        <v>752</v>
      </c>
      <c r="C34" s="1544">
        <v>518.83000000000004</v>
      </c>
      <c r="D34" s="1545">
        <v>1871.6990000000001</v>
      </c>
      <c r="E34" s="1522">
        <v>0</v>
      </c>
      <c r="F34" s="1545">
        <v>2.7349999999999999</v>
      </c>
      <c r="G34" s="1522">
        <v>0</v>
      </c>
      <c r="H34" s="1545">
        <v>158.4</v>
      </c>
      <c r="I34" s="1522">
        <v>0</v>
      </c>
      <c r="J34" s="1546">
        <v>2551.6640000000002</v>
      </c>
      <c r="K34" s="1531">
        <v>58.387097351999998</v>
      </c>
      <c r="L34" s="1522">
        <v>249.44346949199999</v>
      </c>
      <c r="M34" s="1522">
        <v>0</v>
      </c>
      <c r="N34" s="1522">
        <v>0.46536429600000001</v>
      </c>
      <c r="O34" s="1522">
        <v>0</v>
      </c>
      <c r="P34" s="1522">
        <v>105.12185862</v>
      </c>
      <c r="Q34" s="1522">
        <v>0</v>
      </c>
      <c r="R34" s="1522">
        <v>0</v>
      </c>
      <c r="S34" s="1529">
        <v>413.41778976000001</v>
      </c>
      <c r="U34" s="1064"/>
      <c r="V34" s="1064"/>
      <c r="W34" s="1064"/>
    </row>
    <row r="35" spans="1:23" s="1039" customFormat="1" ht="20.100000000000001" customHeight="1">
      <c r="A35" s="1526"/>
      <c r="B35" s="1527" t="s">
        <v>753</v>
      </c>
      <c r="C35" s="1544">
        <v>32.250999999999998</v>
      </c>
      <c r="D35" s="1545">
        <v>4474.8760000000002</v>
      </c>
      <c r="E35" s="1545">
        <v>2</v>
      </c>
      <c r="F35" s="1545">
        <v>383.52</v>
      </c>
      <c r="G35" s="1522">
        <v>0</v>
      </c>
      <c r="H35" s="1545">
        <v>92.29</v>
      </c>
      <c r="I35" s="1545">
        <v>346.33</v>
      </c>
      <c r="J35" s="1546">
        <v>5331.2669999999998</v>
      </c>
      <c r="K35" s="1531">
        <v>3.050611516</v>
      </c>
      <c r="L35" s="1522">
        <v>589.74293106000005</v>
      </c>
      <c r="M35" s="1522">
        <v>3.39E-4</v>
      </c>
      <c r="N35" s="1522">
        <v>191.80034488000001</v>
      </c>
      <c r="O35" s="1522">
        <v>0</v>
      </c>
      <c r="P35" s="1522">
        <v>52.588088523000003</v>
      </c>
      <c r="Q35" s="1522">
        <v>0</v>
      </c>
      <c r="R35" s="1522">
        <v>0</v>
      </c>
      <c r="S35" s="1529">
        <v>837.18231497900001</v>
      </c>
    </row>
    <row r="36" spans="1:23" s="1039" customFormat="1" ht="20.100000000000001" customHeight="1">
      <c r="A36" s="1526"/>
      <c r="B36" s="1527" t="s">
        <v>754</v>
      </c>
      <c r="C36" s="1544">
        <v>77.266999999999996</v>
      </c>
      <c r="D36" s="1545">
        <v>4868.6549999999997</v>
      </c>
      <c r="E36" s="1545">
        <v>79.5</v>
      </c>
      <c r="F36" s="1545">
        <v>479.81200000000001</v>
      </c>
      <c r="G36" s="1522">
        <v>0</v>
      </c>
      <c r="H36" s="1545">
        <v>16.05</v>
      </c>
      <c r="I36" s="1522">
        <v>0</v>
      </c>
      <c r="J36" s="1546">
        <v>5521.2839999999997</v>
      </c>
      <c r="K36" s="1531">
        <v>19.082835282999998</v>
      </c>
      <c r="L36" s="1522">
        <v>633.24562605400001</v>
      </c>
      <c r="M36" s="1522">
        <v>8.5238101010000005</v>
      </c>
      <c r="N36" s="1522">
        <v>376.13907825899997</v>
      </c>
      <c r="O36" s="1522">
        <v>0</v>
      </c>
      <c r="P36" s="1522">
        <v>8.8296924630000007</v>
      </c>
      <c r="Q36" s="1522">
        <v>0</v>
      </c>
      <c r="R36" s="1522">
        <v>0</v>
      </c>
      <c r="S36" s="1529">
        <v>1045.8210421599999</v>
      </c>
      <c r="U36" s="1066"/>
      <c r="V36" s="1066"/>
      <c r="W36" s="1066"/>
    </row>
    <row r="37" spans="1:23" s="1039" customFormat="1" ht="20.100000000000001" customHeight="1">
      <c r="A37" s="1526"/>
      <c r="B37" s="1527" t="s">
        <v>755</v>
      </c>
      <c r="C37" s="1544">
        <v>38.56</v>
      </c>
      <c r="D37" s="1545">
        <v>6504.4219999999996</v>
      </c>
      <c r="E37" s="1545">
        <v>555.17499999999995</v>
      </c>
      <c r="F37" s="1545">
        <v>2.6429999999999998</v>
      </c>
      <c r="G37" s="1545">
        <v>0.08</v>
      </c>
      <c r="H37" s="1545">
        <v>68.56</v>
      </c>
      <c r="I37" s="1522">
        <v>0</v>
      </c>
      <c r="J37" s="1546">
        <v>7169.44</v>
      </c>
      <c r="K37" s="1531">
        <v>8.9693576919999991</v>
      </c>
      <c r="L37" s="1522">
        <v>756.65675971799999</v>
      </c>
      <c r="M37" s="1522">
        <v>61.764910432000001</v>
      </c>
      <c r="N37" s="1522">
        <v>11.023827996</v>
      </c>
      <c r="O37" s="1522">
        <v>1.5839999999999999E-3</v>
      </c>
      <c r="P37" s="1522">
        <v>20.717587484999999</v>
      </c>
      <c r="Q37" s="1522">
        <v>0</v>
      </c>
      <c r="R37" s="1522">
        <v>0</v>
      </c>
      <c r="S37" s="1529">
        <v>859.13402732300005</v>
      </c>
      <c r="U37" s="1066"/>
      <c r="V37" s="1066"/>
      <c r="W37" s="1066"/>
    </row>
    <row r="38" spans="1:23" s="1039" customFormat="1" ht="20.100000000000001" customHeight="1">
      <c r="A38" s="1526"/>
      <c r="B38" s="1527" t="s">
        <v>756</v>
      </c>
      <c r="C38" s="1544">
        <v>179.45500000000001</v>
      </c>
      <c r="D38" s="1545">
        <v>4570.8720000000003</v>
      </c>
      <c r="E38" s="1545">
        <v>641.46</v>
      </c>
      <c r="F38" s="1545">
        <v>1.5</v>
      </c>
      <c r="G38" s="1522">
        <v>0</v>
      </c>
      <c r="H38" s="1545">
        <v>66.988</v>
      </c>
      <c r="I38" s="1522">
        <v>0</v>
      </c>
      <c r="J38" s="1546">
        <v>5460.2749999999996</v>
      </c>
      <c r="K38" s="1531">
        <v>19.743372505</v>
      </c>
      <c r="L38" s="1522">
        <v>605.55238639900006</v>
      </c>
      <c r="M38" s="1522">
        <v>95.363523541000006</v>
      </c>
      <c r="N38" s="1522">
        <v>0.52607508000000003</v>
      </c>
      <c r="O38" s="1522">
        <v>0</v>
      </c>
      <c r="P38" s="1522">
        <v>42.346368575</v>
      </c>
      <c r="Q38" s="1522">
        <v>0</v>
      </c>
      <c r="R38" s="1522">
        <v>0</v>
      </c>
      <c r="S38" s="1529">
        <v>763.53172610000001</v>
      </c>
      <c r="U38" s="1066"/>
      <c r="V38" s="1066"/>
      <c r="W38" s="1066"/>
    </row>
    <row r="39" spans="1:23" s="1039" customFormat="1" ht="20.100000000000001" customHeight="1">
      <c r="A39" s="1526"/>
      <c r="B39" s="1527" t="s">
        <v>757</v>
      </c>
      <c r="C39" s="1544">
        <v>145.56899999999999</v>
      </c>
      <c r="D39" s="1545">
        <v>2450.2800000000002</v>
      </c>
      <c r="E39" s="1545">
        <v>101.786</v>
      </c>
      <c r="F39" s="1545">
        <v>15.65</v>
      </c>
      <c r="G39" s="1522">
        <v>0</v>
      </c>
      <c r="H39" s="1545">
        <v>43.755000000000003</v>
      </c>
      <c r="I39" s="1522">
        <v>0</v>
      </c>
      <c r="J39" s="1546">
        <v>2757.04</v>
      </c>
      <c r="K39" s="1531">
        <v>24.533167302999999</v>
      </c>
      <c r="L39" s="1522">
        <v>308.32374970699999</v>
      </c>
      <c r="M39" s="1522">
        <v>13.746443061000001</v>
      </c>
      <c r="N39" s="1522">
        <v>25.019433403000001</v>
      </c>
      <c r="O39" s="1522">
        <v>0</v>
      </c>
      <c r="P39" s="1522">
        <v>49.713478586999997</v>
      </c>
      <c r="Q39" s="1522">
        <v>0</v>
      </c>
      <c r="R39" s="1522">
        <v>0</v>
      </c>
      <c r="S39" s="1529">
        <v>421.33627206099999</v>
      </c>
      <c r="U39" s="1066"/>
      <c r="V39" s="1066"/>
      <c r="W39" s="1066"/>
    </row>
    <row r="40" spans="1:23" s="1039" customFormat="1" ht="20.100000000000001" customHeight="1">
      <c r="A40" s="1526"/>
      <c r="B40" s="1527" t="s">
        <v>758</v>
      </c>
      <c r="C40" s="1544">
        <v>0.81599999999999995</v>
      </c>
      <c r="D40" s="1545">
        <v>722.173</v>
      </c>
      <c r="E40" s="1545">
        <v>421.97</v>
      </c>
      <c r="F40" s="1545">
        <v>434.45</v>
      </c>
      <c r="G40" s="1545">
        <v>0.5</v>
      </c>
      <c r="H40" s="1522">
        <v>0</v>
      </c>
      <c r="I40" s="1522">
        <v>0</v>
      </c>
      <c r="J40" s="1546">
        <v>1579.9090000000001</v>
      </c>
      <c r="K40" s="1531">
        <v>4.7261836000000002E-2</v>
      </c>
      <c r="L40" s="1522">
        <v>53.782940586999999</v>
      </c>
      <c r="M40" s="1522">
        <v>10.184931549</v>
      </c>
      <c r="N40" s="1522">
        <v>107.57096161600001</v>
      </c>
      <c r="O40" s="1522">
        <v>0</v>
      </c>
      <c r="P40" s="1522">
        <v>0</v>
      </c>
      <c r="Q40" s="1522">
        <v>0</v>
      </c>
      <c r="R40" s="1522">
        <v>65.052395966000006</v>
      </c>
      <c r="S40" s="1529">
        <v>236.63849155400001</v>
      </c>
      <c r="U40" s="1066"/>
      <c r="V40" s="1066"/>
      <c r="W40" s="1066"/>
    </row>
    <row r="41" spans="1:23" s="1039" customFormat="1" ht="20.100000000000001" customHeight="1">
      <c r="A41" s="1532"/>
      <c r="B41" s="1533" t="s">
        <v>181</v>
      </c>
      <c r="C41" s="1547">
        <v>1815.6659999999999</v>
      </c>
      <c r="D41" s="1548">
        <v>32146.584999999999</v>
      </c>
      <c r="E41" s="1548">
        <v>2470.4720000000002</v>
      </c>
      <c r="F41" s="1548">
        <v>1843.421</v>
      </c>
      <c r="G41" s="1548">
        <v>254.58</v>
      </c>
      <c r="H41" s="1548">
        <v>1454.672</v>
      </c>
      <c r="I41" s="1548">
        <v>346.33</v>
      </c>
      <c r="J41" s="1549">
        <v>40331.726000000002</v>
      </c>
      <c r="K41" s="1550">
        <v>242.17087154400002</v>
      </c>
      <c r="L41" s="1535">
        <v>4100.0890893180003</v>
      </c>
      <c r="M41" s="1535">
        <v>277.390063704</v>
      </c>
      <c r="N41" s="1535">
        <v>925.02700199799995</v>
      </c>
      <c r="O41" s="1535">
        <v>1.5839999999999999E-3</v>
      </c>
      <c r="P41" s="1535">
        <v>822.08874104699998</v>
      </c>
      <c r="Q41" s="1535">
        <v>0</v>
      </c>
      <c r="R41" s="1535">
        <v>65.052395966000006</v>
      </c>
      <c r="S41" s="1536">
        <v>6431.8197475770003</v>
      </c>
      <c r="T41" s="1048"/>
      <c r="U41" s="1066"/>
      <c r="V41" s="1066"/>
      <c r="W41" s="1066"/>
    </row>
    <row r="42" spans="1:23" s="1064" customFormat="1" ht="12.95" customHeight="1">
      <c r="A42" s="346" t="s">
        <v>946</v>
      </c>
      <c r="C42" s="346"/>
      <c r="D42" s="346"/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U42" s="1066"/>
      <c r="V42" s="1066"/>
      <c r="W42" s="1066"/>
    </row>
    <row r="43" spans="1:23" s="1064" customFormat="1" ht="9.9499999999999993" customHeight="1">
      <c r="A43" s="346" t="s">
        <v>947</v>
      </c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U43" s="1066"/>
      <c r="V43" s="1066"/>
      <c r="W43" s="1066"/>
    </row>
    <row r="44" spans="1:23" s="1039" customFormat="1" ht="3" customHeight="1">
      <c r="B44" s="1065"/>
      <c r="C44" s="1065"/>
      <c r="D44" s="1065"/>
      <c r="E44" s="1065"/>
      <c r="F44" s="1065"/>
      <c r="G44" s="1065"/>
      <c r="H44" s="1065"/>
      <c r="I44" s="1065"/>
      <c r="J44" s="1065"/>
      <c r="K44" s="1065"/>
      <c r="L44" s="1065"/>
      <c r="M44" s="1065"/>
      <c r="N44" s="1065"/>
      <c r="O44" s="1065"/>
      <c r="P44" s="1065"/>
      <c r="Q44" s="1065"/>
      <c r="R44" s="1065"/>
      <c r="S44" s="1065"/>
      <c r="U44" s="1066"/>
      <c r="V44" s="1066"/>
      <c r="W44" s="1066"/>
    </row>
  </sheetData>
  <mergeCells count="5">
    <mergeCell ref="A4:B5"/>
    <mergeCell ref="C4:J4"/>
    <mergeCell ref="K4:S4"/>
    <mergeCell ref="A6:A23"/>
    <mergeCell ref="A24:A41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5" firstPageNumber="33" orientation="portrait" useFirstPageNumber="1" r:id="rId1"/>
  <headerFooter differentOddEven="1" scaleWithDoc="0" alignWithMargins="0">
    <firstFooter>&amp;R&amp;P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0585-C97C-4C95-90B9-4555A573E88A}">
  <sheetPr>
    <tabColor theme="8"/>
  </sheetPr>
  <dimension ref="A1:P28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3" width="7.125" style="12" customWidth="1"/>
    <col min="14" max="16384" width="10" style="1066"/>
  </cols>
  <sheetData>
    <row r="1" spans="1:16" s="1502" customFormat="1" ht="19.5" customHeight="1">
      <c r="A1" s="609" t="s">
        <v>948</v>
      </c>
      <c r="B1" s="976"/>
      <c r="C1" s="976"/>
      <c r="D1" s="976"/>
      <c r="E1" s="976"/>
      <c r="F1" s="976"/>
      <c r="G1" s="976"/>
      <c r="H1" s="976"/>
      <c r="I1" s="976"/>
      <c r="J1" s="976"/>
      <c r="K1" s="976"/>
      <c r="L1" s="976"/>
      <c r="M1" s="976"/>
    </row>
    <row r="2" spans="1:16" ht="17.25" customHeight="1">
      <c r="A2" s="590" t="s">
        <v>949</v>
      </c>
    </row>
    <row r="3" spans="1:16" s="1031" customFormat="1" ht="15" customHeight="1">
      <c r="A3" s="1028" t="s">
        <v>950</v>
      </c>
      <c r="B3" s="438"/>
      <c r="C3" s="1029"/>
      <c r="D3" s="438"/>
      <c r="E3" s="438"/>
      <c r="F3" s="1029"/>
      <c r="G3" s="1029"/>
      <c r="H3" s="1029"/>
      <c r="I3" s="1029"/>
      <c r="J3" s="1029"/>
      <c r="K3" s="1029"/>
      <c r="L3" s="1029"/>
      <c r="M3" s="683" t="s">
        <v>929</v>
      </c>
    </row>
    <row r="4" spans="1:16" s="1039" customFormat="1" ht="30.6" customHeight="1">
      <c r="A4" s="1032" t="s">
        <v>200</v>
      </c>
      <c r="B4" s="1551" t="s">
        <v>154</v>
      </c>
      <c r="C4" s="284" t="s">
        <v>164</v>
      </c>
      <c r="D4" s="284"/>
      <c r="E4" s="284"/>
      <c r="F4" s="284"/>
      <c r="G4" s="1034"/>
      <c r="H4" s="1035" t="s">
        <v>163</v>
      </c>
      <c r="I4" s="1035" t="s">
        <v>157</v>
      </c>
      <c r="J4" s="1036" t="s">
        <v>12</v>
      </c>
      <c r="K4" s="1037" t="s">
        <v>158</v>
      </c>
      <c r="L4" s="1038" t="s">
        <v>159</v>
      </c>
      <c r="M4" s="283" t="s">
        <v>160</v>
      </c>
    </row>
    <row r="5" spans="1:16" s="1039" customFormat="1" ht="30.6" customHeight="1">
      <c r="A5" s="1040"/>
      <c r="B5" s="1552"/>
      <c r="C5" s="622" t="s">
        <v>108</v>
      </c>
      <c r="D5" s="302" t="s">
        <v>107</v>
      </c>
      <c r="E5" s="302" t="s">
        <v>186</v>
      </c>
      <c r="F5" s="302" t="s">
        <v>187</v>
      </c>
      <c r="G5" s="302" t="s">
        <v>160</v>
      </c>
      <c r="H5" s="304"/>
      <c r="I5" s="304"/>
      <c r="J5" s="303"/>
      <c r="K5" s="303"/>
      <c r="L5" s="1041"/>
      <c r="M5" s="300"/>
    </row>
    <row r="6" spans="1:16" s="1039" customFormat="1" ht="33.6" customHeight="1">
      <c r="A6" s="1553" t="s">
        <v>742</v>
      </c>
      <c r="B6" s="1554">
        <v>0</v>
      </c>
      <c r="C6" s="1555">
        <v>0</v>
      </c>
      <c r="D6" s="1555">
        <v>0</v>
      </c>
      <c r="E6" s="1555">
        <v>0</v>
      </c>
      <c r="F6" s="1555">
        <v>11.218</v>
      </c>
      <c r="G6" s="1555">
        <v>11.218</v>
      </c>
      <c r="H6" s="1555">
        <v>127.23399999999999</v>
      </c>
      <c r="I6" s="1555">
        <v>0</v>
      </c>
      <c r="J6" s="1555">
        <v>0</v>
      </c>
      <c r="K6" s="1555">
        <v>47.581000000000003</v>
      </c>
      <c r="L6" s="1556">
        <v>14.7761171</v>
      </c>
      <c r="M6" s="1557">
        <v>200.809</v>
      </c>
      <c r="N6" s="1048"/>
      <c r="O6" s="1048"/>
      <c r="P6" s="1048"/>
    </row>
    <row r="7" spans="1:16" s="1039" customFormat="1" ht="33.6" customHeight="1">
      <c r="A7" s="1049" t="s">
        <v>743</v>
      </c>
      <c r="B7" s="1558">
        <v>0</v>
      </c>
      <c r="C7" s="1555">
        <v>0</v>
      </c>
      <c r="D7" s="1555">
        <v>0.752</v>
      </c>
      <c r="E7" s="1555">
        <v>0</v>
      </c>
      <c r="F7" s="1555">
        <v>0.42199999999999999</v>
      </c>
      <c r="G7" s="1555">
        <v>1.1739999999999999</v>
      </c>
      <c r="H7" s="1555">
        <v>198.53299999999999</v>
      </c>
      <c r="I7" s="1555">
        <v>0</v>
      </c>
      <c r="J7" s="1555">
        <v>1927.2729999999999</v>
      </c>
      <c r="K7" s="1555">
        <v>69.802999999999997</v>
      </c>
      <c r="L7" s="1556">
        <v>13.537785599999999</v>
      </c>
      <c r="M7" s="1557">
        <v>2210.3209999999999</v>
      </c>
      <c r="N7" s="1048"/>
      <c r="O7" s="1048"/>
      <c r="P7" s="1048"/>
    </row>
    <row r="8" spans="1:16" s="1039" customFormat="1" ht="33.6" customHeight="1">
      <c r="A8" s="1049" t="s">
        <v>744</v>
      </c>
      <c r="B8" s="1558">
        <v>1.4570000000000001</v>
      </c>
      <c r="C8" s="1555">
        <v>0</v>
      </c>
      <c r="D8" s="1555">
        <v>1E-3</v>
      </c>
      <c r="E8" s="1555">
        <v>0</v>
      </c>
      <c r="F8" s="1555">
        <v>0</v>
      </c>
      <c r="G8" s="1555">
        <v>1E-3</v>
      </c>
      <c r="H8" s="1555">
        <v>308.52999999999997</v>
      </c>
      <c r="I8" s="1555">
        <v>0</v>
      </c>
      <c r="J8" s="1555">
        <v>0</v>
      </c>
      <c r="K8" s="1555">
        <v>77.61</v>
      </c>
      <c r="L8" s="1555">
        <v>1.6973396000000001</v>
      </c>
      <c r="M8" s="1557">
        <v>389.29599999999999</v>
      </c>
      <c r="N8" s="1048"/>
      <c r="O8" s="1048"/>
      <c r="P8" s="1048"/>
    </row>
    <row r="9" spans="1:16" s="1039" customFormat="1" ht="33.6" customHeight="1">
      <c r="A9" s="1049" t="s">
        <v>745</v>
      </c>
      <c r="B9" s="1558">
        <v>1.2649999999999999</v>
      </c>
      <c r="C9" s="1555">
        <v>0</v>
      </c>
      <c r="D9" s="1555">
        <v>1462.1559999999999</v>
      </c>
      <c r="E9" s="1555">
        <v>0</v>
      </c>
      <c r="F9" s="1555">
        <v>0.23599999999999999</v>
      </c>
      <c r="G9" s="1555">
        <v>1462.3920000000001</v>
      </c>
      <c r="H9" s="1555">
        <v>2082.8629999999998</v>
      </c>
      <c r="I9" s="1555">
        <v>10.302</v>
      </c>
      <c r="J9" s="1555">
        <v>0</v>
      </c>
      <c r="K9" s="1555">
        <v>174.333</v>
      </c>
      <c r="L9" s="1556">
        <v>0.2976414</v>
      </c>
      <c r="M9" s="1557">
        <v>3731.4520000000002</v>
      </c>
      <c r="N9" s="1048"/>
      <c r="O9" s="1048"/>
      <c r="P9" s="1048"/>
    </row>
    <row r="10" spans="1:16" s="1039" customFormat="1" ht="33.6" customHeight="1">
      <c r="A10" s="1049" t="s">
        <v>746</v>
      </c>
      <c r="B10" s="1558">
        <v>0.77600000000000002</v>
      </c>
      <c r="C10" s="1555">
        <v>0</v>
      </c>
      <c r="D10" s="1555">
        <v>0</v>
      </c>
      <c r="E10" s="1555">
        <v>0</v>
      </c>
      <c r="F10" s="1555">
        <v>0</v>
      </c>
      <c r="G10" s="1555">
        <v>0</v>
      </c>
      <c r="H10" s="1555">
        <v>16.064</v>
      </c>
      <c r="I10" s="1555">
        <v>0</v>
      </c>
      <c r="J10" s="1555">
        <v>0</v>
      </c>
      <c r="K10" s="1555">
        <v>64.563999999999993</v>
      </c>
      <c r="L10" s="1556">
        <v>2.1459172999999998</v>
      </c>
      <c r="M10" s="1557">
        <v>83.551000000000002</v>
      </c>
      <c r="N10" s="1048"/>
      <c r="O10" s="1048"/>
      <c r="P10" s="1048"/>
    </row>
    <row r="11" spans="1:16" s="1039" customFormat="1" ht="33.6" customHeight="1">
      <c r="A11" s="1049" t="s">
        <v>747</v>
      </c>
      <c r="B11" s="1558">
        <v>0</v>
      </c>
      <c r="C11" s="1555">
        <v>0</v>
      </c>
      <c r="D11" s="1555">
        <v>0</v>
      </c>
      <c r="E11" s="1555">
        <v>0</v>
      </c>
      <c r="F11" s="1555">
        <v>7.4390000000000001</v>
      </c>
      <c r="G11" s="1555">
        <v>7.4390000000000001</v>
      </c>
      <c r="H11" s="1555">
        <v>0</v>
      </c>
      <c r="I11" s="1555">
        <v>0</v>
      </c>
      <c r="J11" s="1555">
        <v>0</v>
      </c>
      <c r="K11" s="1555">
        <v>13.981</v>
      </c>
      <c r="L11" s="1556">
        <v>1.9543368000000001</v>
      </c>
      <c r="M11" s="1557">
        <v>23.373999999999999</v>
      </c>
      <c r="N11" s="1048"/>
      <c r="O11" s="1048"/>
      <c r="P11" s="1048"/>
    </row>
    <row r="12" spans="1:16" s="1039" customFormat="1" ht="33.6" customHeight="1">
      <c r="A12" s="1049" t="s">
        <v>748</v>
      </c>
      <c r="B12" s="1558">
        <v>0</v>
      </c>
      <c r="C12" s="1555">
        <v>0</v>
      </c>
      <c r="D12" s="1555">
        <v>0</v>
      </c>
      <c r="E12" s="1555">
        <v>0</v>
      </c>
      <c r="F12" s="1555">
        <v>146.24</v>
      </c>
      <c r="G12" s="1555">
        <v>146.24</v>
      </c>
      <c r="H12" s="1555">
        <v>1043.146</v>
      </c>
      <c r="I12" s="1555">
        <v>0</v>
      </c>
      <c r="J12" s="1555">
        <v>2122.2469999999998</v>
      </c>
      <c r="K12" s="1555">
        <v>79.510000000000005</v>
      </c>
      <c r="L12" s="1556">
        <v>13.110357</v>
      </c>
      <c r="M12" s="1557">
        <v>3404.2530000000002</v>
      </c>
      <c r="N12" s="1048"/>
      <c r="O12" s="1048"/>
      <c r="P12" s="1048"/>
    </row>
    <row r="13" spans="1:16" s="1039" customFormat="1" ht="33.6" customHeight="1">
      <c r="A13" s="1049" t="s">
        <v>749</v>
      </c>
      <c r="B13" s="1558">
        <v>0</v>
      </c>
      <c r="C13" s="1555">
        <v>0</v>
      </c>
      <c r="D13" s="1555">
        <v>0</v>
      </c>
      <c r="E13" s="1555">
        <v>0</v>
      </c>
      <c r="F13" s="1555">
        <v>0</v>
      </c>
      <c r="G13" s="1555">
        <v>0</v>
      </c>
      <c r="H13" s="1555">
        <v>24.327000000000002</v>
      </c>
      <c r="I13" s="1555">
        <v>0</v>
      </c>
      <c r="J13" s="1555">
        <v>0</v>
      </c>
      <c r="K13" s="1555">
        <v>17.649000000000001</v>
      </c>
      <c r="L13" s="1556">
        <v>0.4391737</v>
      </c>
      <c r="M13" s="1557">
        <v>42.414999999999999</v>
      </c>
      <c r="N13" s="1048"/>
      <c r="O13" s="1048"/>
      <c r="P13" s="1048"/>
    </row>
    <row r="14" spans="1:16" s="1039" customFormat="1" ht="33.6" customHeight="1">
      <c r="A14" s="1049" t="s">
        <v>750</v>
      </c>
      <c r="B14" s="1558">
        <v>59.497999999999998</v>
      </c>
      <c r="C14" s="1555">
        <v>0</v>
      </c>
      <c r="D14" s="1555">
        <v>74.691999999999993</v>
      </c>
      <c r="E14" s="1555">
        <v>8.2000000000000003E-2</v>
      </c>
      <c r="F14" s="1555">
        <v>14.036</v>
      </c>
      <c r="G14" s="1555">
        <v>88.808999999999997</v>
      </c>
      <c r="H14" s="1555">
        <v>5492.3760000000002</v>
      </c>
      <c r="I14" s="1555">
        <v>8.3000000000000004E-2</v>
      </c>
      <c r="J14" s="1555">
        <v>0</v>
      </c>
      <c r="K14" s="1555">
        <v>597.42600000000004</v>
      </c>
      <c r="L14" s="1556">
        <v>12.8650903</v>
      </c>
      <c r="M14" s="1557">
        <v>6251.0569999999998</v>
      </c>
      <c r="N14" s="1048"/>
      <c r="O14" s="1048"/>
      <c r="P14" s="1048"/>
    </row>
    <row r="15" spans="1:16" s="1039" customFormat="1" ht="33.6" customHeight="1">
      <c r="A15" s="1049" t="s">
        <v>751</v>
      </c>
      <c r="B15" s="1558">
        <v>126.429</v>
      </c>
      <c r="C15" s="1555">
        <v>4.0000000000000001E-3</v>
      </c>
      <c r="D15" s="1555">
        <v>1148.713</v>
      </c>
      <c r="E15" s="1555">
        <v>0</v>
      </c>
      <c r="F15" s="1555">
        <v>0</v>
      </c>
      <c r="G15" s="1555">
        <v>1148.7170000000001</v>
      </c>
      <c r="H15" s="1555">
        <v>237.58099999999999</v>
      </c>
      <c r="I15" s="1555">
        <v>0</v>
      </c>
      <c r="J15" s="1555">
        <v>0</v>
      </c>
      <c r="K15" s="1555">
        <v>578.85900000000004</v>
      </c>
      <c r="L15" s="1556">
        <v>7.6259117999999999</v>
      </c>
      <c r="M15" s="1557">
        <v>2099.212</v>
      </c>
      <c r="N15" s="1048"/>
      <c r="O15" s="1048"/>
      <c r="P15" s="1048"/>
    </row>
    <row r="16" spans="1:16" s="1039" customFormat="1" ht="33.6" customHeight="1">
      <c r="A16" s="1559" t="s">
        <v>752</v>
      </c>
      <c r="B16" s="1560">
        <v>58.387</v>
      </c>
      <c r="C16" s="1555">
        <v>0</v>
      </c>
      <c r="D16" s="1555">
        <v>0</v>
      </c>
      <c r="E16" s="1555">
        <v>0</v>
      </c>
      <c r="F16" s="1555">
        <v>0</v>
      </c>
      <c r="G16" s="1555">
        <v>0</v>
      </c>
      <c r="H16" s="1555">
        <v>257.33999999999997</v>
      </c>
      <c r="I16" s="1555">
        <v>0</v>
      </c>
      <c r="J16" s="1555">
        <v>0</v>
      </c>
      <c r="K16" s="1555">
        <v>355.03100000000001</v>
      </c>
      <c r="L16" s="1556">
        <v>14.151909699999999</v>
      </c>
      <c r="M16" s="1557">
        <v>684.91</v>
      </c>
      <c r="N16" s="1048"/>
      <c r="O16" s="1048"/>
      <c r="P16" s="1048"/>
    </row>
    <row r="17" spans="1:16" s="1039" customFormat="1" ht="33.6" customHeight="1">
      <c r="A17" s="1559" t="s">
        <v>753</v>
      </c>
      <c r="B17" s="1560">
        <v>3.0510000000000002</v>
      </c>
      <c r="C17" s="1555">
        <v>0</v>
      </c>
      <c r="D17" s="1555">
        <v>4800.0950000000003</v>
      </c>
      <c r="E17" s="1555">
        <v>0</v>
      </c>
      <c r="F17" s="1555">
        <v>0.61199999999999999</v>
      </c>
      <c r="G17" s="1555">
        <v>4800.7070000000003</v>
      </c>
      <c r="H17" s="1555">
        <v>647.98900000000003</v>
      </c>
      <c r="I17" s="1555">
        <v>0.46700000000000003</v>
      </c>
      <c r="J17" s="1555">
        <v>0</v>
      </c>
      <c r="K17" s="1555">
        <v>825.16099999999994</v>
      </c>
      <c r="L17" s="1556">
        <v>5.5749658000000002</v>
      </c>
      <c r="M17" s="1557">
        <v>6282.95</v>
      </c>
      <c r="N17" s="1048"/>
      <c r="O17" s="1048"/>
      <c r="P17" s="1048"/>
    </row>
    <row r="18" spans="1:16" s="1039" customFormat="1" ht="33.6" customHeight="1">
      <c r="A18" s="1559" t="s">
        <v>754</v>
      </c>
      <c r="B18" s="1560">
        <v>67.59</v>
      </c>
      <c r="C18" s="1555">
        <v>0</v>
      </c>
      <c r="D18" s="1555">
        <v>359.05599999999998</v>
      </c>
      <c r="E18" s="1555">
        <v>0</v>
      </c>
      <c r="F18" s="1555">
        <v>0</v>
      </c>
      <c r="G18" s="1555">
        <v>359.05599999999998</v>
      </c>
      <c r="H18" s="1555">
        <v>123.032</v>
      </c>
      <c r="I18" s="1555">
        <v>1.194</v>
      </c>
      <c r="J18" s="1555">
        <v>0</v>
      </c>
      <c r="K18" s="1555">
        <v>946.23500000000001</v>
      </c>
      <c r="L18" s="1556">
        <v>3.0563001000000001</v>
      </c>
      <c r="M18" s="1557">
        <v>1500.163</v>
      </c>
      <c r="N18" s="1048"/>
      <c r="O18" s="1048"/>
      <c r="P18" s="1048"/>
    </row>
    <row r="19" spans="1:16" s="1039" customFormat="1" ht="33.6" customHeight="1">
      <c r="A19" s="1559" t="s">
        <v>755</v>
      </c>
      <c r="B19" s="1560">
        <v>8.9689999999999994</v>
      </c>
      <c r="C19" s="1555">
        <v>0</v>
      </c>
      <c r="D19" s="1555">
        <v>479.36200000000002</v>
      </c>
      <c r="E19" s="1555">
        <v>0</v>
      </c>
      <c r="F19" s="1555">
        <v>0</v>
      </c>
      <c r="G19" s="1555">
        <v>479.36200000000002</v>
      </c>
      <c r="H19" s="1555">
        <v>1003.086</v>
      </c>
      <c r="I19" s="1555">
        <v>4.3789999999999996</v>
      </c>
      <c r="J19" s="1555">
        <v>2969.8470000000002</v>
      </c>
      <c r="K19" s="1555">
        <v>839.98400000000004</v>
      </c>
      <c r="L19" s="1556">
        <v>26.012020100000001</v>
      </c>
      <c r="M19" s="1557">
        <v>5331.64</v>
      </c>
      <c r="N19" s="1048"/>
      <c r="O19" s="1048"/>
      <c r="P19" s="1048"/>
    </row>
    <row r="20" spans="1:16" s="1039" customFormat="1" ht="33.6" customHeight="1">
      <c r="A20" s="1559" t="s">
        <v>756</v>
      </c>
      <c r="B20" s="1560">
        <v>96.948999999999998</v>
      </c>
      <c r="C20" s="1555">
        <v>0</v>
      </c>
      <c r="D20" s="1555">
        <v>85.974999999999994</v>
      </c>
      <c r="E20" s="1555">
        <v>0</v>
      </c>
      <c r="F20" s="1555">
        <v>0</v>
      </c>
      <c r="G20" s="1555">
        <v>85.974999999999994</v>
      </c>
      <c r="H20" s="1555">
        <v>373.00799999999998</v>
      </c>
      <c r="I20" s="1555">
        <v>6.72</v>
      </c>
      <c r="J20" s="1555">
        <v>6589.241</v>
      </c>
      <c r="K20" s="1555">
        <v>743.78800000000001</v>
      </c>
      <c r="L20" s="1556">
        <v>11.0119881</v>
      </c>
      <c r="M20" s="1557">
        <v>7906.6930000000002</v>
      </c>
      <c r="N20" s="1048"/>
      <c r="O20" s="1048"/>
      <c r="P20" s="1048"/>
    </row>
    <row r="21" spans="1:16" s="1039" customFormat="1" ht="33.6" customHeight="1">
      <c r="A21" s="1559" t="s">
        <v>757</v>
      </c>
      <c r="B21" s="1560">
        <v>93.174000000000007</v>
      </c>
      <c r="C21" s="1555">
        <v>0</v>
      </c>
      <c r="D21" s="1555">
        <v>2994.6880000000001</v>
      </c>
      <c r="E21" s="1555">
        <v>3.7189999999999999</v>
      </c>
      <c r="F21" s="1555">
        <v>0</v>
      </c>
      <c r="G21" s="1555">
        <v>2998.4070000000002</v>
      </c>
      <c r="H21" s="1555">
        <v>396.88400000000001</v>
      </c>
      <c r="I21" s="1555">
        <v>0.13</v>
      </c>
      <c r="J21" s="1555">
        <v>0</v>
      </c>
      <c r="K21" s="1555">
        <v>378.02699999999999</v>
      </c>
      <c r="L21" s="1556">
        <v>1.7641784</v>
      </c>
      <c r="M21" s="1557">
        <v>3868.386</v>
      </c>
      <c r="N21" s="1048"/>
      <c r="O21" s="1048"/>
      <c r="P21" s="1048"/>
    </row>
    <row r="22" spans="1:16" s="1039" customFormat="1" ht="33.6" customHeight="1">
      <c r="A22" s="1561" t="s">
        <v>758</v>
      </c>
      <c r="B22" s="1562">
        <v>4.7E-2</v>
      </c>
      <c r="C22" s="1555">
        <v>0</v>
      </c>
      <c r="D22" s="1555">
        <v>0</v>
      </c>
      <c r="E22" s="1555">
        <v>0</v>
      </c>
      <c r="F22" s="1555">
        <v>0</v>
      </c>
      <c r="G22" s="1555">
        <v>0</v>
      </c>
      <c r="H22" s="1563">
        <v>121.998</v>
      </c>
      <c r="I22" s="1563">
        <v>1.399</v>
      </c>
      <c r="J22" s="1555">
        <v>0</v>
      </c>
      <c r="K22" s="1563">
        <v>236.59100000000001</v>
      </c>
      <c r="L22" s="1564">
        <v>7.6296410999999997</v>
      </c>
      <c r="M22" s="1565">
        <v>367.66500000000002</v>
      </c>
      <c r="N22" s="1048"/>
      <c r="O22" s="1048"/>
      <c r="P22" s="1048"/>
    </row>
    <row r="23" spans="1:16" s="1039" customFormat="1" ht="33.6" customHeight="1">
      <c r="A23" s="1566" t="s">
        <v>951</v>
      </c>
      <c r="B23" s="1567">
        <v>517.59299999999996</v>
      </c>
      <c r="C23" s="1568">
        <v>4.0000000000000001E-3</v>
      </c>
      <c r="D23" s="1569">
        <v>11405.489</v>
      </c>
      <c r="E23" s="1569">
        <v>3.8</v>
      </c>
      <c r="F23" s="1569">
        <v>180.203</v>
      </c>
      <c r="G23" s="1569">
        <v>11589.495999999999</v>
      </c>
      <c r="H23" s="1569">
        <v>12453.991</v>
      </c>
      <c r="I23" s="1569">
        <v>24.672999999999998</v>
      </c>
      <c r="J23" s="1569">
        <v>13608.608</v>
      </c>
      <c r="K23" s="1569">
        <v>6046.1350000000002</v>
      </c>
      <c r="L23" s="1570">
        <v>137.65067379999999</v>
      </c>
      <c r="M23" s="1571">
        <v>44378.146999999997</v>
      </c>
      <c r="N23" s="1048"/>
      <c r="O23" s="1048"/>
      <c r="P23" s="1048"/>
    </row>
    <row r="24" spans="1:16" s="1064" customFormat="1" ht="12.75" customHeight="1">
      <c r="A24" s="346" t="s">
        <v>759</v>
      </c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46"/>
    </row>
    <row r="25" spans="1:16" s="1064" customFormat="1" ht="12.75" customHeight="1">
      <c r="A25" s="346" t="s">
        <v>952</v>
      </c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</row>
    <row r="26" spans="1:16" s="1064" customFormat="1" ht="12.75" customHeight="1">
      <c r="A26" s="346" t="s">
        <v>738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</row>
    <row r="27" spans="1:16" s="1064" customFormat="1" ht="9.9499999999999993" customHeight="1">
      <c r="A27" s="346"/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  <c r="M27" s="346"/>
    </row>
    <row r="28" spans="1:16" s="1039" customFormat="1" ht="3" customHeight="1">
      <c r="A28" s="1065"/>
      <c r="B28" s="1065"/>
      <c r="C28" s="1065"/>
      <c r="D28" s="1065"/>
      <c r="E28" s="1065"/>
      <c r="F28" s="1065"/>
      <c r="G28" s="1065"/>
      <c r="H28" s="1065"/>
      <c r="I28" s="1065"/>
      <c r="J28" s="1065"/>
      <c r="K28" s="1065"/>
      <c r="L28" s="1065"/>
      <c r="M28" s="1065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r:id="rId1"/>
  <headerFooter differentOddEven="1" scaleWithDoc="0" alignWithMargins="0">
    <firstFooter>&amp;R&amp;P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6083-91B7-4967-9ACC-39FEA03DEAC1}">
  <sheetPr>
    <tabColor theme="8"/>
  </sheetPr>
  <dimension ref="A1:AA28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3" width="7.125" style="12" customWidth="1"/>
    <col min="4" max="4" width="7.375" style="12" customWidth="1"/>
    <col min="5" max="6" width="7.125" style="12" customWidth="1"/>
    <col min="7" max="8" width="7.375" style="12" customWidth="1"/>
    <col min="9" max="9" width="7.125" style="12" customWidth="1"/>
    <col min="10" max="10" width="7.375" style="12" customWidth="1"/>
    <col min="11" max="12" width="7.125" style="12" customWidth="1"/>
    <col min="13" max="13" width="7.375" style="12" customWidth="1"/>
    <col min="14" max="16384" width="10" style="1066"/>
  </cols>
  <sheetData>
    <row r="1" spans="1:27" s="1502" customFormat="1" ht="20.25" customHeight="1">
      <c r="A1" s="609" t="s">
        <v>953</v>
      </c>
      <c r="B1" s="976"/>
      <c r="C1" s="976"/>
      <c r="D1" s="976"/>
      <c r="E1" s="976"/>
      <c r="F1" s="976"/>
      <c r="G1" s="976"/>
      <c r="H1" s="976"/>
      <c r="I1" s="976"/>
      <c r="J1" s="976"/>
      <c r="K1" s="976"/>
      <c r="L1" s="976"/>
      <c r="M1" s="976"/>
    </row>
    <row r="2" spans="1:27" ht="17.25" customHeight="1">
      <c r="A2" s="590" t="s">
        <v>954</v>
      </c>
      <c r="F2" s="12" t="s">
        <v>955</v>
      </c>
    </row>
    <row r="3" spans="1:27" s="1031" customFormat="1" ht="15" customHeight="1">
      <c r="A3" s="1572"/>
      <c r="B3" s="438"/>
      <c r="C3" s="1029"/>
      <c r="D3" s="438"/>
      <c r="E3" s="438"/>
      <c r="F3" s="1029"/>
      <c r="G3" s="1029"/>
      <c r="H3" s="1029"/>
      <c r="I3" s="1029"/>
      <c r="J3" s="1029"/>
      <c r="K3" s="1029"/>
      <c r="L3" s="1029"/>
      <c r="M3" s="683" t="s">
        <v>929</v>
      </c>
    </row>
    <row r="4" spans="1:27" s="1039" customFormat="1" ht="30.6" customHeight="1">
      <c r="A4" s="1032" t="s">
        <v>937</v>
      </c>
      <c r="B4" s="1551" t="s">
        <v>154</v>
      </c>
      <c r="C4" s="284" t="s">
        <v>164</v>
      </c>
      <c r="D4" s="284"/>
      <c r="E4" s="284"/>
      <c r="F4" s="284"/>
      <c r="G4" s="1034"/>
      <c r="H4" s="1035" t="s">
        <v>163</v>
      </c>
      <c r="I4" s="1035" t="s">
        <v>157</v>
      </c>
      <c r="J4" s="1036" t="s">
        <v>12</v>
      </c>
      <c r="K4" s="1037" t="s">
        <v>158</v>
      </c>
      <c r="L4" s="1038" t="s">
        <v>159</v>
      </c>
      <c r="M4" s="283" t="s">
        <v>160</v>
      </c>
    </row>
    <row r="5" spans="1:27" s="1039" customFormat="1" ht="30.6" customHeight="1">
      <c r="A5" s="1040"/>
      <c r="B5" s="1552"/>
      <c r="C5" s="622" t="s">
        <v>108</v>
      </c>
      <c r="D5" s="302" t="s">
        <v>107</v>
      </c>
      <c r="E5" s="302" t="s">
        <v>186</v>
      </c>
      <c r="F5" s="302" t="s">
        <v>187</v>
      </c>
      <c r="G5" s="302" t="s">
        <v>160</v>
      </c>
      <c r="H5" s="304"/>
      <c r="I5" s="304"/>
      <c r="J5" s="303"/>
      <c r="K5" s="303"/>
      <c r="L5" s="1041"/>
      <c r="M5" s="300"/>
      <c r="O5" s="1064"/>
      <c r="P5" s="1064"/>
      <c r="Q5" s="1064"/>
      <c r="R5" s="1064"/>
      <c r="S5" s="1064"/>
      <c r="T5" s="1064"/>
      <c r="U5" s="1064"/>
      <c r="V5" s="1064"/>
      <c r="W5" s="1064"/>
      <c r="X5" s="1064"/>
      <c r="Y5" s="1064"/>
      <c r="Z5" s="1064"/>
      <c r="AA5" s="1064"/>
    </row>
    <row r="6" spans="1:27" s="1039" customFormat="1" ht="33.6" customHeight="1">
      <c r="A6" s="1553" t="s">
        <v>742</v>
      </c>
      <c r="B6" s="1554">
        <v>0</v>
      </c>
      <c r="C6" s="1555">
        <v>0</v>
      </c>
      <c r="D6" s="1555">
        <v>0</v>
      </c>
      <c r="E6" s="1555">
        <v>0</v>
      </c>
      <c r="F6" s="1555">
        <v>76.451999999999998</v>
      </c>
      <c r="G6" s="1555">
        <v>76.451999999999998</v>
      </c>
      <c r="H6" s="1555">
        <v>954.37099999999998</v>
      </c>
      <c r="I6" s="1555">
        <v>0</v>
      </c>
      <c r="J6" s="1555">
        <v>0</v>
      </c>
      <c r="K6" s="1555">
        <v>187.19399999999999</v>
      </c>
      <c r="L6" s="1556">
        <v>51.812260500000001</v>
      </c>
      <c r="M6" s="1557">
        <v>1269.828</v>
      </c>
      <c r="O6" s="1064"/>
      <c r="P6" s="1064"/>
      <c r="Q6" s="1064"/>
      <c r="R6" s="1064"/>
      <c r="S6" s="1064"/>
      <c r="T6" s="1064"/>
      <c r="U6" s="1064"/>
      <c r="V6" s="1064"/>
      <c r="W6" s="1064"/>
      <c r="X6" s="1064"/>
      <c r="Y6" s="1064"/>
      <c r="Z6" s="1064"/>
      <c r="AA6" s="1064"/>
    </row>
    <row r="7" spans="1:27" s="1039" customFormat="1" ht="33.6" customHeight="1">
      <c r="A7" s="1049" t="s">
        <v>743</v>
      </c>
      <c r="B7" s="1558">
        <v>1E-3</v>
      </c>
      <c r="C7" s="1555">
        <v>0</v>
      </c>
      <c r="D7" s="1555">
        <v>2.4580000000000002</v>
      </c>
      <c r="E7" s="1555">
        <v>0</v>
      </c>
      <c r="F7" s="1555">
        <v>5.1340000000000003</v>
      </c>
      <c r="G7" s="1555">
        <v>7.5919999999999996</v>
      </c>
      <c r="H7" s="1555">
        <v>1484.627</v>
      </c>
      <c r="I7" s="1555">
        <v>0</v>
      </c>
      <c r="J7" s="1555">
        <v>6477.4260000000004</v>
      </c>
      <c r="K7" s="1555">
        <v>249.18700000000001</v>
      </c>
      <c r="L7" s="1556">
        <v>40.557859200000003</v>
      </c>
      <c r="M7" s="1557">
        <v>8259.3909999999996</v>
      </c>
      <c r="O7" s="1064"/>
      <c r="P7" s="1064"/>
      <c r="Q7" s="1064"/>
      <c r="R7" s="1064"/>
      <c r="S7" s="1064"/>
      <c r="T7" s="1064"/>
      <c r="U7" s="1064"/>
      <c r="V7" s="1064"/>
      <c r="W7" s="1064"/>
      <c r="X7" s="1064"/>
      <c r="Y7" s="1064"/>
      <c r="Z7" s="1064"/>
      <c r="AA7" s="1064"/>
    </row>
    <row r="8" spans="1:27" s="1039" customFormat="1" ht="33.6" customHeight="1">
      <c r="A8" s="1049" t="s">
        <v>744</v>
      </c>
      <c r="B8" s="1558">
        <v>4.5819999999999999</v>
      </c>
      <c r="C8" s="1555">
        <v>0</v>
      </c>
      <c r="D8" s="1555">
        <v>6.2E-2</v>
      </c>
      <c r="E8" s="1555">
        <v>0</v>
      </c>
      <c r="F8" s="1558">
        <v>0</v>
      </c>
      <c r="G8" s="1555">
        <v>6.2E-2</v>
      </c>
      <c r="H8" s="1555">
        <v>1428.558</v>
      </c>
      <c r="I8" s="1555">
        <v>0</v>
      </c>
      <c r="J8" s="1555">
        <v>0</v>
      </c>
      <c r="K8" s="1555">
        <v>266.08600000000001</v>
      </c>
      <c r="L8" s="1556">
        <v>3.0018194999999999</v>
      </c>
      <c r="M8" s="1557">
        <v>1702.289</v>
      </c>
      <c r="O8" s="1064"/>
      <c r="P8" s="1064"/>
      <c r="Q8" s="1064"/>
      <c r="R8" s="1064"/>
      <c r="S8" s="1064"/>
      <c r="T8" s="1064"/>
      <c r="U8" s="1064"/>
      <c r="V8" s="1064"/>
      <c r="W8" s="1064"/>
      <c r="X8" s="1064"/>
      <c r="Y8" s="1064"/>
      <c r="Z8" s="1064"/>
      <c r="AA8" s="1064"/>
    </row>
    <row r="9" spans="1:27" s="1039" customFormat="1" ht="33.6" customHeight="1">
      <c r="A9" s="1049" t="s">
        <v>745</v>
      </c>
      <c r="B9" s="1558">
        <v>6.4950000000000001</v>
      </c>
      <c r="C9" s="1555">
        <v>0</v>
      </c>
      <c r="D9" s="1555">
        <v>6214.12</v>
      </c>
      <c r="E9" s="1555">
        <v>0</v>
      </c>
      <c r="F9" s="1555">
        <v>27.715</v>
      </c>
      <c r="G9" s="1555">
        <v>6241.8360000000002</v>
      </c>
      <c r="H9" s="1555">
        <v>9197.0990000000002</v>
      </c>
      <c r="I9" s="1555">
        <v>45.82</v>
      </c>
      <c r="J9" s="1555">
        <v>0</v>
      </c>
      <c r="K9" s="1555">
        <v>685.28300000000002</v>
      </c>
      <c r="L9" s="1556">
        <v>6.6740915999999997</v>
      </c>
      <c r="M9" s="1557">
        <v>16183.207</v>
      </c>
    </row>
    <row r="10" spans="1:27" s="1039" customFormat="1" ht="33.6" customHeight="1">
      <c r="A10" s="1049" t="s">
        <v>746</v>
      </c>
      <c r="B10" s="1558">
        <v>3.1829999999999998</v>
      </c>
      <c r="C10" s="1555">
        <v>0</v>
      </c>
      <c r="D10" s="1555">
        <v>0</v>
      </c>
      <c r="E10" s="1555">
        <v>0</v>
      </c>
      <c r="F10" s="1555">
        <v>0</v>
      </c>
      <c r="G10" s="1555">
        <v>0</v>
      </c>
      <c r="H10" s="1555">
        <v>166.61</v>
      </c>
      <c r="I10" s="1555">
        <v>0</v>
      </c>
      <c r="J10" s="1555">
        <v>0</v>
      </c>
      <c r="K10" s="1555">
        <v>237.48</v>
      </c>
      <c r="L10" s="1556">
        <v>7.8957864999999998</v>
      </c>
      <c r="M10" s="1557">
        <v>415.16800000000001</v>
      </c>
      <c r="O10" s="1066"/>
      <c r="P10" s="1066"/>
      <c r="Q10" s="1066"/>
      <c r="R10" s="1066"/>
      <c r="S10" s="1066"/>
      <c r="T10" s="1066"/>
      <c r="U10" s="1066"/>
      <c r="V10" s="1066"/>
      <c r="W10" s="1066"/>
      <c r="X10" s="1066"/>
      <c r="Y10" s="1066"/>
      <c r="Z10" s="1066"/>
      <c r="AA10" s="1066"/>
    </row>
    <row r="11" spans="1:27" s="1039" customFormat="1" ht="33.6" customHeight="1">
      <c r="A11" s="1049" t="s">
        <v>747</v>
      </c>
      <c r="B11" s="1558">
        <v>0</v>
      </c>
      <c r="C11" s="1555">
        <v>0</v>
      </c>
      <c r="D11" s="1555">
        <v>0</v>
      </c>
      <c r="E11" s="1555">
        <v>0</v>
      </c>
      <c r="F11" s="1555">
        <v>64.162999999999997</v>
      </c>
      <c r="G11" s="1555">
        <v>64.162999999999997</v>
      </c>
      <c r="H11" s="1555">
        <v>0</v>
      </c>
      <c r="I11" s="1555">
        <v>0</v>
      </c>
      <c r="J11" s="1555">
        <v>0</v>
      </c>
      <c r="K11" s="1555">
        <v>81.66</v>
      </c>
      <c r="L11" s="1556">
        <v>51.596840899999997</v>
      </c>
      <c r="M11" s="1557">
        <v>197.41900000000001</v>
      </c>
      <c r="O11" s="1066"/>
      <c r="P11" s="1066"/>
      <c r="Q11" s="1066"/>
      <c r="R11" s="1066"/>
      <c r="S11" s="1066"/>
      <c r="T11" s="1066"/>
      <c r="U11" s="1066"/>
      <c r="V11" s="1066"/>
      <c r="W11" s="1066"/>
      <c r="X11" s="1066"/>
      <c r="Y11" s="1066"/>
      <c r="Z11" s="1066"/>
      <c r="AA11" s="1066"/>
    </row>
    <row r="12" spans="1:27" s="1039" customFormat="1" ht="33.6" customHeight="1">
      <c r="A12" s="1049" t="s">
        <v>748</v>
      </c>
      <c r="B12" s="1558">
        <v>8.0000000000000002E-3</v>
      </c>
      <c r="C12" s="1555">
        <v>0</v>
      </c>
      <c r="D12" s="1555">
        <v>0</v>
      </c>
      <c r="E12" s="1555">
        <v>0</v>
      </c>
      <c r="F12" s="1555">
        <v>710.36699999999996</v>
      </c>
      <c r="G12" s="1555">
        <v>710.36699999999996</v>
      </c>
      <c r="H12" s="1555">
        <v>4672.2979999999998</v>
      </c>
      <c r="I12" s="1555">
        <v>0</v>
      </c>
      <c r="J12" s="1555">
        <v>8548.1959999999999</v>
      </c>
      <c r="K12" s="1555">
        <v>277.68700000000001</v>
      </c>
      <c r="L12" s="1556">
        <v>79.043130199999993</v>
      </c>
      <c r="M12" s="1557">
        <v>14287.599</v>
      </c>
      <c r="O12" s="1066"/>
      <c r="P12" s="1066"/>
      <c r="Q12" s="1066"/>
      <c r="R12" s="1066"/>
      <c r="S12" s="1066"/>
      <c r="T12" s="1066"/>
      <c r="U12" s="1066"/>
      <c r="V12" s="1066"/>
      <c r="W12" s="1066"/>
      <c r="X12" s="1066"/>
      <c r="Y12" s="1066"/>
      <c r="Z12" s="1066"/>
      <c r="AA12" s="1066"/>
    </row>
    <row r="13" spans="1:27" s="1039" customFormat="1" ht="33.6" customHeight="1">
      <c r="A13" s="1049" t="s">
        <v>749</v>
      </c>
      <c r="B13" s="1558">
        <v>0</v>
      </c>
      <c r="C13" s="1555">
        <v>0</v>
      </c>
      <c r="D13" s="1555">
        <v>0</v>
      </c>
      <c r="E13" s="1555">
        <v>0</v>
      </c>
      <c r="F13" s="1555">
        <v>0</v>
      </c>
      <c r="G13" s="1555">
        <v>0</v>
      </c>
      <c r="H13" s="1555">
        <v>918.27200000000005</v>
      </c>
      <c r="I13" s="1573">
        <v>0</v>
      </c>
      <c r="J13" s="1555">
        <v>0</v>
      </c>
      <c r="K13" s="1555">
        <v>62.831000000000003</v>
      </c>
      <c r="L13" s="1556">
        <v>3.3174863999999999</v>
      </c>
      <c r="M13" s="1557">
        <v>984.42</v>
      </c>
      <c r="O13" s="1066"/>
      <c r="P13" s="1066"/>
      <c r="Q13" s="1066"/>
      <c r="R13" s="1066"/>
      <c r="S13" s="1066"/>
      <c r="T13" s="1066"/>
      <c r="U13" s="1066"/>
      <c r="V13" s="1066"/>
      <c r="W13" s="1066"/>
      <c r="X13" s="1066"/>
      <c r="Y13" s="1066"/>
      <c r="Z13" s="1066"/>
      <c r="AA13" s="1066"/>
    </row>
    <row r="14" spans="1:27" s="1039" customFormat="1" ht="33.6" customHeight="1">
      <c r="A14" s="1049" t="s">
        <v>750</v>
      </c>
      <c r="B14" s="1558">
        <v>230.42699999999999</v>
      </c>
      <c r="C14" s="1558">
        <v>0</v>
      </c>
      <c r="D14" s="1555">
        <v>535.67899999999997</v>
      </c>
      <c r="E14" s="1555">
        <v>1.038</v>
      </c>
      <c r="F14" s="1555">
        <v>89.652000000000001</v>
      </c>
      <c r="G14" s="1555">
        <v>626.36800000000005</v>
      </c>
      <c r="H14" s="1555">
        <v>26344.111000000001</v>
      </c>
      <c r="I14" s="1555">
        <v>0.38100000000000001</v>
      </c>
      <c r="J14" s="1555">
        <v>0</v>
      </c>
      <c r="K14" s="1555">
        <v>1979.34</v>
      </c>
      <c r="L14" s="1556">
        <v>60.189111699999998</v>
      </c>
      <c r="M14" s="1557">
        <v>29240.817999999999</v>
      </c>
      <c r="O14" s="1066"/>
      <c r="P14" s="1066"/>
      <c r="Q14" s="1066"/>
      <c r="R14" s="1066"/>
      <c r="S14" s="1066"/>
      <c r="T14" s="1066"/>
      <c r="U14" s="1066"/>
      <c r="V14" s="1066"/>
      <c r="W14" s="1066"/>
      <c r="X14" s="1066"/>
      <c r="Y14" s="1066"/>
      <c r="Z14" s="1066"/>
      <c r="AA14" s="1066"/>
    </row>
    <row r="15" spans="1:27" s="1039" customFormat="1" ht="33.6" customHeight="1">
      <c r="A15" s="1049" t="s">
        <v>751</v>
      </c>
      <c r="B15" s="1558">
        <v>560.12</v>
      </c>
      <c r="C15" s="1555">
        <v>17.053999999999998</v>
      </c>
      <c r="D15" s="1555">
        <v>4993.7969999999996</v>
      </c>
      <c r="E15" s="1555">
        <v>0</v>
      </c>
      <c r="F15" s="1555">
        <v>0</v>
      </c>
      <c r="G15" s="1555">
        <v>5010.8509999999997</v>
      </c>
      <c r="H15" s="1555">
        <v>904.54200000000003</v>
      </c>
      <c r="I15" s="1555">
        <v>0</v>
      </c>
      <c r="J15" s="1555">
        <v>0</v>
      </c>
      <c r="K15" s="1555">
        <v>2094.703</v>
      </c>
      <c r="L15" s="1556">
        <v>27.530214900000001</v>
      </c>
      <c r="M15" s="1557">
        <v>8597.7469999999994</v>
      </c>
      <c r="O15" s="1066"/>
      <c r="P15" s="1066"/>
      <c r="Q15" s="1066"/>
      <c r="R15" s="1066"/>
      <c r="S15" s="1066"/>
      <c r="T15" s="1066"/>
      <c r="U15" s="1066"/>
      <c r="V15" s="1066"/>
      <c r="W15" s="1066"/>
      <c r="X15" s="1066"/>
      <c r="Y15" s="1066"/>
      <c r="Z15" s="1066"/>
      <c r="AA15" s="1066"/>
    </row>
    <row r="16" spans="1:27" s="1039" customFormat="1" ht="33.6" customHeight="1">
      <c r="A16" s="1049" t="s">
        <v>752</v>
      </c>
      <c r="B16" s="1558">
        <v>199.71899999999999</v>
      </c>
      <c r="C16" s="1555">
        <v>0</v>
      </c>
      <c r="D16" s="1555">
        <v>0</v>
      </c>
      <c r="E16" s="1555">
        <v>0</v>
      </c>
      <c r="F16" s="1555">
        <v>0</v>
      </c>
      <c r="G16" s="1555">
        <v>0</v>
      </c>
      <c r="H16" s="1555">
        <v>1080.373</v>
      </c>
      <c r="I16" s="1573">
        <v>0</v>
      </c>
      <c r="J16" s="1555">
        <v>0</v>
      </c>
      <c r="K16" s="1555">
        <v>1178.886</v>
      </c>
      <c r="L16" s="1556">
        <v>32.319079199999997</v>
      </c>
      <c r="M16" s="1557">
        <v>2491.297</v>
      </c>
      <c r="O16" s="1066"/>
      <c r="P16" s="1066"/>
      <c r="Q16" s="1066"/>
      <c r="R16" s="1066"/>
      <c r="S16" s="1066"/>
      <c r="T16" s="1066"/>
      <c r="U16" s="1066"/>
      <c r="V16" s="1066"/>
      <c r="W16" s="1066"/>
      <c r="X16" s="1066"/>
      <c r="Y16" s="1066"/>
      <c r="Z16" s="1066"/>
      <c r="AA16" s="1066"/>
    </row>
    <row r="17" spans="1:27" s="1039" customFormat="1" ht="33.6" customHeight="1">
      <c r="A17" s="1049" t="s">
        <v>753</v>
      </c>
      <c r="B17" s="1558">
        <v>13.798</v>
      </c>
      <c r="C17" s="1555">
        <v>0</v>
      </c>
      <c r="D17" s="1555">
        <v>26902.905999999999</v>
      </c>
      <c r="E17" s="1555">
        <v>0</v>
      </c>
      <c r="F17" s="1555">
        <v>8.1140000000000008</v>
      </c>
      <c r="G17" s="1555">
        <v>26911.021000000001</v>
      </c>
      <c r="H17" s="1555">
        <v>3546.0050000000001</v>
      </c>
      <c r="I17" s="1555">
        <v>1.8620000000000001</v>
      </c>
      <c r="J17" s="1555">
        <v>0</v>
      </c>
      <c r="K17" s="1555">
        <v>2962.0610000000001</v>
      </c>
      <c r="L17" s="1556">
        <v>24.223159599999999</v>
      </c>
      <c r="M17" s="1557">
        <v>33458.968999999997</v>
      </c>
      <c r="O17" s="1066"/>
      <c r="P17" s="1066"/>
      <c r="Q17" s="1066"/>
      <c r="R17" s="1066"/>
      <c r="S17" s="1066"/>
      <c r="T17" s="1066"/>
      <c r="U17" s="1066"/>
      <c r="V17" s="1066"/>
      <c r="W17" s="1066"/>
      <c r="X17" s="1066"/>
      <c r="Y17" s="1066"/>
      <c r="Z17" s="1066"/>
      <c r="AA17" s="1066"/>
    </row>
    <row r="18" spans="1:27" s="1039" customFormat="1" ht="33.6" customHeight="1">
      <c r="A18" s="1049" t="s">
        <v>754</v>
      </c>
      <c r="B18" s="1558">
        <v>279.16899999999998</v>
      </c>
      <c r="C18" s="1555">
        <v>0</v>
      </c>
      <c r="D18" s="1555">
        <v>1377.4059999999999</v>
      </c>
      <c r="E18" s="1555">
        <v>0</v>
      </c>
      <c r="F18" s="1555">
        <v>0</v>
      </c>
      <c r="G18" s="1555">
        <v>1377.4059999999999</v>
      </c>
      <c r="H18" s="1555">
        <v>291.11900000000003</v>
      </c>
      <c r="I18" s="1555">
        <v>5.29</v>
      </c>
      <c r="J18" s="1555">
        <v>0</v>
      </c>
      <c r="K18" s="1555">
        <v>3478.3090000000002</v>
      </c>
      <c r="L18" s="1556">
        <v>11.647032599999999</v>
      </c>
      <c r="M18" s="1557">
        <v>5442.94</v>
      </c>
      <c r="O18" s="1066"/>
      <c r="P18" s="1066"/>
      <c r="Q18" s="1066"/>
      <c r="R18" s="1066"/>
      <c r="S18" s="1066"/>
      <c r="T18" s="1066"/>
      <c r="U18" s="1066"/>
      <c r="V18" s="1066"/>
      <c r="W18" s="1066"/>
      <c r="X18" s="1066"/>
      <c r="Y18" s="1066"/>
      <c r="Z18" s="1066"/>
      <c r="AA18" s="1066"/>
    </row>
    <row r="19" spans="1:27" s="1039" customFormat="1" ht="33.6" customHeight="1">
      <c r="A19" s="1049" t="s">
        <v>755</v>
      </c>
      <c r="B19" s="1558">
        <v>30.853999999999999</v>
      </c>
      <c r="C19" s="1555">
        <v>0</v>
      </c>
      <c r="D19" s="1555">
        <v>1651.396</v>
      </c>
      <c r="E19" s="1555">
        <v>0</v>
      </c>
      <c r="F19" s="1555">
        <v>0</v>
      </c>
      <c r="G19" s="1555">
        <v>1651.396</v>
      </c>
      <c r="H19" s="1555">
        <v>3645.4839999999999</v>
      </c>
      <c r="I19" s="1555">
        <v>18.122</v>
      </c>
      <c r="J19" s="1555">
        <v>11433.279</v>
      </c>
      <c r="K19" s="1555">
        <v>3281.8270000000002</v>
      </c>
      <c r="L19" s="1556">
        <v>307.9568519</v>
      </c>
      <c r="M19" s="1557">
        <v>20368.918000000001</v>
      </c>
      <c r="O19" s="1066"/>
      <c r="P19" s="1066"/>
      <c r="Q19" s="1066"/>
      <c r="R19" s="1066"/>
      <c r="S19" s="1066"/>
      <c r="T19" s="1066"/>
      <c r="U19" s="1066"/>
      <c r="V19" s="1066"/>
      <c r="W19" s="1066"/>
      <c r="X19" s="1066"/>
      <c r="Y19" s="1066"/>
      <c r="Z19" s="1066"/>
      <c r="AA19" s="1066"/>
    </row>
    <row r="20" spans="1:27" s="1039" customFormat="1" ht="33.6" customHeight="1">
      <c r="A20" s="1049" t="s">
        <v>756</v>
      </c>
      <c r="B20" s="1558">
        <v>384.11500000000001</v>
      </c>
      <c r="C20" s="1555">
        <v>0</v>
      </c>
      <c r="D20" s="1555">
        <v>342.892</v>
      </c>
      <c r="E20" s="1555">
        <v>0</v>
      </c>
      <c r="F20" s="1555">
        <v>0</v>
      </c>
      <c r="G20" s="1555">
        <v>342.892</v>
      </c>
      <c r="H20" s="1555">
        <v>1362.2840000000001</v>
      </c>
      <c r="I20" s="1573">
        <v>28.422000000000001</v>
      </c>
      <c r="J20" s="1555">
        <v>27117.791000000001</v>
      </c>
      <c r="K20" s="1555">
        <v>2739.7150000000001</v>
      </c>
      <c r="L20" s="1556">
        <v>43.751827900000002</v>
      </c>
      <c r="M20" s="1557">
        <v>32018.972000000002</v>
      </c>
      <c r="O20" s="1066"/>
      <c r="P20" s="1066"/>
      <c r="Q20" s="1066"/>
      <c r="R20" s="1066"/>
      <c r="S20" s="1066"/>
      <c r="T20" s="1066"/>
      <c r="U20" s="1066"/>
      <c r="V20" s="1066"/>
      <c r="W20" s="1066"/>
      <c r="X20" s="1066"/>
      <c r="Y20" s="1066"/>
      <c r="Z20" s="1066"/>
      <c r="AA20" s="1066"/>
    </row>
    <row r="21" spans="1:27" s="1039" customFormat="1" ht="33.6" customHeight="1">
      <c r="A21" s="1049" t="s">
        <v>757</v>
      </c>
      <c r="B21" s="1558">
        <v>265.851</v>
      </c>
      <c r="C21" s="1555">
        <v>0</v>
      </c>
      <c r="D21" s="1555">
        <v>13266.953</v>
      </c>
      <c r="E21" s="1555">
        <v>22.510999999999999</v>
      </c>
      <c r="F21" s="1555">
        <v>0</v>
      </c>
      <c r="G21" s="1555">
        <v>13289.464</v>
      </c>
      <c r="H21" s="1555">
        <v>2042.9369999999999</v>
      </c>
      <c r="I21" s="1555">
        <v>0.55800000000000005</v>
      </c>
      <c r="J21" s="1555">
        <v>0</v>
      </c>
      <c r="K21" s="1555">
        <v>1337.0260000000001</v>
      </c>
      <c r="L21" s="1556">
        <v>7.7010208999999996</v>
      </c>
      <c r="M21" s="1557">
        <v>16943.536</v>
      </c>
      <c r="O21" s="1066"/>
      <c r="P21" s="1066"/>
      <c r="Q21" s="1066"/>
      <c r="R21" s="1066"/>
      <c r="S21" s="1066"/>
      <c r="T21" s="1066"/>
      <c r="U21" s="1066"/>
      <c r="V21" s="1066"/>
      <c r="W21" s="1066"/>
      <c r="X21" s="1066"/>
      <c r="Y21" s="1066"/>
      <c r="Z21" s="1066"/>
      <c r="AA21" s="1066"/>
    </row>
    <row r="22" spans="1:27" s="1039" customFormat="1" ht="33.6" customHeight="1">
      <c r="A22" s="1055" t="s">
        <v>758</v>
      </c>
      <c r="B22" s="1574">
        <v>0.61799999999999999</v>
      </c>
      <c r="C22" s="1563">
        <v>0</v>
      </c>
      <c r="D22" s="1563">
        <v>0</v>
      </c>
      <c r="E22" s="1563">
        <v>0</v>
      </c>
      <c r="F22" s="1563">
        <v>0</v>
      </c>
      <c r="G22" s="1563">
        <v>0</v>
      </c>
      <c r="H22" s="1563">
        <v>465.56599999999997</v>
      </c>
      <c r="I22" s="1563">
        <v>5.6109999999999998</v>
      </c>
      <c r="J22" s="1563">
        <v>0</v>
      </c>
      <c r="K22" s="1563">
        <v>1086.3489999999999</v>
      </c>
      <c r="L22" s="1564">
        <v>22.6582723</v>
      </c>
      <c r="M22" s="1565">
        <v>1580.8019999999999</v>
      </c>
      <c r="O22" s="1066"/>
      <c r="P22" s="1066"/>
      <c r="Q22" s="1066"/>
      <c r="R22" s="1066"/>
      <c r="S22" s="1066"/>
      <c r="T22" s="1066"/>
      <c r="U22" s="1066"/>
      <c r="V22" s="1066"/>
      <c r="W22" s="1066"/>
      <c r="X22" s="1066"/>
      <c r="Y22" s="1066"/>
      <c r="Z22" s="1066"/>
      <c r="AA22" s="1066"/>
    </row>
    <row r="23" spans="1:27" s="1039" customFormat="1" ht="33.6" customHeight="1">
      <c r="A23" s="1061" t="s">
        <v>951</v>
      </c>
      <c r="B23" s="1568">
        <v>1978.941</v>
      </c>
      <c r="C23" s="1568">
        <v>17.053999999999998</v>
      </c>
      <c r="D23" s="1569">
        <v>55287.669000000002</v>
      </c>
      <c r="E23" s="1569">
        <v>23.547999999999998</v>
      </c>
      <c r="F23" s="1569">
        <v>981.59699999999998</v>
      </c>
      <c r="G23" s="1569">
        <v>56309.868000000002</v>
      </c>
      <c r="H23" s="1569">
        <v>58504.254999999997</v>
      </c>
      <c r="I23" s="1569">
        <v>106.06699999999999</v>
      </c>
      <c r="J23" s="1569">
        <v>53576.692000000003</v>
      </c>
      <c r="K23" s="1569">
        <v>22185.623</v>
      </c>
      <c r="L23" s="1570">
        <v>781.87584570000001</v>
      </c>
      <c r="M23" s="1571">
        <v>193443.321</v>
      </c>
      <c r="O23" s="1066"/>
      <c r="P23" s="1066"/>
      <c r="Q23" s="1066"/>
      <c r="R23" s="1066"/>
      <c r="S23" s="1066"/>
      <c r="T23" s="1066"/>
      <c r="U23" s="1066"/>
      <c r="V23" s="1066"/>
      <c r="W23" s="1066"/>
      <c r="X23" s="1066"/>
      <c r="Y23" s="1066"/>
      <c r="Z23" s="1066"/>
      <c r="AA23" s="1066"/>
    </row>
    <row r="24" spans="1:27" s="1064" customFormat="1" ht="12.75" customHeight="1">
      <c r="A24" s="346" t="s">
        <v>759</v>
      </c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46"/>
      <c r="O24" s="1066"/>
      <c r="P24" s="1066"/>
      <c r="Q24" s="1066"/>
      <c r="R24" s="1066"/>
      <c r="S24" s="1066"/>
      <c r="T24" s="1066"/>
      <c r="U24" s="1066"/>
      <c r="V24" s="1066"/>
      <c r="W24" s="1066"/>
      <c r="X24" s="1066"/>
      <c r="Y24" s="1066"/>
      <c r="Z24" s="1066"/>
      <c r="AA24" s="1066"/>
    </row>
    <row r="25" spans="1:27" s="1064" customFormat="1" ht="12.75" customHeight="1">
      <c r="A25" s="346" t="s">
        <v>952</v>
      </c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O25" s="1066"/>
      <c r="P25" s="1066"/>
      <c r="Q25" s="1066"/>
      <c r="R25" s="1066"/>
      <c r="S25" s="1066"/>
      <c r="T25" s="1066"/>
      <c r="U25" s="1066"/>
      <c r="V25" s="1066"/>
      <c r="W25" s="1066"/>
      <c r="X25" s="1066"/>
      <c r="Y25" s="1066"/>
      <c r="Z25" s="1066"/>
      <c r="AA25" s="1066"/>
    </row>
    <row r="26" spans="1:27" s="1064" customFormat="1" ht="12.75" customHeight="1">
      <c r="A26" s="346" t="s">
        <v>738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O26" s="1066"/>
      <c r="P26" s="1066"/>
      <c r="Q26" s="1066"/>
      <c r="R26" s="1066"/>
      <c r="S26" s="1066"/>
      <c r="T26" s="1066"/>
      <c r="U26" s="1066"/>
      <c r="V26" s="1066"/>
      <c r="W26" s="1066"/>
      <c r="X26" s="1066"/>
      <c r="Y26" s="1066"/>
      <c r="Z26" s="1066"/>
      <c r="AA26" s="1066"/>
    </row>
    <row r="27" spans="1:27" s="1064" customFormat="1" ht="9.9499999999999993" customHeight="1">
      <c r="A27" s="346"/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  <c r="M27" s="346"/>
      <c r="O27" s="1066"/>
      <c r="P27" s="1066"/>
      <c r="Q27" s="1066"/>
      <c r="R27" s="1066"/>
      <c r="S27" s="1066"/>
      <c r="T27" s="1066"/>
      <c r="U27" s="1066"/>
      <c r="V27" s="1066"/>
      <c r="W27" s="1066"/>
      <c r="X27" s="1066"/>
      <c r="Y27" s="1066"/>
      <c r="Z27" s="1066"/>
      <c r="AA27" s="1066"/>
    </row>
    <row r="28" spans="1:27" s="1039" customFormat="1" ht="3" customHeight="1">
      <c r="A28" s="1065"/>
      <c r="B28" s="1065"/>
      <c r="C28" s="1065"/>
      <c r="D28" s="1065"/>
      <c r="E28" s="1065"/>
      <c r="F28" s="1065"/>
      <c r="G28" s="1065"/>
      <c r="H28" s="1065"/>
      <c r="I28" s="1065"/>
      <c r="J28" s="1065"/>
      <c r="K28" s="1065"/>
      <c r="L28" s="1065"/>
      <c r="M28" s="1065"/>
      <c r="O28" s="1066"/>
      <c r="P28" s="1066"/>
      <c r="Q28" s="1066"/>
      <c r="R28" s="1066"/>
      <c r="S28" s="1066"/>
      <c r="T28" s="1066"/>
      <c r="U28" s="1066"/>
      <c r="V28" s="1066"/>
      <c r="W28" s="1066"/>
      <c r="X28" s="1066"/>
      <c r="Y28" s="1066"/>
      <c r="Z28" s="1066"/>
      <c r="AA28" s="1066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r:id="rId1"/>
  <headerFooter differentOddEven="1" scaleWithDoc="0" alignWithMargins="0">
    <firstFooter>&amp;R&amp;P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E1D5-846E-4622-9639-CEA19989AD50}">
  <sheetPr>
    <tabColor theme="8"/>
  </sheetPr>
  <dimension ref="A1:Z39"/>
  <sheetViews>
    <sheetView view="pageBreakPreview" zoomScale="115" zoomScaleNormal="100" zoomScaleSheetLayoutView="115" workbookViewId="0"/>
  </sheetViews>
  <sheetFormatPr defaultColWidth="7.875" defaultRowHeight="13.5"/>
  <cols>
    <col min="1" max="1" width="11.25" style="287" customWidth="1"/>
    <col min="2" max="9" width="10.25" style="287" customWidth="1"/>
    <col min="10" max="10" width="10.5" style="287" customWidth="1"/>
    <col min="11" max="11" width="8.75" style="287" customWidth="1"/>
    <col min="12" max="12" width="9.375" style="287" customWidth="1"/>
    <col min="13" max="13" width="8.75" style="287" customWidth="1"/>
    <col min="14" max="14" width="7.625" style="287" customWidth="1"/>
    <col min="15" max="15" width="9.875" style="287" customWidth="1"/>
    <col min="16" max="18" width="9.375" style="287" customWidth="1"/>
    <col min="19" max="19" width="10.5" style="287" customWidth="1"/>
    <col min="20" max="20" width="11.875" style="287" customWidth="1"/>
    <col min="21" max="21" width="7.875" style="287" customWidth="1"/>
    <col min="22" max="26" width="9.5" style="1575" customWidth="1"/>
    <col min="27" max="27" width="7.875" style="287" customWidth="1"/>
    <col min="28" max="28" width="8.625" style="287" bestFit="1" customWidth="1"/>
    <col min="29" max="16384" width="7.875" style="287"/>
  </cols>
  <sheetData>
    <row r="1" spans="1:26" s="273" customFormat="1" ht="20.25">
      <c r="A1" s="270" t="s">
        <v>956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V1" s="351"/>
      <c r="W1" s="351"/>
      <c r="X1" s="351"/>
      <c r="Y1" s="351"/>
      <c r="Z1" s="351"/>
    </row>
    <row r="2" spans="1:26" s="276" customFormat="1" ht="17.25">
      <c r="A2" s="274" t="s">
        <v>957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V2" s="1575"/>
      <c r="W2" s="1575"/>
      <c r="X2" s="1575"/>
      <c r="Y2" s="1575"/>
      <c r="Z2" s="1575"/>
    </row>
    <row r="3" spans="1:26" s="273" customFormat="1" ht="15" customHeight="1">
      <c r="A3" s="532"/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271"/>
      <c r="R3" s="532"/>
      <c r="S3" s="683" t="s">
        <v>958</v>
      </c>
      <c r="V3" s="351"/>
      <c r="W3" s="351"/>
      <c r="X3" s="351"/>
      <c r="Y3" s="351"/>
      <c r="Z3" s="351"/>
    </row>
    <row r="4" spans="1:26" s="353" customFormat="1" ht="9.75" customHeight="1">
      <c r="A4" s="283" t="s">
        <v>56</v>
      </c>
      <c r="B4" s="1576" t="s">
        <v>959</v>
      </c>
      <c r="C4" s="1035"/>
      <c r="D4" s="1035"/>
      <c r="E4" s="1035"/>
      <c r="F4" s="1035"/>
      <c r="G4" s="1035"/>
      <c r="H4" s="1035"/>
      <c r="I4" s="1035"/>
      <c r="J4" s="1035"/>
      <c r="K4" s="1035"/>
      <c r="L4" s="1123"/>
      <c r="M4" s="1034"/>
      <c r="N4" s="1035"/>
      <c r="O4" s="1035"/>
      <c r="P4" s="1035" t="s">
        <v>960</v>
      </c>
      <c r="Q4" s="1035"/>
      <c r="R4" s="1035" t="s">
        <v>961</v>
      </c>
      <c r="S4" s="1577"/>
      <c r="V4" s="1575"/>
      <c r="W4" s="1575"/>
      <c r="X4" s="1575"/>
      <c r="Y4" s="1575"/>
      <c r="Z4" s="1575"/>
    </row>
    <row r="5" spans="1:26" s="353" customFormat="1" ht="9.75" customHeight="1">
      <c r="A5" s="288"/>
      <c r="B5" s="1578"/>
      <c r="C5" s="294"/>
      <c r="D5" s="294"/>
      <c r="E5" s="294"/>
      <c r="F5" s="294"/>
      <c r="G5" s="294"/>
      <c r="H5" s="294"/>
      <c r="I5" s="294"/>
      <c r="J5" s="294"/>
      <c r="K5" s="294"/>
      <c r="L5" s="290"/>
      <c r="M5" s="292"/>
      <c r="N5" s="294"/>
      <c r="O5" s="294"/>
      <c r="P5" s="294"/>
      <c r="Q5" s="294"/>
      <c r="R5" s="294"/>
      <c r="S5" s="1579"/>
      <c r="V5" s="1575"/>
      <c r="W5" s="1575"/>
      <c r="X5" s="1575"/>
      <c r="Y5" s="1575"/>
      <c r="Z5" s="1575"/>
    </row>
    <row r="6" spans="1:26" s="353" customFormat="1" ht="9.75" customHeight="1">
      <c r="A6" s="288"/>
      <c r="B6" s="1578" t="s">
        <v>962</v>
      </c>
      <c r="C6" s="294"/>
      <c r="D6" s="294"/>
      <c r="E6" s="294"/>
      <c r="F6" s="297" t="s">
        <v>963</v>
      </c>
      <c r="G6" s="298"/>
      <c r="H6" s="298"/>
      <c r="I6" s="299"/>
      <c r="J6" s="294" t="s">
        <v>964</v>
      </c>
      <c r="K6" s="294"/>
      <c r="L6" s="294"/>
      <c r="M6" s="294" t="s">
        <v>965</v>
      </c>
      <c r="N6" s="294"/>
      <c r="O6" s="294"/>
      <c r="P6" s="294"/>
      <c r="Q6" s="294"/>
      <c r="R6" s="294"/>
      <c r="S6" s="1579"/>
      <c r="V6" s="1575"/>
      <c r="W6" s="1575"/>
      <c r="X6" s="1575"/>
      <c r="Y6" s="1575"/>
      <c r="Z6" s="1575"/>
    </row>
    <row r="7" spans="1:26" s="353" customFormat="1" ht="9.75" customHeight="1">
      <c r="A7" s="288"/>
      <c r="B7" s="1578"/>
      <c r="C7" s="294"/>
      <c r="D7" s="294"/>
      <c r="E7" s="294"/>
      <c r="F7" s="1580"/>
      <c r="G7" s="1581"/>
      <c r="H7" s="1581"/>
      <c r="I7" s="1582"/>
      <c r="J7" s="294"/>
      <c r="K7" s="294"/>
      <c r="L7" s="294"/>
      <c r="M7" s="294"/>
      <c r="N7" s="294"/>
      <c r="O7" s="294"/>
      <c r="P7" s="294"/>
      <c r="Q7" s="294"/>
      <c r="R7" s="294"/>
      <c r="S7" s="1579"/>
      <c r="V7" s="1575"/>
      <c r="W7" s="1575"/>
      <c r="X7" s="1575"/>
      <c r="Y7" s="1575"/>
      <c r="Z7" s="1575"/>
    </row>
    <row r="8" spans="1:26" s="353" customFormat="1" ht="9.75" customHeight="1">
      <c r="A8" s="288"/>
      <c r="B8" s="1578" t="s">
        <v>108</v>
      </c>
      <c r="C8" s="294" t="s">
        <v>107</v>
      </c>
      <c r="D8" s="294" t="s">
        <v>966</v>
      </c>
      <c r="E8" s="294" t="s">
        <v>967</v>
      </c>
      <c r="F8" s="293" t="s">
        <v>108</v>
      </c>
      <c r="G8" s="294" t="s">
        <v>98</v>
      </c>
      <c r="H8" s="294" t="s">
        <v>968</v>
      </c>
      <c r="I8" s="294" t="s">
        <v>967</v>
      </c>
      <c r="J8" s="294" t="s">
        <v>968</v>
      </c>
      <c r="K8" s="294" t="s">
        <v>967</v>
      </c>
      <c r="L8" s="294" t="s">
        <v>168</v>
      </c>
      <c r="M8" s="294" t="s">
        <v>968</v>
      </c>
      <c r="N8" s="294" t="s">
        <v>969</v>
      </c>
      <c r="O8" s="294" t="s">
        <v>168</v>
      </c>
      <c r="P8" s="294" t="s">
        <v>968</v>
      </c>
      <c r="Q8" s="294" t="s">
        <v>967</v>
      </c>
      <c r="R8" s="294" t="s">
        <v>967</v>
      </c>
      <c r="S8" s="1579" t="s">
        <v>168</v>
      </c>
      <c r="V8" s="1583"/>
      <c r="W8" s="1583"/>
      <c r="X8" s="1583"/>
      <c r="Y8" s="1583"/>
      <c r="Z8" s="1583"/>
    </row>
    <row r="9" spans="1:26" s="353" customFormat="1" ht="9.75" customHeight="1">
      <c r="A9" s="300"/>
      <c r="B9" s="1584"/>
      <c r="C9" s="304"/>
      <c r="D9" s="304"/>
      <c r="E9" s="304"/>
      <c r="F9" s="303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4"/>
      <c r="R9" s="304"/>
      <c r="S9" s="1585"/>
      <c r="V9" s="1583"/>
      <c r="W9" s="1583"/>
      <c r="X9" s="1583"/>
      <c r="Y9" s="1583"/>
      <c r="Z9" s="1583"/>
    </row>
    <row r="10" spans="1:26" ht="24" customHeight="1">
      <c r="A10" s="1586">
        <v>2015</v>
      </c>
      <c r="B10" s="1587">
        <v>2125486</v>
      </c>
      <c r="C10" s="496">
        <v>955337</v>
      </c>
      <c r="D10" s="496">
        <v>45997.074999999997</v>
      </c>
      <c r="E10" s="496">
        <v>5131.0479999999998</v>
      </c>
      <c r="F10" s="1588">
        <v>0</v>
      </c>
      <c r="G10" s="496">
        <v>78477318.956</v>
      </c>
      <c r="H10" s="496">
        <v>1300.943</v>
      </c>
      <c r="I10" s="496">
        <v>38285.321000000004</v>
      </c>
      <c r="J10" s="496">
        <v>1723495.371</v>
      </c>
      <c r="K10" s="1589">
        <v>2469.1379999999999</v>
      </c>
      <c r="L10" s="1589">
        <v>6176.241</v>
      </c>
      <c r="M10" s="1588">
        <v>0</v>
      </c>
      <c r="N10" s="1589">
        <v>0.04</v>
      </c>
      <c r="O10" s="1589">
        <v>51094.536999999997</v>
      </c>
      <c r="P10" s="1589">
        <v>79846.365000000005</v>
      </c>
      <c r="Q10" s="1589">
        <v>65325.432000000001</v>
      </c>
      <c r="R10" s="1589">
        <v>200.12899999999999</v>
      </c>
      <c r="S10" s="1590">
        <v>8706452.057</v>
      </c>
      <c r="T10" s="1575"/>
      <c r="U10" s="1575"/>
      <c r="V10" s="13"/>
      <c r="W10" s="13"/>
      <c r="X10" s="1591"/>
      <c r="Y10" s="13"/>
      <c r="Z10" s="1591"/>
    </row>
    <row r="11" spans="1:26" ht="24" customHeight="1">
      <c r="A11" s="1586">
        <v>2016</v>
      </c>
      <c r="B11" s="1587">
        <v>2528364</v>
      </c>
      <c r="C11" s="496">
        <v>609106</v>
      </c>
      <c r="D11" s="496">
        <v>61513.11</v>
      </c>
      <c r="E11" s="496">
        <v>5625.8559999999998</v>
      </c>
      <c r="F11" s="1588">
        <v>0</v>
      </c>
      <c r="G11" s="496">
        <v>79103474.590000004</v>
      </c>
      <c r="H11" s="496">
        <v>2609.9459999999999</v>
      </c>
      <c r="I11" s="496">
        <v>65790.11</v>
      </c>
      <c r="J11" s="496">
        <v>2659992.537</v>
      </c>
      <c r="K11" s="496">
        <v>2402.4349999999999</v>
      </c>
      <c r="L11" s="496">
        <v>12091.835999999999</v>
      </c>
      <c r="M11" s="1588">
        <v>0</v>
      </c>
      <c r="N11" s="496" t="s">
        <v>970</v>
      </c>
      <c r="O11" s="496">
        <v>66002.168999999994</v>
      </c>
      <c r="P11" s="496">
        <v>59405.190999999999</v>
      </c>
      <c r="Q11" s="496">
        <v>66990.114000000001</v>
      </c>
      <c r="R11" s="496">
        <v>12726.678</v>
      </c>
      <c r="S11" s="1592">
        <v>8205502.2050000001</v>
      </c>
      <c r="T11" s="1575"/>
      <c r="U11" s="1575"/>
      <c r="V11" s="13"/>
      <c r="W11" s="13"/>
      <c r="X11" s="1591"/>
      <c r="Y11" s="13"/>
      <c r="Z11" s="1591"/>
    </row>
    <row r="12" spans="1:26" ht="24" customHeight="1">
      <c r="A12" s="1586">
        <v>2017</v>
      </c>
      <c r="B12" s="1587">
        <v>1029081</v>
      </c>
      <c r="C12" s="496">
        <v>862073</v>
      </c>
      <c r="D12" s="496">
        <v>29645.042000000001</v>
      </c>
      <c r="E12" s="496">
        <v>3435.6019999999999</v>
      </c>
      <c r="F12" s="1588">
        <v>49681</v>
      </c>
      <c r="G12" s="496">
        <v>88355319.670000002</v>
      </c>
      <c r="H12" s="496">
        <v>1772.0340000000001</v>
      </c>
      <c r="I12" s="496">
        <v>69747.028000000006</v>
      </c>
      <c r="J12" s="496">
        <v>847522.88699999999</v>
      </c>
      <c r="K12" s="496">
        <v>556.64300000000003</v>
      </c>
      <c r="L12" s="496">
        <v>10138.599</v>
      </c>
      <c r="M12" s="1588">
        <v>0</v>
      </c>
      <c r="N12" s="496" t="s">
        <v>970</v>
      </c>
      <c r="O12" s="496">
        <v>51223.6</v>
      </c>
      <c r="P12" s="496">
        <v>48945.527999999998</v>
      </c>
      <c r="Q12" s="496">
        <v>71244.422000000006</v>
      </c>
      <c r="R12" s="496">
        <v>28577.032999999999</v>
      </c>
      <c r="S12" s="1592">
        <v>7681791.0520000001</v>
      </c>
      <c r="T12" s="1575"/>
      <c r="U12" s="1575"/>
      <c r="V12" s="13"/>
      <c r="W12" s="13"/>
      <c r="X12" s="1591"/>
      <c r="Y12" s="13"/>
      <c r="Z12" s="1591"/>
    </row>
    <row r="13" spans="1:26" ht="24" customHeight="1">
      <c r="A13" s="1586">
        <v>2018</v>
      </c>
      <c r="B13" s="1587">
        <v>951811</v>
      </c>
      <c r="C13" s="496">
        <v>214989</v>
      </c>
      <c r="D13" s="496" t="s">
        <v>970</v>
      </c>
      <c r="E13" s="496">
        <v>2964.3040000000001</v>
      </c>
      <c r="F13" s="1588">
        <v>39816</v>
      </c>
      <c r="G13" s="496">
        <v>89334264</v>
      </c>
      <c r="H13" s="496">
        <v>1910.7090000000001</v>
      </c>
      <c r="I13" s="496">
        <v>50900.627999999997</v>
      </c>
      <c r="J13" s="496">
        <v>961301.38600000006</v>
      </c>
      <c r="K13" s="496">
        <v>637.01499999999999</v>
      </c>
      <c r="L13" s="496">
        <v>11490.19</v>
      </c>
      <c r="M13" s="1588" t="s">
        <v>133</v>
      </c>
      <c r="N13" s="496" t="s">
        <v>133</v>
      </c>
      <c r="O13" s="496" t="s">
        <v>133</v>
      </c>
      <c r="P13" s="496">
        <v>50016.483999999997</v>
      </c>
      <c r="Q13" s="496">
        <v>74609.724000000002</v>
      </c>
      <c r="R13" s="496">
        <v>86015.934999999998</v>
      </c>
      <c r="S13" s="1592">
        <v>9039829.6160000004</v>
      </c>
      <c r="T13" s="1575"/>
      <c r="U13" s="1575"/>
      <c r="V13" s="13"/>
      <c r="W13" s="13"/>
      <c r="X13" s="1591"/>
      <c r="Y13" s="13"/>
      <c r="Z13" s="1591"/>
    </row>
    <row r="14" spans="1:26" ht="24" customHeight="1">
      <c r="A14" s="1586">
        <v>2019</v>
      </c>
      <c r="B14" s="1587">
        <v>1124512</v>
      </c>
      <c r="C14" s="496" t="s">
        <v>970</v>
      </c>
      <c r="D14" s="496" t="s">
        <v>970</v>
      </c>
      <c r="E14" s="496">
        <v>405.19400000000002</v>
      </c>
      <c r="F14" s="1588">
        <v>40328</v>
      </c>
      <c r="G14" s="496">
        <v>83321351</v>
      </c>
      <c r="H14" s="496">
        <v>1413.9970000000001</v>
      </c>
      <c r="I14" s="496">
        <v>42393.866000000002</v>
      </c>
      <c r="J14" s="496">
        <v>306622.21399999998</v>
      </c>
      <c r="K14" s="496" t="s">
        <v>970</v>
      </c>
      <c r="L14" s="496">
        <v>14306.467000000001</v>
      </c>
      <c r="M14" s="1588" t="s">
        <v>133</v>
      </c>
      <c r="N14" s="1588" t="s">
        <v>133</v>
      </c>
      <c r="O14" s="1593" t="s">
        <v>133</v>
      </c>
      <c r="P14" s="496">
        <v>53889.000999999997</v>
      </c>
      <c r="Q14" s="496">
        <v>77709.641000000003</v>
      </c>
      <c r="R14" s="496">
        <v>202059.356</v>
      </c>
      <c r="S14" s="1592">
        <v>8002476.2139999997</v>
      </c>
      <c r="T14" s="1575"/>
      <c r="U14" s="1575"/>
      <c r="V14" s="13"/>
      <c r="W14" s="13"/>
      <c r="X14" s="1591"/>
      <c r="Y14" s="13"/>
      <c r="Z14" s="1591"/>
    </row>
    <row r="15" spans="1:26" ht="24" customHeight="1">
      <c r="A15" s="1586">
        <v>2020</v>
      </c>
      <c r="B15" s="1594">
        <v>949770.8</v>
      </c>
      <c r="C15" s="496" t="s">
        <v>970</v>
      </c>
      <c r="D15" s="496" t="s">
        <v>970</v>
      </c>
      <c r="E15" s="496">
        <v>2152.5830000000001</v>
      </c>
      <c r="F15" s="1588">
        <v>21390</v>
      </c>
      <c r="G15" s="496">
        <v>69093951.809</v>
      </c>
      <c r="H15" s="496">
        <v>1228.3710000000001</v>
      </c>
      <c r="I15" s="496">
        <v>66041.665999999997</v>
      </c>
      <c r="J15" s="496">
        <v>217397.611</v>
      </c>
      <c r="K15" s="496" t="s">
        <v>970</v>
      </c>
      <c r="L15" s="496" t="s">
        <v>970</v>
      </c>
      <c r="M15" s="1588">
        <v>39279.438999999998</v>
      </c>
      <c r="N15" s="1588">
        <v>0.16</v>
      </c>
      <c r="O15" s="1588">
        <v>77478.720000000001</v>
      </c>
      <c r="P15" s="496">
        <v>25269.260999999999</v>
      </c>
      <c r="Q15" s="496">
        <v>73489.186000000002</v>
      </c>
      <c r="R15" s="496">
        <v>27093.061000000002</v>
      </c>
      <c r="S15" s="1592">
        <v>8915903.0539999995</v>
      </c>
      <c r="T15" s="1575"/>
      <c r="U15" s="1575"/>
      <c r="V15" s="13"/>
      <c r="W15" s="13"/>
      <c r="X15" s="1591"/>
      <c r="Y15" s="13"/>
      <c r="Z15" s="1591"/>
    </row>
    <row r="16" spans="1:26" s="13" customFormat="1" ht="24" customHeight="1">
      <c r="A16" s="1586">
        <v>2021</v>
      </c>
      <c r="B16" s="1594">
        <v>892211.14</v>
      </c>
      <c r="C16" s="496" t="s">
        <v>970</v>
      </c>
      <c r="D16" s="1595">
        <v>0</v>
      </c>
      <c r="E16" s="1596">
        <v>2680.8040000000001</v>
      </c>
      <c r="F16" s="496">
        <v>7431</v>
      </c>
      <c r="G16" s="1596">
        <v>66877893.722000003</v>
      </c>
      <c r="H16" s="1596">
        <v>1481.452</v>
      </c>
      <c r="I16" s="1596">
        <v>98104.207999999999</v>
      </c>
      <c r="J16" s="1596">
        <v>250807.03200000001</v>
      </c>
      <c r="K16" s="1596">
        <v>529.45000000000005</v>
      </c>
      <c r="L16" s="496" t="s">
        <v>970</v>
      </c>
      <c r="M16" s="1588">
        <v>0</v>
      </c>
      <c r="N16" s="1588">
        <v>0</v>
      </c>
      <c r="O16" s="1588">
        <v>217162.946</v>
      </c>
      <c r="P16" s="1596">
        <v>38539.313000000002</v>
      </c>
      <c r="Q16" s="1596">
        <v>78519.380999999994</v>
      </c>
      <c r="R16" s="1596">
        <v>27047.739000000001</v>
      </c>
      <c r="S16" s="1597">
        <v>10978677.231000001</v>
      </c>
    </row>
    <row r="17" spans="1:19" s="1133" customFormat="1" ht="24" customHeight="1">
      <c r="A17" s="1586">
        <v>2022</v>
      </c>
      <c r="B17" s="1598">
        <v>884961.83</v>
      </c>
      <c r="C17" s="1595">
        <v>18402.37</v>
      </c>
      <c r="D17" s="1588">
        <v>0</v>
      </c>
      <c r="E17" s="1599">
        <v>2611.5830000000001</v>
      </c>
      <c r="F17" s="496" t="s">
        <v>970</v>
      </c>
      <c r="G17" s="1599">
        <v>65183675.085000001</v>
      </c>
      <c r="H17" s="1600" t="s">
        <v>970</v>
      </c>
      <c r="I17" s="1599">
        <v>120208.963</v>
      </c>
      <c r="J17" s="1599">
        <v>65886.64</v>
      </c>
      <c r="K17" s="1595">
        <v>2324.7130000000002</v>
      </c>
      <c r="L17" s="1600" t="s">
        <v>970</v>
      </c>
      <c r="M17" s="1588">
        <v>0</v>
      </c>
      <c r="N17" s="1588">
        <v>0</v>
      </c>
      <c r="O17" s="1588">
        <v>253977.15700000001</v>
      </c>
      <c r="P17" s="1599">
        <v>47667.396999999997</v>
      </c>
      <c r="Q17" s="1599">
        <v>82511.360000000001</v>
      </c>
      <c r="R17" s="1599">
        <v>53389.748</v>
      </c>
      <c r="S17" s="1601">
        <v>10452722.229</v>
      </c>
    </row>
    <row r="18" spans="1:19" s="1133" customFormat="1" ht="24" customHeight="1">
      <c r="A18" s="1586">
        <v>2023</v>
      </c>
      <c r="B18" s="1598">
        <v>903723.46200000006</v>
      </c>
      <c r="C18" s="1588">
        <v>0</v>
      </c>
      <c r="D18" s="1588">
        <v>0</v>
      </c>
      <c r="E18" s="1599">
        <v>2565.8209999999999</v>
      </c>
      <c r="F18" s="1599">
        <v>10003</v>
      </c>
      <c r="G18" s="1599">
        <v>59378750.655000001</v>
      </c>
      <c r="H18" s="1600" t="s">
        <v>970</v>
      </c>
      <c r="I18" s="1599">
        <v>135693.66699999999</v>
      </c>
      <c r="J18" s="1600" t="s">
        <v>133</v>
      </c>
      <c r="K18" s="1588" t="s">
        <v>133</v>
      </c>
      <c r="L18" s="1588" t="s">
        <v>133</v>
      </c>
      <c r="M18" s="1588">
        <v>0</v>
      </c>
      <c r="N18" s="496">
        <v>13.462999999999999</v>
      </c>
      <c r="O18" s="1588">
        <v>163990.09299999999</v>
      </c>
      <c r="P18" s="1599">
        <v>14834.552</v>
      </c>
      <c r="Q18" s="1599">
        <v>84014.861000000004</v>
      </c>
      <c r="R18" s="1599">
        <v>57248.667000000001</v>
      </c>
      <c r="S18" s="1601">
        <v>9176058.0749999993</v>
      </c>
    </row>
    <row r="19" spans="1:19" s="1133" customFormat="1" ht="24" customHeight="1">
      <c r="A19" s="1586">
        <v>2024</v>
      </c>
      <c r="B19" s="1594">
        <v>926464.34900000005</v>
      </c>
      <c r="C19" s="1588">
        <v>19999.594000000001</v>
      </c>
      <c r="D19" s="1588">
        <v>0</v>
      </c>
      <c r="E19" s="1596">
        <v>7983.8689999999997</v>
      </c>
      <c r="F19" s="1596">
        <v>0</v>
      </c>
      <c r="G19" s="1596">
        <v>59184023.112000003</v>
      </c>
      <c r="H19" s="496">
        <v>0</v>
      </c>
      <c r="I19" s="1596">
        <v>185669.06400000001</v>
      </c>
      <c r="J19" s="1593" t="s">
        <v>133</v>
      </c>
      <c r="K19" s="1588" t="s">
        <v>133</v>
      </c>
      <c r="L19" s="1588" t="s">
        <v>133</v>
      </c>
      <c r="M19" s="1595">
        <v>0</v>
      </c>
      <c r="N19" s="1595">
        <v>38.9</v>
      </c>
      <c r="O19" s="496">
        <v>113106.85</v>
      </c>
      <c r="P19" s="1596">
        <v>495.82499999999999</v>
      </c>
      <c r="Q19" s="1596">
        <v>87241.016000000003</v>
      </c>
      <c r="R19" s="1596">
        <v>14.739000000000001</v>
      </c>
      <c r="S19" s="1597">
        <v>9104309.6530000009</v>
      </c>
    </row>
    <row r="20" spans="1:19" s="13" customFormat="1" ht="24" customHeight="1">
      <c r="A20" s="1586">
        <v>2025</v>
      </c>
      <c r="B20" s="1594">
        <v>666916.93099999998</v>
      </c>
      <c r="C20" s="1588">
        <v>0</v>
      </c>
      <c r="D20" s="1588">
        <v>0</v>
      </c>
      <c r="E20" s="1596">
        <v>4210.4639999999999</v>
      </c>
      <c r="F20" s="1595">
        <v>0</v>
      </c>
      <c r="G20" s="1596">
        <v>60535487.784999996</v>
      </c>
      <c r="H20" s="1595">
        <v>0</v>
      </c>
      <c r="I20" s="1596">
        <v>163068.084</v>
      </c>
      <c r="J20" s="1593" t="s">
        <v>133</v>
      </c>
      <c r="K20" s="496" t="s">
        <v>133</v>
      </c>
      <c r="L20" s="1588" t="s">
        <v>133</v>
      </c>
      <c r="M20" s="1588" t="s">
        <v>133</v>
      </c>
      <c r="N20" s="1588" t="s">
        <v>133</v>
      </c>
      <c r="O20" s="496" t="s">
        <v>133</v>
      </c>
      <c r="P20" s="496">
        <v>0</v>
      </c>
      <c r="Q20" s="1596">
        <v>88782.063999999998</v>
      </c>
      <c r="R20" s="1596">
        <v>12.198</v>
      </c>
      <c r="S20" s="1597">
        <v>7646199.3490000004</v>
      </c>
    </row>
    <row r="21" spans="1:19" s="13" customFormat="1" ht="24" customHeight="1">
      <c r="A21" s="1602" t="s">
        <v>828</v>
      </c>
      <c r="B21" s="1603">
        <v>180414.41200000001</v>
      </c>
      <c r="C21" s="1604">
        <v>0</v>
      </c>
      <c r="D21" s="1604">
        <v>0</v>
      </c>
      <c r="E21" s="1604">
        <v>2372.2420000000002</v>
      </c>
      <c r="F21" s="1604">
        <v>0</v>
      </c>
      <c r="G21" s="1604">
        <v>15038461.617000001</v>
      </c>
      <c r="H21" s="1604">
        <v>0</v>
      </c>
      <c r="I21" s="1604">
        <v>55425.766000000003</v>
      </c>
      <c r="J21" s="1605" t="s">
        <v>133</v>
      </c>
      <c r="K21" s="1606" t="s">
        <v>133</v>
      </c>
      <c r="L21" s="1606" t="s">
        <v>133</v>
      </c>
      <c r="M21" s="1604" t="s">
        <v>133</v>
      </c>
      <c r="N21" s="1606" t="s">
        <v>133</v>
      </c>
      <c r="O21" s="1604" t="s">
        <v>133</v>
      </c>
      <c r="P21" s="1604">
        <v>0</v>
      </c>
      <c r="Q21" s="1604">
        <v>28704.819</v>
      </c>
      <c r="R21" s="1604">
        <v>2.4300000000000002</v>
      </c>
      <c r="S21" s="1607">
        <v>2563519.8629999999</v>
      </c>
    </row>
    <row r="22" spans="1:19" s="13" customFormat="1" ht="24" customHeight="1">
      <c r="A22" s="336">
        <v>2025.04</v>
      </c>
      <c r="B22" s="1608">
        <v>44025.648000000001</v>
      </c>
      <c r="C22" s="1588">
        <v>0</v>
      </c>
      <c r="D22" s="1588">
        <v>0</v>
      </c>
      <c r="E22" s="1588">
        <v>608.08699999999999</v>
      </c>
      <c r="F22" s="1588">
        <v>0</v>
      </c>
      <c r="G22" s="1595">
        <v>2817304.352</v>
      </c>
      <c r="H22" s="1588">
        <v>0</v>
      </c>
      <c r="I22" s="1595">
        <v>11593.56</v>
      </c>
      <c r="J22" s="1588" t="s">
        <v>133</v>
      </c>
      <c r="K22" s="1588" t="s">
        <v>133</v>
      </c>
      <c r="L22" s="1588" t="s">
        <v>133</v>
      </c>
      <c r="M22" s="1588" t="s">
        <v>133</v>
      </c>
      <c r="N22" s="1588" t="s">
        <v>133</v>
      </c>
      <c r="O22" s="1588" t="s">
        <v>133</v>
      </c>
      <c r="P22" s="1595">
        <v>0</v>
      </c>
      <c r="Q22" s="1595">
        <v>6749.8729999999996</v>
      </c>
      <c r="R22" s="1595">
        <v>0.54</v>
      </c>
      <c r="S22" s="1609">
        <v>598693.43299999996</v>
      </c>
    </row>
    <row r="23" spans="1:19" s="13" customFormat="1" ht="24" customHeight="1">
      <c r="A23" s="336">
        <v>2025.05</v>
      </c>
      <c r="B23" s="1608">
        <v>2894.625</v>
      </c>
      <c r="C23" s="1588">
        <v>0</v>
      </c>
      <c r="D23" s="1588">
        <v>0</v>
      </c>
      <c r="E23" s="1588">
        <v>12.590999999999999</v>
      </c>
      <c r="F23" s="1588">
        <v>0</v>
      </c>
      <c r="G23" s="1595">
        <v>3814414.2560000001</v>
      </c>
      <c r="H23" s="1588">
        <v>0</v>
      </c>
      <c r="I23" s="1595">
        <v>21020.163</v>
      </c>
      <c r="J23" s="1588" t="s">
        <v>133</v>
      </c>
      <c r="K23" s="1588" t="s">
        <v>133</v>
      </c>
      <c r="L23" s="1588" t="s">
        <v>133</v>
      </c>
      <c r="M23" s="1588" t="s">
        <v>133</v>
      </c>
      <c r="N23" s="1588" t="s">
        <v>133</v>
      </c>
      <c r="O23" s="1588" t="s">
        <v>133</v>
      </c>
      <c r="P23" s="1595">
        <v>0</v>
      </c>
      <c r="Q23" s="1595">
        <v>6726.9160000000002</v>
      </c>
      <c r="R23" s="1595">
        <v>1.44</v>
      </c>
      <c r="S23" s="1609">
        <v>690162.81799999997</v>
      </c>
    </row>
    <row r="24" spans="1:19" s="13" customFormat="1" ht="24" customHeight="1">
      <c r="A24" s="336">
        <v>2025.06</v>
      </c>
      <c r="B24" s="1608">
        <v>1695.191</v>
      </c>
      <c r="C24" s="1588">
        <v>0</v>
      </c>
      <c r="D24" s="1588">
        <v>0</v>
      </c>
      <c r="E24" s="1588">
        <v>356.23099999999999</v>
      </c>
      <c r="F24" s="1588">
        <v>0</v>
      </c>
      <c r="G24" s="1595">
        <v>4701327.0599999996</v>
      </c>
      <c r="H24" s="1588">
        <v>0</v>
      </c>
      <c r="I24" s="1595">
        <v>19523.973000000002</v>
      </c>
      <c r="J24" s="1588" t="s">
        <v>133</v>
      </c>
      <c r="K24" s="1588" t="s">
        <v>133</v>
      </c>
      <c r="L24" s="1588" t="s">
        <v>133</v>
      </c>
      <c r="M24" s="1588" t="s">
        <v>133</v>
      </c>
      <c r="N24" s="1588" t="s">
        <v>133</v>
      </c>
      <c r="O24" s="1588" t="s">
        <v>133</v>
      </c>
      <c r="P24" s="1595">
        <v>0</v>
      </c>
      <c r="Q24" s="1595">
        <v>6823.2610000000004</v>
      </c>
      <c r="R24" s="1595">
        <v>1.5</v>
      </c>
      <c r="S24" s="1609">
        <v>525318.37100000004</v>
      </c>
    </row>
    <row r="25" spans="1:19" s="13" customFormat="1" ht="24" customHeight="1">
      <c r="A25" s="336">
        <v>2025.07</v>
      </c>
      <c r="B25" s="1608">
        <v>71807.911999999997</v>
      </c>
      <c r="C25" s="1588">
        <v>0</v>
      </c>
      <c r="D25" s="1588">
        <v>0</v>
      </c>
      <c r="E25" s="1588">
        <v>0</v>
      </c>
      <c r="F25" s="1588">
        <v>0</v>
      </c>
      <c r="G25" s="1595">
        <v>7055879.4639999997</v>
      </c>
      <c r="H25" s="1595">
        <v>0</v>
      </c>
      <c r="I25" s="1595">
        <v>11652.428</v>
      </c>
      <c r="J25" s="1588" t="s">
        <v>133</v>
      </c>
      <c r="K25" s="1588" t="s">
        <v>133</v>
      </c>
      <c r="L25" s="1588" t="s">
        <v>133</v>
      </c>
      <c r="M25" s="1588" t="s">
        <v>133</v>
      </c>
      <c r="N25" s="1588" t="s">
        <v>133</v>
      </c>
      <c r="O25" s="1588" t="s">
        <v>133</v>
      </c>
      <c r="P25" s="1595">
        <v>0</v>
      </c>
      <c r="Q25" s="1595">
        <v>8404.7170000000006</v>
      </c>
      <c r="R25" s="1595">
        <v>0.625</v>
      </c>
      <c r="S25" s="1609">
        <v>701759.00800000003</v>
      </c>
    </row>
    <row r="26" spans="1:19" s="13" customFormat="1" ht="24" customHeight="1">
      <c r="A26" s="336">
        <v>2025.08</v>
      </c>
      <c r="B26" s="1608">
        <v>71510.418999999994</v>
      </c>
      <c r="C26" s="1588">
        <v>0</v>
      </c>
      <c r="D26" s="1588">
        <v>0</v>
      </c>
      <c r="E26" s="1588">
        <v>18.8</v>
      </c>
      <c r="F26" s="1588">
        <v>0</v>
      </c>
      <c r="G26" s="1595">
        <v>7355882.3679999998</v>
      </c>
      <c r="H26" s="1588">
        <v>0</v>
      </c>
      <c r="I26" s="1595">
        <v>5743.7650000000003</v>
      </c>
      <c r="J26" s="1588" t="s">
        <v>133</v>
      </c>
      <c r="K26" s="1588" t="s">
        <v>133</v>
      </c>
      <c r="L26" s="1588" t="s">
        <v>133</v>
      </c>
      <c r="M26" s="1588" t="s">
        <v>133</v>
      </c>
      <c r="N26" s="1588" t="s">
        <v>133</v>
      </c>
      <c r="O26" s="1588" t="s">
        <v>133</v>
      </c>
      <c r="P26" s="1595">
        <v>0</v>
      </c>
      <c r="Q26" s="1595">
        <v>8945.6299999999992</v>
      </c>
      <c r="R26" s="1595">
        <v>0.65</v>
      </c>
      <c r="S26" s="1609">
        <v>779914.26500000001</v>
      </c>
    </row>
    <row r="27" spans="1:19" s="13" customFormat="1" ht="24" customHeight="1">
      <c r="A27" s="336">
        <v>2025.09</v>
      </c>
      <c r="B27" s="1608">
        <v>49499.438999999998</v>
      </c>
      <c r="C27" s="1588">
        <v>0</v>
      </c>
      <c r="D27" s="1588">
        <v>0</v>
      </c>
      <c r="E27" s="1588">
        <v>798.5</v>
      </c>
      <c r="F27" s="1588">
        <v>0</v>
      </c>
      <c r="G27" s="1595">
        <v>6810070.1289999997</v>
      </c>
      <c r="H27" s="1588">
        <v>0</v>
      </c>
      <c r="I27" s="1595">
        <v>5193.33</v>
      </c>
      <c r="J27" s="1588" t="s">
        <v>133</v>
      </c>
      <c r="K27" s="1588" t="s">
        <v>133</v>
      </c>
      <c r="L27" s="1588" t="s">
        <v>133</v>
      </c>
      <c r="M27" s="1588" t="s">
        <v>133</v>
      </c>
      <c r="N27" s="1588" t="s">
        <v>133</v>
      </c>
      <c r="O27" s="1588" t="s">
        <v>133</v>
      </c>
      <c r="P27" s="1595">
        <v>0</v>
      </c>
      <c r="Q27" s="1595">
        <v>7679.5770000000002</v>
      </c>
      <c r="R27" s="1595">
        <v>3.3279999999999998</v>
      </c>
      <c r="S27" s="1609">
        <v>489035.88400000002</v>
      </c>
    </row>
    <row r="28" spans="1:19" s="13" customFormat="1" ht="24" customHeight="1">
      <c r="A28" s="336">
        <v>2025.1</v>
      </c>
      <c r="B28" s="1608">
        <v>48646.896000000001</v>
      </c>
      <c r="C28" s="1588">
        <v>0</v>
      </c>
      <c r="D28" s="1588">
        <v>0</v>
      </c>
      <c r="E28" s="1588">
        <v>205.6</v>
      </c>
      <c r="F28" s="1588">
        <v>0</v>
      </c>
      <c r="G28" s="1595">
        <v>4770841.1859999998</v>
      </c>
      <c r="H28" s="1588">
        <v>0</v>
      </c>
      <c r="I28" s="1595">
        <v>8819.7520000000004</v>
      </c>
      <c r="J28" s="1588" t="s">
        <v>133</v>
      </c>
      <c r="K28" s="1588" t="s">
        <v>133</v>
      </c>
      <c r="L28" s="1588" t="s">
        <v>133</v>
      </c>
      <c r="M28" s="1588" t="s">
        <v>133</v>
      </c>
      <c r="N28" s="1588" t="s">
        <v>133</v>
      </c>
      <c r="O28" s="1588" t="s">
        <v>133</v>
      </c>
      <c r="P28" s="1595">
        <v>0</v>
      </c>
      <c r="Q28" s="1595">
        <v>7092.8040000000001</v>
      </c>
      <c r="R28" s="1595">
        <v>0.47499999999999998</v>
      </c>
      <c r="S28" s="1609">
        <v>616854.93799999997</v>
      </c>
    </row>
    <row r="29" spans="1:19" s="13" customFormat="1" ht="24" customHeight="1">
      <c r="A29" s="336">
        <v>2025.11</v>
      </c>
      <c r="B29" s="1608">
        <v>128453.467</v>
      </c>
      <c r="C29" s="1595">
        <v>0</v>
      </c>
      <c r="D29" s="1595">
        <v>0</v>
      </c>
      <c r="E29" s="1595">
        <v>250.5</v>
      </c>
      <c r="F29" s="1595">
        <v>0</v>
      </c>
      <c r="G29" s="1595">
        <v>4652178.9800000004</v>
      </c>
      <c r="H29" s="1595">
        <v>0</v>
      </c>
      <c r="I29" s="1595">
        <v>19020.559000000001</v>
      </c>
      <c r="J29" s="1588" t="s">
        <v>133</v>
      </c>
      <c r="K29" s="1588" t="s">
        <v>133</v>
      </c>
      <c r="L29" s="1588" t="s">
        <v>133</v>
      </c>
      <c r="M29" s="1588" t="s">
        <v>133</v>
      </c>
      <c r="N29" s="1588" t="s">
        <v>133</v>
      </c>
      <c r="O29" s="1588" t="s">
        <v>133</v>
      </c>
      <c r="P29" s="1595">
        <v>0</v>
      </c>
      <c r="Q29" s="1595">
        <v>6872.0159999999996</v>
      </c>
      <c r="R29" s="1595">
        <v>0.72499999999999998</v>
      </c>
      <c r="S29" s="1609">
        <v>677521.55099999998</v>
      </c>
    </row>
    <row r="30" spans="1:19" s="13" customFormat="1" ht="24" customHeight="1">
      <c r="A30" s="336">
        <v>2025.12</v>
      </c>
      <c r="B30" s="1608">
        <v>111994.57</v>
      </c>
      <c r="C30" s="1588">
        <v>0</v>
      </c>
      <c r="D30" s="1588">
        <v>0</v>
      </c>
      <c r="E30" s="1588">
        <v>196</v>
      </c>
      <c r="F30" s="1588">
        <v>0</v>
      </c>
      <c r="G30" s="1595">
        <v>6336432.7249999996</v>
      </c>
      <c r="H30" s="1595">
        <v>0</v>
      </c>
      <c r="I30" s="1595">
        <v>16668.348000000002</v>
      </c>
      <c r="J30" s="1588" t="s">
        <v>133</v>
      </c>
      <c r="K30" s="1588" t="s">
        <v>133</v>
      </c>
      <c r="L30" s="1588" t="s">
        <v>133</v>
      </c>
      <c r="M30" s="1588" t="s">
        <v>133</v>
      </c>
      <c r="N30" s="1588" t="s">
        <v>133</v>
      </c>
      <c r="O30" s="1588" t="s">
        <v>133</v>
      </c>
      <c r="P30" s="1595">
        <v>0</v>
      </c>
      <c r="Q30" s="1595">
        <v>7532.3239999999996</v>
      </c>
      <c r="R30" s="1595">
        <v>1.0249999999999999</v>
      </c>
      <c r="S30" s="1609">
        <v>602112.65099999995</v>
      </c>
    </row>
    <row r="31" spans="1:19" s="13" customFormat="1" ht="24" customHeight="1">
      <c r="A31" s="337" t="s">
        <v>829</v>
      </c>
      <c r="B31" s="1610">
        <v>9796.5139999999992</v>
      </c>
      <c r="C31" s="1611">
        <v>0</v>
      </c>
      <c r="D31" s="1611">
        <v>0</v>
      </c>
      <c r="E31" s="1611">
        <v>590.1</v>
      </c>
      <c r="F31" s="1611">
        <v>0</v>
      </c>
      <c r="G31" s="1612">
        <v>19653778.210000001</v>
      </c>
      <c r="H31" s="1611">
        <v>0</v>
      </c>
      <c r="I31" s="1612">
        <v>77986.255999999994</v>
      </c>
      <c r="J31" s="1611" t="s">
        <v>133</v>
      </c>
      <c r="K31" s="1611" t="s">
        <v>133</v>
      </c>
      <c r="L31" s="1611" t="s">
        <v>133</v>
      </c>
      <c r="M31" s="1611" t="s">
        <v>133</v>
      </c>
      <c r="N31" s="1611" t="s">
        <v>133</v>
      </c>
      <c r="O31" s="1611" t="s">
        <v>133</v>
      </c>
      <c r="P31" s="1612">
        <v>0</v>
      </c>
      <c r="Q31" s="1612">
        <v>28184.143</v>
      </c>
      <c r="R31" s="1612">
        <v>1.65</v>
      </c>
      <c r="S31" s="1613">
        <v>3195203.6159999999</v>
      </c>
    </row>
    <row r="32" spans="1:19" s="13" customFormat="1" ht="24" customHeight="1">
      <c r="A32" s="337">
        <v>2026.01</v>
      </c>
      <c r="B32" s="1610">
        <v>0</v>
      </c>
      <c r="C32" s="1611">
        <v>0</v>
      </c>
      <c r="D32" s="1611">
        <v>0</v>
      </c>
      <c r="E32" s="1611">
        <v>0</v>
      </c>
      <c r="F32" s="1611">
        <v>0</v>
      </c>
      <c r="G32" s="1612">
        <v>6375164.2379999999</v>
      </c>
      <c r="H32" s="1611">
        <v>0</v>
      </c>
      <c r="I32" s="1612">
        <v>17990.7</v>
      </c>
      <c r="J32" s="1611" t="s">
        <v>133</v>
      </c>
      <c r="K32" s="1611" t="s">
        <v>133</v>
      </c>
      <c r="L32" s="1611" t="s">
        <v>133</v>
      </c>
      <c r="M32" s="1611" t="s">
        <v>133</v>
      </c>
      <c r="N32" s="1611" t="s">
        <v>133</v>
      </c>
      <c r="O32" s="1611" t="s">
        <v>133</v>
      </c>
      <c r="P32" s="1612">
        <v>0</v>
      </c>
      <c r="Q32" s="1612">
        <v>7768.5590000000002</v>
      </c>
      <c r="R32" s="1612">
        <v>0.4</v>
      </c>
      <c r="S32" s="1613">
        <v>954422.60199999996</v>
      </c>
    </row>
    <row r="33" spans="1:21" s="1133" customFormat="1" ht="24" customHeight="1">
      <c r="A33" s="336">
        <v>2026.02</v>
      </c>
      <c r="B33" s="1608">
        <v>9796.5139999999992</v>
      </c>
      <c r="C33" s="1588">
        <v>0</v>
      </c>
      <c r="D33" s="1588">
        <v>0</v>
      </c>
      <c r="E33" s="1588">
        <v>590.1</v>
      </c>
      <c r="F33" s="1588">
        <v>0</v>
      </c>
      <c r="G33" s="1595">
        <v>4990616.5470000003</v>
      </c>
      <c r="H33" s="1588">
        <v>0</v>
      </c>
      <c r="I33" s="1595">
        <v>19882.485000000001</v>
      </c>
      <c r="J33" s="1588" t="s">
        <v>133</v>
      </c>
      <c r="K33" s="1588" t="s">
        <v>133</v>
      </c>
      <c r="L33" s="1588" t="s">
        <v>133</v>
      </c>
      <c r="M33" s="1588" t="s">
        <v>133</v>
      </c>
      <c r="N33" s="1588" t="s">
        <v>133</v>
      </c>
      <c r="O33" s="1588" t="s">
        <v>133</v>
      </c>
      <c r="P33" s="1595">
        <v>0</v>
      </c>
      <c r="Q33" s="1595">
        <v>6601.375</v>
      </c>
      <c r="R33" s="1595">
        <v>0.3</v>
      </c>
      <c r="S33" s="1609">
        <v>733709.58799999999</v>
      </c>
    </row>
    <row r="34" spans="1:21" s="1133" customFormat="1" ht="24" customHeight="1">
      <c r="A34" s="336">
        <v>2026.03</v>
      </c>
      <c r="B34" s="1608">
        <v>0</v>
      </c>
      <c r="C34" s="1588">
        <v>0</v>
      </c>
      <c r="D34" s="1588">
        <v>0</v>
      </c>
      <c r="E34" s="1588">
        <v>0</v>
      </c>
      <c r="F34" s="1588">
        <v>0</v>
      </c>
      <c r="G34" s="1595">
        <v>4385906.1890000002</v>
      </c>
      <c r="H34" s="1588">
        <v>0</v>
      </c>
      <c r="I34" s="1595">
        <v>15528.096</v>
      </c>
      <c r="J34" s="1588" t="s">
        <v>133</v>
      </c>
      <c r="K34" s="1588" t="s">
        <v>133</v>
      </c>
      <c r="L34" s="1588" t="s">
        <v>133</v>
      </c>
      <c r="M34" s="1588" t="s">
        <v>133</v>
      </c>
      <c r="N34" s="1588" t="s">
        <v>133</v>
      </c>
      <c r="O34" s="1588" t="s">
        <v>133</v>
      </c>
      <c r="P34" s="1595">
        <v>0</v>
      </c>
      <c r="Q34" s="1595">
        <v>7207.4080000000004</v>
      </c>
      <c r="R34" s="1595">
        <v>0.45</v>
      </c>
      <c r="S34" s="1609">
        <v>797214.94700000004</v>
      </c>
    </row>
    <row r="35" spans="1:21" s="1133" customFormat="1" ht="24" customHeight="1">
      <c r="A35" s="1614">
        <v>2026.04</v>
      </c>
      <c r="B35" s="1615">
        <v>0</v>
      </c>
      <c r="C35" s="1616">
        <v>0</v>
      </c>
      <c r="D35" s="1616">
        <v>0</v>
      </c>
      <c r="E35" s="1616">
        <v>0</v>
      </c>
      <c r="F35" s="1617">
        <v>0</v>
      </c>
      <c r="G35" s="1617">
        <v>3902091.236</v>
      </c>
      <c r="H35" s="1616">
        <v>0</v>
      </c>
      <c r="I35" s="1617">
        <v>24584.974999999999</v>
      </c>
      <c r="J35" s="1616" t="s">
        <v>133</v>
      </c>
      <c r="K35" s="1616" t="s">
        <v>133</v>
      </c>
      <c r="L35" s="1616" t="s">
        <v>133</v>
      </c>
      <c r="M35" s="1616" t="s">
        <v>133</v>
      </c>
      <c r="N35" s="1616" t="s">
        <v>133</v>
      </c>
      <c r="O35" s="1616" t="s">
        <v>133</v>
      </c>
      <c r="P35" s="1617">
        <v>0</v>
      </c>
      <c r="Q35" s="1617">
        <v>6606.8010000000004</v>
      </c>
      <c r="R35" s="1617">
        <v>0.5</v>
      </c>
      <c r="S35" s="1618">
        <v>709856.47900000005</v>
      </c>
    </row>
    <row r="36" spans="1:21" ht="3" customHeight="1">
      <c r="A36" s="346"/>
      <c r="B36" s="682"/>
      <c r="C36" s="682"/>
      <c r="D36" s="682"/>
      <c r="E36" s="682"/>
      <c r="F36" s="682"/>
      <c r="G36" s="682"/>
      <c r="H36" s="682"/>
      <c r="I36" s="682"/>
      <c r="J36" s="682"/>
      <c r="K36" s="682"/>
      <c r="L36" s="682"/>
      <c r="M36" s="682"/>
      <c r="N36" s="346"/>
      <c r="O36" s="346"/>
      <c r="P36" s="346"/>
      <c r="Q36" s="346"/>
      <c r="R36" s="346"/>
      <c r="S36" s="346"/>
    </row>
    <row r="37" spans="1:21" ht="14.25" customHeight="1">
      <c r="A37" s="346" t="s">
        <v>971</v>
      </c>
      <c r="B37" s="682"/>
      <c r="C37" s="682"/>
      <c r="D37" s="682"/>
      <c r="E37" s="682"/>
      <c r="F37" s="682"/>
      <c r="G37" s="682"/>
      <c r="H37" s="682"/>
      <c r="I37" s="682"/>
      <c r="J37" s="596" t="s">
        <v>972</v>
      </c>
      <c r="K37" s="346"/>
      <c r="L37" s="682"/>
      <c r="M37" s="271"/>
      <c r="N37" s="346"/>
      <c r="O37" s="346"/>
      <c r="P37" s="346"/>
      <c r="Q37" s="346"/>
      <c r="R37" s="346"/>
      <c r="S37" s="346"/>
    </row>
    <row r="38" spans="1:21" ht="14.25" customHeight="1">
      <c r="A38" s="1619"/>
      <c r="B38" s="1620"/>
      <c r="C38" s="1620"/>
      <c r="D38" s="1620"/>
      <c r="E38" s="1620"/>
      <c r="F38" s="1620"/>
      <c r="G38" s="1620"/>
      <c r="H38" s="1620"/>
      <c r="I38" s="1620"/>
      <c r="J38" s="1620"/>
      <c r="K38" s="1620"/>
      <c r="L38" s="1620"/>
      <c r="M38" s="1619"/>
      <c r="N38" s="1020"/>
      <c r="O38" s="1020"/>
      <c r="P38" s="1020"/>
      <c r="Q38" s="1020"/>
      <c r="R38" s="1020"/>
      <c r="S38" s="1020"/>
    </row>
    <row r="39" spans="1:21" ht="12" customHeight="1">
      <c r="A39" s="1621"/>
      <c r="B39" s="1620"/>
      <c r="C39" s="1620"/>
      <c r="D39" s="1620"/>
      <c r="E39" s="1620"/>
      <c r="F39" s="1620"/>
      <c r="G39" s="1620"/>
      <c r="H39" s="1620"/>
      <c r="I39" s="1620"/>
      <c r="J39" s="1620"/>
      <c r="K39" s="1620"/>
      <c r="L39" s="1620"/>
      <c r="M39" s="1620"/>
      <c r="N39" s="1020"/>
      <c r="O39" s="1020"/>
      <c r="P39" s="1020"/>
      <c r="Q39" s="1020"/>
      <c r="R39" s="1020"/>
      <c r="S39" s="1020"/>
      <c r="T39" s="1575"/>
      <c r="U39" s="1575"/>
    </row>
  </sheetData>
  <mergeCells count="32">
    <mergeCell ref="W8:W9"/>
    <mergeCell ref="X8:X9"/>
    <mergeCell ref="Y8:Y9"/>
    <mergeCell ref="Z8:Z9"/>
    <mergeCell ref="O8:O9"/>
    <mergeCell ref="P8:P9"/>
    <mergeCell ref="Q8:Q9"/>
    <mergeCell ref="R8:R9"/>
    <mergeCell ref="S8:S9"/>
    <mergeCell ref="V8:V9"/>
    <mergeCell ref="I8:I9"/>
    <mergeCell ref="J8:J9"/>
    <mergeCell ref="K8:K9"/>
    <mergeCell ref="L8:L9"/>
    <mergeCell ref="M8:M9"/>
    <mergeCell ref="N8:N9"/>
    <mergeCell ref="C8:C9"/>
    <mergeCell ref="D8:D9"/>
    <mergeCell ref="E8:E9"/>
    <mergeCell ref="F8:F9"/>
    <mergeCell ref="G8:G9"/>
    <mergeCell ref="H8:H9"/>
    <mergeCell ref="A4:A9"/>
    <mergeCell ref="B4:L5"/>
    <mergeCell ref="M4:O5"/>
    <mergeCell ref="P4:Q7"/>
    <mergeCell ref="R4:S7"/>
    <mergeCell ref="B6:E7"/>
    <mergeCell ref="F6:I7"/>
    <mergeCell ref="J6:L7"/>
    <mergeCell ref="M6:O7"/>
    <mergeCell ref="B8:B9"/>
  </mergeCells>
  <phoneticPr fontId="2" type="noConversion"/>
  <printOptions horizontalCentered="1"/>
  <pageMargins left="0.78740157480314965" right="0.78740157480314965" top="1.1811023622047245" bottom="0.78740157480314965" header="1.1811023622047245" footer="1.1811023622047245"/>
  <pageSetup paperSize="9" scale="84" firstPageNumber="34" orientation="portrait" useFirstPageNumber="1" r:id="rId1"/>
  <headerFooter differentOddEven="1" scaleWithDoc="0" alignWithMargins="0">
    <firstFooter>&amp;R&amp;P</firstFooter>
  </headerFooter>
  <colBreaks count="1" manualBreakCount="1">
    <brk id="9" max="36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E9C4-3697-43BB-9737-03670ED2C932}">
  <sheetPr>
    <tabColor theme="8"/>
  </sheetPr>
  <dimension ref="A1:K43"/>
  <sheetViews>
    <sheetView view="pageBreakPreview" zoomScale="115" zoomScaleNormal="100" zoomScaleSheetLayoutView="115" workbookViewId="0"/>
  </sheetViews>
  <sheetFormatPr defaultColWidth="9.75" defaultRowHeight="13.5"/>
  <cols>
    <col min="1" max="1" width="12" style="287" customWidth="1"/>
    <col min="2" max="4" width="13.25" style="287" customWidth="1"/>
    <col min="5" max="6" width="12.125" style="287" customWidth="1"/>
    <col min="7" max="7" width="13.25" style="287" customWidth="1"/>
    <col min="8" max="10" width="9.75" style="287" customWidth="1"/>
    <col min="11" max="11" width="10.5" style="287" bestFit="1" customWidth="1"/>
    <col min="12" max="16384" width="9.75" style="287"/>
  </cols>
  <sheetData>
    <row r="1" spans="1:7" s="273" customFormat="1" ht="20.25">
      <c r="A1" s="270" t="s">
        <v>973</v>
      </c>
      <c r="B1" s="271"/>
      <c r="C1" s="271"/>
      <c r="D1" s="271"/>
      <c r="E1" s="271"/>
      <c r="F1" s="271"/>
      <c r="G1" s="271"/>
    </row>
    <row r="2" spans="1:7" s="276" customFormat="1" ht="17.25">
      <c r="A2" s="274" t="s">
        <v>974</v>
      </c>
      <c r="B2" s="274"/>
      <c r="C2" s="274"/>
      <c r="D2" s="274"/>
      <c r="E2" s="274"/>
      <c r="F2" s="274"/>
      <c r="G2" s="274"/>
    </row>
    <row r="3" spans="1:7" s="273" customFormat="1" ht="16.5" customHeight="1">
      <c r="A3" s="272"/>
      <c r="B3" s="271"/>
      <c r="C3" s="271"/>
      <c r="D3" s="271"/>
      <c r="E3" s="271"/>
      <c r="F3" s="271"/>
      <c r="G3" s="683" t="s">
        <v>975</v>
      </c>
    </row>
    <row r="4" spans="1:7" s="353" customFormat="1" ht="8.1" customHeight="1">
      <c r="A4" s="283" t="s">
        <v>56</v>
      </c>
      <c r="B4" s="1622" t="s">
        <v>976</v>
      </c>
      <c r="C4" s="1623" t="s">
        <v>977</v>
      </c>
      <c r="D4" s="1624" t="s">
        <v>978</v>
      </c>
      <c r="E4" s="1625" t="s">
        <v>979</v>
      </c>
      <c r="F4" s="1036" t="s">
        <v>980</v>
      </c>
      <c r="G4" s="1626" t="s">
        <v>981</v>
      </c>
    </row>
    <row r="5" spans="1:7" s="353" customFormat="1" ht="8.1" customHeight="1">
      <c r="A5" s="288"/>
      <c r="B5" s="1627"/>
      <c r="C5" s="1628"/>
      <c r="D5" s="1629"/>
      <c r="E5" s="1630"/>
      <c r="F5" s="1631"/>
      <c r="G5" s="1632"/>
    </row>
    <row r="6" spans="1:7" s="353" customFormat="1" ht="8.1" customHeight="1">
      <c r="A6" s="288"/>
      <c r="B6" s="1633"/>
      <c r="C6" s="1581"/>
      <c r="D6" s="1582"/>
      <c r="E6" s="1630"/>
      <c r="F6" s="1631"/>
      <c r="G6" s="1632"/>
    </row>
    <row r="7" spans="1:7" s="353" customFormat="1" ht="8.1" customHeight="1">
      <c r="A7" s="288"/>
      <c r="B7" s="289" t="s">
        <v>982</v>
      </c>
      <c r="C7" s="293" t="s">
        <v>983</v>
      </c>
      <c r="D7" s="293" t="s">
        <v>160</v>
      </c>
      <c r="E7" s="1630"/>
      <c r="F7" s="1631"/>
      <c r="G7" s="1632"/>
    </row>
    <row r="8" spans="1:7" s="353" customFormat="1" ht="8.1" customHeight="1">
      <c r="A8" s="288"/>
      <c r="B8" s="1634"/>
      <c r="C8" s="1631"/>
      <c r="D8" s="1631"/>
      <c r="E8" s="1630"/>
      <c r="F8" s="1631"/>
      <c r="G8" s="1632"/>
    </row>
    <row r="9" spans="1:7" s="353" customFormat="1" ht="8.1" customHeight="1">
      <c r="A9" s="300"/>
      <c r="B9" s="301"/>
      <c r="C9" s="303"/>
      <c r="D9" s="303"/>
      <c r="E9" s="1635"/>
      <c r="F9" s="303"/>
      <c r="G9" s="306"/>
    </row>
    <row r="10" spans="1:7" ht="23.45" customHeight="1">
      <c r="A10" s="1636">
        <v>2015</v>
      </c>
      <c r="B10" s="1637">
        <v>2125486</v>
      </c>
      <c r="C10" s="1596">
        <v>79432655.956</v>
      </c>
      <c r="D10" s="1596">
        <v>81558141.956</v>
      </c>
      <c r="E10" s="1596">
        <v>1850639.754</v>
      </c>
      <c r="F10" s="1596">
        <v>111411.10799999999</v>
      </c>
      <c r="G10" s="1597">
        <v>8763722.8350000009</v>
      </c>
    </row>
    <row r="11" spans="1:7" ht="23.45" customHeight="1">
      <c r="A11" s="1638">
        <v>2016</v>
      </c>
      <c r="B11" s="1637">
        <v>2528364</v>
      </c>
      <c r="C11" s="1596">
        <v>79712580.590000004</v>
      </c>
      <c r="D11" s="1596">
        <v>82240944.590000004</v>
      </c>
      <c r="E11" s="1596">
        <v>2783520.784</v>
      </c>
      <c r="F11" s="1596">
        <v>153535.193</v>
      </c>
      <c r="G11" s="1597">
        <v>8283596.21</v>
      </c>
    </row>
    <row r="12" spans="1:7" ht="23.45" customHeight="1">
      <c r="A12" s="1638">
        <v>2017</v>
      </c>
      <c r="B12" s="1637">
        <v>1078762</v>
      </c>
      <c r="C12" s="1596">
        <v>89217392.670000002</v>
      </c>
      <c r="D12" s="1596">
        <v>90296154.670000002</v>
      </c>
      <c r="E12" s="1596">
        <v>927885.49100000004</v>
      </c>
      <c r="F12" s="1596">
        <v>173560.728</v>
      </c>
      <c r="G12" s="1597">
        <v>7743153.2510000002</v>
      </c>
    </row>
    <row r="13" spans="1:7" ht="23.45" customHeight="1">
      <c r="A13" s="1638">
        <v>2018</v>
      </c>
      <c r="B13" s="1637">
        <v>991627</v>
      </c>
      <c r="C13" s="1596">
        <v>89549253</v>
      </c>
      <c r="D13" s="1596">
        <v>90540880</v>
      </c>
      <c r="E13" s="1596">
        <v>1013228.579</v>
      </c>
      <c r="F13" s="1596">
        <v>215127.606</v>
      </c>
      <c r="G13" s="1597">
        <v>9051319.8059999999</v>
      </c>
    </row>
    <row r="14" spans="1:7" ht="23.45" customHeight="1">
      <c r="A14" s="1638">
        <v>2019</v>
      </c>
      <c r="B14" s="1637">
        <v>1164840</v>
      </c>
      <c r="C14" s="1596">
        <v>83321351</v>
      </c>
      <c r="D14" s="1596">
        <v>84486191</v>
      </c>
      <c r="E14" s="1596">
        <v>361925.212</v>
      </c>
      <c r="F14" s="1596">
        <v>322568.05699999997</v>
      </c>
      <c r="G14" s="1597">
        <v>8016782.6809999999</v>
      </c>
    </row>
    <row r="15" spans="1:7" ht="23.45" customHeight="1">
      <c r="A15" s="1638">
        <v>2020</v>
      </c>
      <c r="B15" s="1637">
        <v>971160.8</v>
      </c>
      <c r="C15" s="1596">
        <v>69093951.809</v>
      </c>
      <c r="D15" s="1596">
        <v>70065112.608999997</v>
      </c>
      <c r="E15" s="1596">
        <v>283174.68199999997</v>
      </c>
      <c r="F15" s="1596">
        <v>168776.65599999999</v>
      </c>
      <c r="G15" s="1597">
        <v>8993381.7740000002</v>
      </c>
    </row>
    <row r="16" spans="1:7" ht="23.45" customHeight="1">
      <c r="A16" s="1638">
        <v>2021</v>
      </c>
      <c r="B16" s="1637">
        <v>899642.14</v>
      </c>
      <c r="C16" s="1596">
        <v>66877893.722000003</v>
      </c>
      <c r="D16" s="1596">
        <v>67777535.862000003</v>
      </c>
      <c r="E16" s="1596">
        <v>290827.79700000002</v>
      </c>
      <c r="F16" s="1596">
        <v>206881.58199999999</v>
      </c>
      <c r="G16" s="1597">
        <v>11195840.176999999</v>
      </c>
    </row>
    <row r="17" spans="1:11" s="1639" customFormat="1" ht="23.45" customHeight="1">
      <c r="A17" s="1638">
        <v>2022</v>
      </c>
      <c r="B17" s="1637">
        <v>884961.83</v>
      </c>
      <c r="C17" s="1596">
        <v>65202077.454999998</v>
      </c>
      <c r="D17" s="1596">
        <v>66087039.284999996</v>
      </c>
      <c r="E17" s="1596">
        <v>113554.037</v>
      </c>
      <c r="F17" s="1596">
        <v>261046.367</v>
      </c>
      <c r="G17" s="1592">
        <v>10706699.386</v>
      </c>
    </row>
    <row r="18" spans="1:11" s="1639" customFormat="1" ht="23.45" customHeight="1">
      <c r="A18" s="1638">
        <v>2023</v>
      </c>
      <c r="B18" s="1637">
        <v>913726.46200000006</v>
      </c>
      <c r="C18" s="1596">
        <v>59378750.655000001</v>
      </c>
      <c r="D18" s="1596">
        <v>60292477.116999999</v>
      </c>
      <c r="E18" s="1596">
        <v>14834.552</v>
      </c>
      <c r="F18" s="1596">
        <v>279536.47899999999</v>
      </c>
      <c r="G18" s="1592">
        <v>9340048.1679999996</v>
      </c>
    </row>
    <row r="19" spans="1:11" s="1639" customFormat="1" ht="23.45" customHeight="1">
      <c r="A19" s="1638">
        <v>2024</v>
      </c>
      <c r="B19" s="1637">
        <v>926464.34900000005</v>
      </c>
      <c r="C19" s="1596">
        <v>59204022.706</v>
      </c>
      <c r="D19" s="1596">
        <v>60130487.055</v>
      </c>
      <c r="E19" s="1596">
        <v>495.82499999999999</v>
      </c>
      <c r="F19" s="1596">
        <v>280947.58799999999</v>
      </c>
      <c r="G19" s="1597">
        <v>9217416.5030000005</v>
      </c>
    </row>
    <row r="20" spans="1:11" s="1619" customFormat="1" ht="23.45" customHeight="1">
      <c r="A20" s="1640">
        <v>2025</v>
      </c>
      <c r="B20" s="1641">
        <v>666916.93099999998</v>
      </c>
      <c r="C20" s="1642">
        <v>60535487.784999996</v>
      </c>
      <c r="D20" s="1642">
        <v>61202404.715999998</v>
      </c>
      <c r="E20" s="1642">
        <v>0</v>
      </c>
      <c r="F20" s="1642">
        <v>256072.81</v>
      </c>
      <c r="G20" s="1643">
        <v>7646199.3490000004</v>
      </c>
    </row>
    <row r="21" spans="1:11" s="1619" customFormat="1" ht="23.45" customHeight="1">
      <c r="A21" s="1602" t="s">
        <v>828</v>
      </c>
      <c r="B21" s="1644">
        <v>180414.41200000001</v>
      </c>
      <c r="C21" s="1645">
        <v>15038461.617000001</v>
      </c>
      <c r="D21" s="1645">
        <v>15218876.028999999</v>
      </c>
      <c r="E21" s="1645">
        <v>0</v>
      </c>
      <c r="F21" s="1645">
        <v>86505.256999999998</v>
      </c>
      <c r="G21" s="1646">
        <v>2563519.8629999999</v>
      </c>
    </row>
    <row r="22" spans="1:11" s="1619" customFormat="1" ht="23.45" customHeight="1">
      <c r="A22" s="1647">
        <v>2025.04</v>
      </c>
      <c r="B22" s="1648">
        <v>44025.648000000001</v>
      </c>
      <c r="C22" s="1649">
        <v>2817304.352</v>
      </c>
      <c r="D22" s="1649">
        <v>2861330</v>
      </c>
      <c r="E22" s="1611">
        <v>0</v>
      </c>
      <c r="F22" s="1649">
        <v>18952.060000000001</v>
      </c>
      <c r="G22" s="1650">
        <v>598693.43299999996</v>
      </c>
      <c r="J22" s="1651"/>
      <c r="K22" s="1651"/>
    </row>
    <row r="23" spans="1:11" s="1619" customFormat="1" ht="23.45" customHeight="1">
      <c r="A23" s="1652">
        <v>2025.05</v>
      </c>
      <c r="B23" s="1653">
        <v>2894.625</v>
      </c>
      <c r="C23" s="496">
        <v>3814414.2560000001</v>
      </c>
      <c r="D23" s="496">
        <v>3817308.8810000001</v>
      </c>
      <c r="E23" s="1588">
        <v>0</v>
      </c>
      <c r="F23" s="496">
        <v>27761.11</v>
      </c>
      <c r="G23" s="1592">
        <v>690162.81799999997</v>
      </c>
      <c r="J23" s="1651"/>
    </row>
    <row r="24" spans="1:11" s="1619" customFormat="1" ht="23.45" customHeight="1">
      <c r="A24" s="1652">
        <v>2025.06</v>
      </c>
      <c r="B24" s="1608">
        <v>1695.191</v>
      </c>
      <c r="C24" s="496">
        <v>4701327.0599999996</v>
      </c>
      <c r="D24" s="496">
        <v>4703022.2510000002</v>
      </c>
      <c r="E24" s="1588">
        <v>0</v>
      </c>
      <c r="F24" s="496">
        <v>26704.965</v>
      </c>
      <c r="G24" s="1592">
        <v>525318.37100000004</v>
      </c>
    </row>
    <row r="25" spans="1:11" s="1654" customFormat="1" ht="23.45" customHeight="1">
      <c r="A25" s="1652">
        <v>2025.07</v>
      </c>
      <c r="B25" s="1653">
        <v>71807.911999999997</v>
      </c>
      <c r="C25" s="496">
        <v>7055879.4639999997</v>
      </c>
      <c r="D25" s="496">
        <v>7127687.3760000002</v>
      </c>
      <c r="E25" s="1588">
        <v>0</v>
      </c>
      <c r="F25" s="496">
        <v>20057.77</v>
      </c>
      <c r="G25" s="1592">
        <v>701759.00800000003</v>
      </c>
    </row>
    <row r="26" spans="1:11" s="1619" customFormat="1" ht="23.45" customHeight="1">
      <c r="A26" s="1652">
        <v>2025.08</v>
      </c>
      <c r="B26" s="1608">
        <v>71510.418999999994</v>
      </c>
      <c r="C26" s="496">
        <v>7355882.3679999998</v>
      </c>
      <c r="D26" s="496">
        <v>7427392.7869999995</v>
      </c>
      <c r="E26" s="1588">
        <v>0</v>
      </c>
      <c r="F26" s="496">
        <v>14708.844999999999</v>
      </c>
      <c r="G26" s="1592">
        <v>779914.26500000001</v>
      </c>
    </row>
    <row r="27" spans="1:11" s="1619" customFormat="1" ht="23.45" customHeight="1">
      <c r="A27" s="336">
        <v>2025.09</v>
      </c>
      <c r="B27" s="1608">
        <v>49499.438999999998</v>
      </c>
      <c r="C27" s="496">
        <v>6810070.1289999997</v>
      </c>
      <c r="D27" s="496">
        <v>6859569.568</v>
      </c>
      <c r="E27" s="1588">
        <v>0</v>
      </c>
      <c r="F27" s="496">
        <v>13674.735000000001</v>
      </c>
      <c r="G27" s="1592">
        <v>489035.88400000002</v>
      </c>
    </row>
    <row r="28" spans="1:11" s="1619" customFormat="1" ht="23.45" customHeight="1">
      <c r="A28" s="336">
        <v>2025.1</v>
      </c>
      <c r="B28" s="1608">
        <v>48646.896000000001</v>
      </c>
      <c r="C28" s="496">
        <v>4770841.1859999998</v>
      </c>
      <c r="D28" s="496">
        <v>4819488.0820000004</v>
      </c>
      <c r="E28" s="1588">
        <v>0</v>
      </c>
      <c r="F28" s="496">
        <v>16118.630999999999</v>
      </c>
      <c r="G28" s="1592">
        <v>616854.93799999997</v>
      </c>
    </row>
    <row r="29" spans="1:11" s="1619" customFormat="1" ht="23.45" customHeight="1">
      <c r="A29" s="336">
        <v>2025.11</v>
      </c>
      <c r="B29" s="1608">
        <v>128453.467</v>
      </c>
      <c r="C29" s="1595">
        <v>4652178.9800000004</v>
      </c>
      <c r="D29" s="1595">
        <v>4780632.4469999997</v>
      </c>
      <c r="E29" s="1595">
        <v>0</v>
      </c>
      <c r="F29" s="1595">
        <v>26143.8</v>
      </c>
      <c r="G29" s="1609">
        <v>677521.55099999998</v>
      </c>
    </row>
    <row r="30" spans="1:11" s="1619" customFormat="1" ht="23.45" customHeight="1">
      <c r="A30" s="336">
        <v>2025.12</v>
      </c>
      <c r="B30" s="1608">
        <v>111994.57</v>
      </c>
      <c r="C30" s="496">
        <v>6336432.7249999996</v>
      </c>
      <c r="D30" s="496">
        <v>6448427.2949999999</v>
      </c>
      <c r="E30" s="1588">
        <v>0</v>
      </c>
      <c r="F30" s="496">
        <v>24397.697</v>
      </c>
      <c r="G30" s="1592">
        <v>602112.65099999995</v>
      </c>
    </row>
    <row r="31" spans="1:11" s="1619" customFormat="1" ht="23.45" customHeight="1">
      <c r="A31" s="1655" t="s">
        <v>829</v>
      </c>
      <c r="B31" s="1656">
        <v>9796.5139999999992</v>
      </c>
      <c r="C31" s="1657">
        <v>19653778.210000001</v>
      </c>
      <c r="D31" s="1657">
        <v>19663574.723999999</v>
      </c>
      <c r="E31" s="1658">
        <v>0</v>
      </c>
      <c r="F31" s="1657">
        <v>106762.149</v>
      </c>
      <c r="G31" s="1659">
        <v>3195203.6159999999</v>
      </c>
    </row>
    <row r="32" spans="1:11" s="1619" customFormat="1" ht="23.45" customHeight="1">
      <c r="A32" s="337">
        <v>2026.01</v>
      </c>
      <c r="B32" s="1660">
        <v>0</v>
      </c>
      <c r="C32" s="1649">
        <v>6375164.2379999999</v>
      </c>
      <c r="D32" s="1649">
        <v>6375164.2379999999</v>
      </c>
      <c r="E32" s="1611">
        <v>0</v>
      </c>
      <c r="F32" s="1649">
        <v>25759.659</v>
      </c>
      <c r="G32" s="1650">
        <v>954422.60199999996</v>
      </c>
    </row>
    <row r="33" spans="1:7" s="1619" customFormat="1" ht="23.45" customHeight="1">
      <c r="A33" s="336">
        <v>2026.02</v>
      </c>
      <c r="B33" s="1588">
        <v>9796.5139999999992</v>
      </c>
      <c r="C33" s="496">
        <v>4990616.5470000003</v>
      </c>
      <c r="D33" s="496">
        <v>5000413.0609999998</v>
      </c>
      <c r="E33" s="1588">
        <v>0</v>
      </c>
      <c r="F33" s="496">
        <v>27074.26</v>
      </c>
      <c r="G33" s="1592">
        <v>733709.58799999999</v>
      </c>
    </row>
    <row r="34" spans="1:7" s="1619" customFormat="1" ht="23.45" customHeight="1">
      <c r="A34" s="336">
        <v>2026.03</v>
      </c>
      <c r="B34" s="1661">
        <v>0</v>
      </c>
      <c r="C34" s="496">
        <v>4385906.1890000002</v>
      </c>
      <c r="D34" s="496">
        <v>4385906.1890000002</v>
      </c>
      <c r="E34" s="1588">
        <v>0</v>
      </c>
      <c r="F34" s="496">
        <v>22735.954000000002</v>
      </c>
      <c r="G34" s="1592">
        <v>797214.94700000004</v>
      </c>
    </row>
    <row r="35" spans="1:7" s="1654" customFormat="1" ht="23.45" customHeight="1">
      <c r="A35" s="1614">
        <v>2026.04</v>
      </c>
      <c r="B35" s="1662">
        <v>0</v>
      </c>
      <c r="C35" s="1663">
        <v>3902091.236</v>
      </c>
      <c r="D35" s="1663">
        <v>3902091.236</v>
      </c>
      <c r="E35" s="1616">
        <v>0</v>
      </c>
      <c r="F35" s="1663">
        <v>31192.276000000002</v>
      </c>
      <c r="G35" s="1664">
        <v>709856.47900000005</v>
      </c>
    </row>
    <row r="36" spans="1:7" ht="3" customHeight="1">
      <c r="A36" s="346"/>
      <c r="B36" s="346"/>
      <c r="C36" s="346"/>
      <c r="D36" s="346"/>
      <c r="E36" s="346"/>
      <c r="F36" s="346"/>
      <c r="G36" s="271"/>
    </row>
    <row r="37" spans="1:7" ht="12" customHeight="1">
      <c r="A37" s="346" t="s">
        <v>984</v>
      </c>
      <c r="B37" s="346"/>
      <c r="C37" s="346"/>
      <c r="D37" s="346"/>
      <c r="E37" s="346"/>
      <c r="F37" s="346"/>
      <c r="G37" s="271"/>
    </row>
    <row r="38" spans="1:7" ht="12" customHeight="1">
      <c r="A38" s="346" t="s">
        <v>985</v>
      </c>
      <c r="B38" s="346"/>
      <c r="C38" s="346"/>
      <c r="D38" s="346"/>
      <c r="E38" s="346"/>
      <c r="F38" s="346"/>
      <c r="G38" s="271"/>
    </row>
    <row r="39" spans="1:7" ht="12" customHeight="1">
      <c r="A39" s="346" t="s">
        <v>986</v>
      </c>
      <c r="B39" s="346"/>
      <c r="C39" s="346"/>
      <c r="D39" s="346"/>
      <c r="E39" s="346"/>
      <c r="F39" s="346"/>
      <c r="G39" s="271"/>
    </row>
    <row r="40" spans="1:7" s="1575" customFormat="1" ht="12" customHeight="1">
      <c r="A40" s="1022"/>
      <c r="B40" s="1020"/>
      <c r="C40" s="1020"/>
      <c r="D40" s="1020"/>
      <c r="E40" s="1020"/>
      <c r="F40" s="1020"/>
      <c r="G40" s="1665"/>
    </row>
    <row r="41" spans="1:7" s="1575" customFormat="1" ht="12" customHeight="1">
      <c r="A41" s="351"/>
      <c r="B41" s="287"/>
      <c r="C41" s="287"/>
      <c r="D41" s="287"/>
      <c r="E41" s="351"/>
      <c r="F41" s="287"/>
    </row>
    <row r="42" spans="1:7" s="1575" customFormat="1" ht="12" customHeight="1">
      <c r="A42" s="351"/>
      <c r="B42" s="287"/>
      <c r="C42" s="287"/>
      <c r="D42" s="287"/>
      <c r="E42" s="351"/>
      <c r="F42" s="287"/>
    </row>
    <row r="43" spans="1:7" s="1575" customFormat="1" ht="12" customHeight="1">
      <c r="A43" s="351"/>
      <c r="B43" s="287"/>
      <c r="C43" s="287"/>
      <c r="D43" s="287"/>
      <c r="E43" s="351"/>
      <c r="F43" s="287"/>
    </row>
  </sheetData>
  <mergeCells count="10">
    <mergeCell ref="G4:G9"/>
    <mergeCell ref="B7:B9"/>
    <mergeCell ref="C7:C9"/>
    <mergeCell ref="D7:D9"/>
    <mergeCell ref="A4:A9"/>
    <mergeCell ref="B4:B6"/>
    <mergeCell ref="C4:C6"/>
    <mergeCell ref="D4:D6"/>
    <mergeCell ref="E4:E9"/>
    <mergeCell ref="F4:F9"/>
  </mergeCells>
  <phoneticPr fontId="2" type="noConversion"/>
  <printOptions horizontalCentered="1"/>
  <pageMargins left="0.78740157480314965" right="0.78740157480314965" top="1.1811023622047245" bottom="0.78740157480314965" header="1.1811023622047245" footer="0"/>
  <pageSetup paperSize="9" scale="85" firstPageNumber="36" orientation="portrait" useFirstPageNumber="1" r:id="rId1"/>
  <headerFooter differentOddEven="1" scaleWithDoc="0" alignWithMargins="0">
    <firstFooter>&amp;R&amp;P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8154-17D5-4904-8975-6D5433AAE1C6}">
  <sheetPr>
    <tabColor rgb="FFFF0000"/>
  </sheetPr>
  <dimension ref="C1:F16"/>
  <sheetViews>
    <sheetView view="pageBreakPreview" zoomScale="55" zoomScaleNormal="100" zoomScaleSheetLayoutView="55" workbookViewId="0"/>
  </sheetViews>
  <sheetFormatPr defaultColWidth="10" defaultRowHeight="16.5"/>
  <cols>
    <col min="1" max="2" width="10" style="263"/>
    <col min="3" max="3" width="6" style="263" customWidth="1"/>
    <col min="4" max="4" width="7.125" style="263" customWidth="1"/>
    <col min="5" max="5" width="19" style="263" customWidth="1"/>
    <col min="6" max="6" width="33.75" style="263" customWidth="1"/>
    <col min="7" max="16384" width="10" style="263"/>
  </cols>
  <sheetData>
    <row r="1" spans="3:6" ht="206.25" customHeight="1"/>
    <row r="2" spans="3:6" ht="7.5" customHeight="1">
      <c r="C2" s="264" t="s">
        <v>0</v>
      </c>
      <c r="D2" s="264" t="s">
        <v>0</v>
      </c>
      <c r="E2" s="265" t="s">
        <v>0</v>
      </c>
      <c r="F2" s="266" t="s">
        <v>0</v>
      </c>
    </row>
    <row r="3" spans="3:6" ht="8.25" customHeight="1"/>
    <row r="4" spans="3:6" ht="39">
      <c r="D4" s="267" t="s">
        <v>987</v>
      </c>
    </row>
    <row r="6" spans="3:6" ht="30" customHeight="1">
      <c r="E6" s="268" t="s">
        <v>988</v>
      </c>
    </row>
    <row r="7" spans="3:6" ht="9.9499999999999993" customHeight="1">
      <c r="E7" s="268"/>
    </row>
    <row r="8" spans="3:6" ht="30" customHeight="1">
      <c r="E8" s="268" t="s">
        <v>989</v>
      </c>
    </row>
    <row r="9" spans="3:6" ht="9.9499999999999993" customHeight="1">
      <c r="E9" s="269"/>
    </row>
    <row r="10" spans="3:6" ht="30" customHeight="1">
      <c r="E10" s="268" t="s">
        <v>990</v>
      </c>
    </row>
    <row r="11" spans="3:6" ht="9.9499999999999993" customHeight="1">
      <c r="E11" s="269"/>
    </row>
    <row r="12" spans="3:6" ht="30" customHeight="1">
      <c r="E12" s="268" t="s">
        <v>991</v>
      </c>
    </row>
    <row r="13" spans="3:6" ht="9.9499999999999993" customHeight="1">
      <c r="E13" s="269"/>
    </row>
    <row r="14" spans="3:6" ht="30" customHeight="1">
      <c r="E14" s="268" t="s">
        <v>992</v>
      </c>
    </row>
    <row r="15" spans="3:6" ht="9.9499999999999993" customHeight="1"/>
    <row r="16" spans="3:6" ht="30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38" orientation="portrait" r:id="rId1"/>
  <headerFooter differentOddEven="1" scaleWithDoc="0"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1D7D-83BA-4139-936C-70729046230C}">
  <sheetPr>
    <tabColor rgb="FF92D050"/>
    <pageSetUpPr fitToPage="1"/>
  </sheetPr>
  <dimension ref="A1:Y38"/>
  <sheetViews>
    <sheetView view="pageBreakPreview" zoomScale="130" zoomScaleNormal="100" zoomScaleSheetLayoutView="130" workbookViewId="0">
      <pane xSplit="4" ySplit="5" topLeftCell="E9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3.75" style="12" customWidth="1"/>
    <col min="2" max="2" width="5.375" style="12" customWidth="1"/>
    <col min="3" max="3" width="6.75" style="12" customWidth="1"/>
    <col min="4" max="4" width="6.375" style="12" customWidth="1"/>
    <col min="5" max="8" width="9.875" style="12" customWidth="1"/>
    <col min="9" max="12" width="8.125" style="12" customWidth="1"/>
    <col min="13" max="13" width="10.125" style="12" bestFit="1" customWidth="1"/>
    <col min="14" max="14" width="10.5" style="12" bestFit="1" customWidth="1"/>
    <col min="15" max="16" width="10" style="12"/>
    <col min="17" max="18" width="10.75" style="12" bestFit="1" customWidth="1"/>
    <col min="19" max="16384" width="10" style="12"/>
  </cols>
  <sheetData>
    <row r="1" spans="1:25" s="271" customFormat="1" ht="20.25" customHeight="1">
      <c r="A1" s="1666" t="s">
        <v>993</v>
      </c>
      <c r="B1" s="1116"/>
      <c r="C1" s="1116"/>
      <c r="D1" s="1116"/>
      <c r="E1" s="1116"/>
      <c r="F1" s="272"/>
    </row>
    <row r="2" spans="1:25" ht="17.25" customHeight="1">
      <c r="A2" s="274" t="s">
        <v>994</v>
      </c>
      <c r="B2" s="272"/>
      <c r="C2" s="272"/>
      <c r="D2" s="272"/>
      <c r="E2" s="272"/>
      <c r="F2" s="272"/>
    </row>
    <row r="3" spans="1:25" ht="15" customHeight="1">
      <c r="A3" s="1667"/>
      <c r="B3" s="1667"/>
      <c r="C3" s="272"/>
      <c r="D3" s="272"/>
      <c r="E3" s="1668"/>
      <c r="F3" s="1668"/>
    </row>
    <row r="4" spans="1:25" ht="26.1" customHeight="1">
      <c r="A4" s="1669"/>
      <c r="B4" s="1670"/>
      <c r="C4" s="1671"/>
      <c r="D4" s="1626" t="s">
        <v>995</v>
      </c>
      <c r="E4" s="1672" t="s">
        <v>996</v>
      </c>
      <c r="F4" s="1673"/>
      <c r="G4" s="1674" t="s">
        <v>997</v>
      </c>
      <c r="H4" s="1675"/>
      <c r="I4" s="1676" t="s">
        <v>998</v>
      </c>
      <c r="J4" s="1677"/>
      <c r="K4" s="1678" t="s">
        <v>999</v>
      </c>
      <c r="L4" s="1677"/>
    </row>
    <row r="5" spans="1:25" ht="26.1" customHeight="1">
      <c r="A5" s="1679"/>
      <c r="B5" s="1680"/>
      <c r="C5" s="1681"/>
      <c r="D5" s="306"/>
      <c r="E5" s="1682" t="s">
        <v>1000</v>
      </c>
      <c r="F5" s="1683" t="s">
        <v>1001</v>
      </c>
      <c r="G5" s="1684" t="s">
        <v>1000</v>
      </c>
      <c r="H5" s="1683" t="s">
        <v>1001</v>
      </c>
      <c r="I5" s="1685" t="s">
        <v>1000</v>
      </c>
      <c r="J5" s="1686" t="s">
        <v>1001</v>
      </c>
      <c r="K5" s="1685" t="s">
        <v>1000</v>
      </c>
      <c r="L5" s="1686" t="s">
        <v>1001</v>
      </c>
    </row>
    <row r="6" spans="1:25" ht="29.1" customHeight="1">
      <c r="A6" s="1687" t="s">
        <v>1002</v>
      </c>
      <c r="B6" s="1037" t="s">
        <v>1003</v>
      </c>
      <c r="C6" s="528" t="s">
        <v>1004</v>
      </c>
      <c r="D6" s="1688" t="s">
        <v>1005</v>
      </c>
      <c r="E6" s="1689">
        <v>23058603.182</v>
      </c>
      <c r="F6" s="1690">
        <v>105246955.337</v>
      </c>
      <c r="G6" s="1691">
        <v>23481164.636</v>
      </c>
      <c r="H6" s="1692">
        <v>102439176.934</v>
      </c>
      <c r="I6" s="1693">
        <v>1.8326</v>
      </c>
      <c r="J6" s="1694">
        <v>-2.6678000000000002</v>
      </c>
      <c r="K6" s="1695">
        <v>55.246200000000002</v>
      </c>
      <c r="L6" s="1696">
        <v>55.197800000000001</v>
      </c>
      <c r="M6" s="1697"/>
      <c r="N6" s="1698"/>
    </row>
    <row r="7" spans="1:25" ht="29.1" customHeight="1">
      <c r="A7" s="1627"/>
      <c r="B7" s="1631"/>
      <c r="C7" s="1699" t="s">
        <v>1006</v>
      </c>
      <c r="D7" s="1700" t="s">
        <v>1007</v>
      </c>
      <c r="E7" s="1701">
        <v>17263810.989999998</v>
      </c>
      <c r="F7" s="1702">
        <v>73712118.359999999</v>
      </c>
      <c r="G7" s="1703">
        <v>16049851.525</v>
      </c>
      <c r="H7" s="1704">
        <v>72883708.098000005</v>
      </c>
      <c r="I7" s="1695">
        <v>-7.0317999999999996</v>
      </c>
      <c r="J7" s="1705">
        <v>-1.1237999999999999</v>
      </c>
      <c r="K7" s="1695">
        <v>37.761899999999997</v>
      </c>
      <c r="L7" s="1696">
        <v>39.272300000000001</v>
      </c>
      <c r="N7" s="1698"/>
    </row>
    <row r="8" spans="1:25" ht="29.1" customHeight="1">
      <c r="A8" s="1627"/>
      <c r="B8" s="1706"/>
      <c r="C8" s="1707" t="s">
        <v>1008</v>
      </c>
      <c r="D8" s="1708" t="s">
        <v>1007</v>
      </c>
      <c r="E8" s="1709">
        <v>40322414.171999998</v>
      </c>
      <c r="F8" s="1710">
        <v>178959073.697</v>
      </c>
      <c r="G8" s="1711">
        <v>39531016.160999998</v>
      </c>
      <c r="H8" s="1712">
        <v>175322885.03200001</v>
      </c>
      <c r="I8" s="1695">
        <v>-1.9626999999999999</v>
      </c>
      <c r="J8" s="1705">
        <v>-2.0318999999999998</v>
      </c>
      <c r="K8" s="1695">
        <v>93.008200000000002</v>
      </c>
      <c r="L8" s="1696">
        <v>94.470100000000002</v>
      </c>
      <c r="N8" s="1698"/>
      <c r="O8" s="528"/>
      <c r="P8" s="528"/>
      <c r="Q8" s="528"/>
      <c r="R8" s="528"/>
      <c r="S8" s="528"/>
      <c r="T8" s="528"/>
      <c r="U8" s="528"/>
      <c r="V8" s="528"/>
      <c r="W8" s="528"/>
      <c r="X8" s="528"/>
    </row>
    <row r="9" spans="1:25" ht="29.1" customHeight="1">
      <c r="A9" s="1627"/>
      <c r="B9" s="290" t="s">
        <v>1009</v>
      </c>
      <c r="C9" s="291"/>
      <c r="D9" s="1700" t="s">
        <v>1010</v>
      </c>
      <c r="E9" s="1713">
        <v>2741177.0010000002</v>
      </c>
      <c r="F9" s="1714">
        <v>8844302.1030000001</v>
      </c>
      <c r="G9" s="1715">
        <v>2971720.0610000002</v>
      </c>
      <c r="H9" s="1712">
        <v>10262631.478</v>
      </c>
      <c r="I9" s="1716">
        <v>8.4103999999999992</v>
      </c>
      <c r="J9" s="1717">
        <v>16.0366</v>
      </c>
      <c r="K9" s="1716">
        <v>6.9917999999999996</v>
      </c>
      <c r="L9" s="1717">
        <v>5.5298999999999996</v>
      </c>
      <c r="N9" s="1698"/>
      <c r="P9" s="1718"/>
      <c r="Q9" s="1718"/>
      <c r="R9" s="1718"/>
      <c r="S9" s="1718"/>
      <c r="T9" s="1718"/>
      <c r="U9" s="1718"/>
      <c r="V9" s="1718"/>
      <c r="W9" s="1718"/>
      <c r="X9" s="1718"/>
    </row>
    <row r="10" spans="1:25" ht="29.1" customHeight="1">
      <c r="A10" s="1719"/>
      <c r="B10" s="1720" t="s">
        <v>160</v>
      </c>
      <c r="C10" s="1720"/>
      <c r="D10" s="621" t="s">
        <v>1010</v>
      </c>
      <c r="E10" s="1721">
        <v>43063591.173</v>
      </c>
      <c r="F10" s="1722">
        <v>187803375.80000001</v>
      </c>
      <c r="G10" s="1723">
        <v>42502736.222000003</v>
      </c>
      <c r="H10" s="1724">
        <v>185585516.50999999</v>
      </c>
      <c r="I10" s="1716">
        <v>-1.3024</v>
      </c>
      <c r="J10" s="1717">
        <v>-1.1809000000000001</v>
      </c>
      <c r="K10" s="1725">
        <v>100</v>
      </c>
      <c r="L10" s="1726">
        <v>100</v>
      </c>
      <c r="P10" s="1718"/>
      <c r="Q10" s="1718"/>
      <c r="R10" s="1718"/>
      <c r="S10" s="1718"/>
      <c r="T10" s="1718"/>
      <c r="U10" s="1718"/>
      <c r="V10" s="1718"/>
      <c r="W10" s="1718"/>
      <c r="X10" s="1718"/>
    </row>
    <row r="11" spans="1:25" ht="29.1" customHeight="1">
      <c r="A11" s="1727" t="s">
        <v>1011</v>
      </c>
      <c r="B11" s="1037" t="s">
        <v>1003</v>
      </c>
      <c r="C11" s="617" t="s">
        <v>1004</v>
      </c>
      <c r="D11" s="1728" t="s">
        <v>1012</v>
      </c>
      <c r="E11" s="1729">
        <v>2447480.7110000001</v>
      </c>
      <c r="F11" s="1730">
        <v>11418080.311000001</v>
      </c>
      <c r="G11" s="1691">
        <v>2649801.9079999998</v>
      </c>
      <c r="H11" s="1692">
        <v>11461609.874</v>
      </c>
      <c r="I11" s="1731">
        <v>8.2665000000000006</v>
      </c>
      <c r="J11" s="1732">
        <v>0.38119999999999998</v>
      </c>
      <c r="K11" s="1733">
        <v>49.634799999999998</v>
      </c>
      <c r="L11" s="1734">
        <v>49.396999999999998</v>
      </c>
      <c r="M11" s="1735"/>
      <c r="N11" s="1735"/>
    </row>
    <row r="12" spans="1:25" ht="29.1" customHeight="1">
      <c r="A12" s="1687"/>
      <c r="B12" s="1631"/>
      <c r="C12" s="1699" t="s">
        <v>1006</v>
      </c>
      <c r="D12" s="1700" t="s">
        <v>1007</v>
      </c>
      <c r="E12" s="1701">
        <v>2691494.969</v>
      </c>
      <c r="F12" s="1702">
        <v>11629421.198999999</v>
      </c>
      <c r="G12" s="1703">
        <v>2335107.6379999998</v>
      </c>
      <c r="H12" s="1704">
        <v>10602292.198000001</v>
      </c>
      <c r="I12" s="1695">
        <v>-13.241199999999999</v>
      </c>
      <c r="J12" s="1705">
        <v>-8.8322000000000003</v>
      </c>
      <c r="K12" s="1695">
        <v>43.740099999999998</v>
      </c>
      <c r="L12" s="1705">
        <v>45.693600000000004</v>
      </c>
      <c r="M12" s="1735"/>
      <c r="N12" s="1735"/>
    </row>
    <row r="13" spans="1:25" ht="29.1" customHeight="1">
      <c r="A13" s="1687"/>
      <c r="B13" s="1706"/>
      <c r="C13" s="1707" t="s">
        <v>1008</v>
      </c>
      <c r="D13" s="1708" t="s">
        <v>1013</v>
      </c>
      <c r="E13" s="1713">
        <v>5138975.6809999999</v>
      </c>
      <c r="F13" s="1714">
        <v>23047501.510000002</v>
      </c>
      <c r="G13" s="1715">
        <v>4984909.5449999999</v>
      </c>
      <c r="H13" s="1712">
        <v>22063902.072000001</v>
      </c>
      <c r="I13" s="1695">
        <v>-2.9980000000000002</v>
      </c>
      <c r="J13" s="1705">
        <v>-4.2676999999999996</v>
      </c>
      <c r="K13" s="1695">
        <v>93.374899999999997</v>
      </c>
      <c r="L13" s="1705">
        <v>95.090599999999995</v>
      </c>
      <c r="M13" s="1735"/>
      <c r="N13" s="1735"/>
      <c r="Y13" s="1736"/>
    </row>
    <row r="14" spans="1:25" ht="29.1" customHeight="1">
      <c r="A14" s="1687"/>
      <c r="B14" s="290" t="s">
        <v>1009</v>
      </c>
      <c r="C14" s="291"/>
      <c r="D14" s="1700" t="s">
        <v>1010</v>
      </c>
      <c r="E14" s="1713">
        <v>349736.70199999999</v>
      </c>
      <c r="F14" s="1714">
        <v>1098193.0279999999</v>
      </c>
      <c r="G14" s="1715">
        <v>353686.03</v>
      </c>
      <c r="H14" s="1712">
        <v>1139128.4920000001</v>
      </c>
      <c r="I14" s="1716">
        <v>1.1292</v>
      </c>
      <c r="J14" s="1705">
        <v>3.7275</v>
      </c>
      <c r="K14" s="1716">
        <v>6.6250999999999998</v>
      </c>
      <c r="L14" s="1705">
        <v>4.9093999999999998</v>
      </c>
      <c r="M14" s="1735"/>
      <c r="N14" s="1735"/>
    </row>
    <row r="15" spans="1:25" ht="29.1" customHeight="1">
      <c r="A15" s="1687"/>
      <c r="B15" s="1737" t="s">
        <v>1014</v>
      </c>
      <c r="C15" s="292"/>
      <c r="D15" s="1738" t="s">
        <v>1010</v>
      </c>
      <c r="E15" s="1739">
        <v>5488712.3830000004</v>
      </c>
      <c r="F15" s="1740">
        <v>24145694.537999999</v>
      </c>
      <c r="G15" s="1741">
        <v>5338595.5750000002</v>
      </c>
      <c r="H15" s="1742">
        <v>23203030.563999999</v>
      </c>
      <c r="I15" s="1743">
        <v>-2.7349999999999999</v>
      </c>
      <c r="J15" s="1705">
        <v>-3.9041000000000001</v>
      </c>
      <c r="K15" s="1743">
        <v>100</v>
      </c>
      <c r="L15" s="1705">
        <v>100</v>
      </c>
      <c r="M15" s="1735"/>
      <c r="N15" s="1735"/>
    </row>
    <row r="16" spans="1:25" ht="29.1" customHeight="1">
      <c r="A16" s="1744"/>
      <c r="B16" s="1745" t="s">
        <v>1015</v>
      </c>
      <c r="C16" s="1746"/>
      <c r="D16" s="1738" t="s">
        <v>1010</v>
      </c>
      <c r="E16" s="1739">
        <v>6089656.0889999997</v>
      </c>
      <c r="F16" s="1740">
        <v>25372075.429000001</v>
      </c>
      <c r="G16" s="1741">
        <v>5763325.6359999999</v>
      </c>
      <c r="H16" s="1742">
        <v>25124626.149999999</v>
      </c>
      <c r="I16" s="1725">
        <v>-5.359</v>
      </c>
      <c r="J16" s="1726">
        <v>-0.97499999999999998</v>
      </c>
      <c r="K16" s="1747">
        <v>100</v>
      </c>
      <c r="L16" s="1748">
        <v>100</v>
      </c>
      <c r="M16" s="1735"/>
      <c r="N16" s="1735"/>
      <c r="Q16" s="1749"/>
      <c r="R16" s="1749"/>
    </row>
    <row r="17" spans="1:24" ht="29.1" customHeight="1">
      <c r="A17" s="1750" t="s">
        <v>1016</v>
      </c>
      <c r="B17" s="1037" t="s">
        <v>1003</v>
      </c>
      <c r="C17" s="617" t="s">
        <v>1004</v>
      </c>
      <c r="D17" s="1728" t="s">
        <v>1017</v>
      </c>
      <c r="E17" s="1751">
        <v>106.142</v>
      </c>
      <c r="F17" s="1752">
        <v>108.488</v>
      </c>
      <c r="G17" s="1753">
        <v>112.848</v>
      </c>
      <c r="H17" s="1754">
        <v>111.887</v>
      </c>
      <c r="I17" s="1755">
        <v>6.3182</v>
      </c>
      <c r="J17" s="1734">
        <v>3.1326000000000001</v>
      </c>
      <c r="K17" s="1756">
        <v>89.8429</v>
      </c>
      <c r="L17" s="1757">
        <v>89.490899999999996</v>
      </c>
      <c r="M17" s="1735"/>
      <c r="N17" s="1735"/>
    </row>
    <row r="18" spans="1:24" ht="29.1" customHeight="1">
      <c r="A18" s="1758"/>
      <c r="B18" s="1631"/>
      <c r="C18" s="1699" t="s">
        <v>1006</v>
      </c>
      <c r="D18" s="1700" t="s">
        <v>1007</v>
      </c>
      <c r="E18" s="1759">
        <v>155.904</v>
      </c>
      <c r="F18" s="1760">
        <v>157.768</v>
      </c>
      <c r="G18" s="1761">
        <v>145.49100000000001</v>
      </c>
      <c r="H18" s="1762">
        <v>145.46899999999999</v>
      </c>
      <c r="I18" s="1756">
        <v>-6.6791</v>
      </c>
      <c r="J18" s="1705">
        <v>-7.7958999999999996</v>
      </c>
      <c r="K18" s="1695">
        <v>115.8313</v>
      </c>
      <c r="L18" s="1757">
        <v>116.3506</v>
      </c>
      <c r="M18" s="1735"/>
      <c r="N18" s="1735"/>
    </row>
    <row r="19" spans="1:24" ht="29.1" customHeight="1">
      <c r="A19" s="1758"/>
      <c r="B19" s="1706"/>
      <c r="C19" s="1707" t="s">
        <v>1008</v>
      </c>
      <c r="D19" s="1708" t="s">
        <v>1007</v>
      </c>
      <c r="E19" s="1763">
        <v>127.447</v>
      </c>
      <c r="F19" s="1764">
        <v>128.786</v>
      </c>
      <c r="G19" s="1765">
        <v>126.101</v>
      </c>
      <c r="H19" s="1762">
        <v>125.84699999999999</v>
      </c>
      <c r="I19" s="1695">
        <v>-1.056</v>
      </c>
      <c r="J19" s="1705">
        <v>-2.2822</v>
      </c>
      <c r="K19" s="1695">
        <v>100.3943</v>
      </c>
      <c r="L19" s="1757">
        <v>100.6568</v>
      </c>
      <c r="M19" s="1735"/>
      <c r="N19" s="1735"/>
    </row>
    <row r="20" spans="1:24" ht="29.1" customHeight="1">
      <c r="A20" s="1758"/>
      <c r="B20" s="290" t="s">
        <v>1009</v>
      </c>
      <c r="C20" s="291"/>
      <c r="D20" s="1700" t="s">
        <v>1010</v>
      </c>
      <c r="E20" s="1759">
        <v>127.586</v>
      </c>
      <c r="F20" s="1760">
        <v>124.17</v>
      </c>
      <c r="G20" s="1765">
        <v>119.017</v>
      </c>
      <c r="H20" s="1762">
        <v>110.998</v>
      </c>
      <c r="I20" s="1716">
        <v>-6.7163000000000004</v>
      </c>
      <c r="J20" s="1705">
        <v>-10.608000000000001</v>
      </c>
      <c r="K20" s="1716">
        <v>94.754499999999993</v>
      </c>
      <c r="L20" s="1757">
        <v>88.779600000000002</v>
      </c>
      <c r="M20" s="1735"/>
      <c r="N20" s="1735"/>
    </row>
    <row r="21" spans="1:24" ht="29.1" customHeight="1">
      <c r="A21" s="1766"/>
      <c r="B21" s="1737" t="s">
        <v>1018</v>
      </c>
      <c r="C21" s="1767"/>
      <c r="D21" s="1700" t="s">
        <v>1010</v>
      </c>
      <c r="E21" s="1768">
        <v>127.456</v>
      </c>
      <c r="F21" s="1769">
        <v>128.56899999999999</v>
      </c>
      <c r="G21" s="1770">
        <v>125.60599999999999</v>
      </c>
      <c r="H21" s="1762">
        <v>125.026</v>
      </c>
      <c r="I21" s="1716">
        <v>-1.4515</v>
      </c>
      <c r="J21" s="1705">
        <v>-2.7557</v>
      </c>
      <c r="K21" s="1743">
        <v>100</v>
      </c>
      <c r="L21" s="1757">
        <v>100</v>
      </c>
      <c r="M21" s="1735"/>
      <c r="N21" s="1735"/>
    </row>
    <row r="22" spans="1:24" ht="29.1" customHeight="1">
      <c r="A22" s="1771"/>
      <c r="B22" s="1745" t="s">
        <v>1019</v>
      </c>
      <c r="C22" s="1746"/>
      <c r="D22" s="621" t="s">
        <v>1010</v>
      </c>
      <c r="E22" s="1772">
        <v>141.411</v>
      </c>
      <c r="F22" s="1773">
        <v>135.09899999999999</v>
      </c>
      <c r="G22" s="1774">
        <v>135.59899999999999</v>
      </c>
      <c r="H22" s="1762">
        <v>135.38</v>
      </c>
      <c r="I22" s="1716">
        <v>-4.1100000000000003</v>
      </c>
      <c r="J22" s="1775">
        <v>0.20799999999999999</v>
      </c>
      <c r="K22" s="1747">
        <v>0</v>
      </c>
      <c r="L22" s="1748">
        <v>0</v>
      </c>
      <c r="M22" s="1735"/>
      <c r="N22" s="1735"/>
      <c r="O22" s="1776"/>
      <c r="P22" s="1736"/>
      <c r="Q22" s="1736"/>
      <c r="R22" s="1736"/>
      <c r="S22" s="1736"/>
      <c r="T22" s="1736"/>
      <c r="U22" s="1736"/>
      <c r="V22" s="1736"/>
      <c r="W22" s="1736"/>
      <c r="X22" s="1736"/>
    </row>
    <row r="23" spans="1:24" ht="29.1" customHeight="1">
      <c r="A23" s="1777" t="s">
        <v>1020</v>
      </c>
      <c r="B23" s="1778"/>
      <c r="C23" s="1779" t="s">
        <v>1021</v>
      </c>
      <c r="D23" s="1780" t="s">
        <v>1010</v>
      </c>
      <c r="E23" s="1781">
        <v>124.57599999999999</v>
      </c>
      <c r="F23" s="1782">
        <v>117.581</v>
      </c>
      <c r="G23" s="1781">
        <v>118.92400000000001</v>
      </c>
      <c r="H23" s="1783">
        <v>109.79300000000001</v>
      </c>
      <c r="I23" s="1784">
        <v>-4.5370999999999997</v>
      </c>
      <c r="J23" s="1785">
        <v>-6.6233000000000004</v>
      </c>
      <c r="K23" s="1786">
        <v>0</v>
      </c>
      <c r="L23" s="1787">
        <v>0</v>
      </c>
    </row>
    <row r="24" spans="1:24" ht="6.95" customHeight="1">
      <c r="A24" s="1788"/>
      <c r="B24" s="1788"/>
      <c r="C24" s="1788"/>
      <c r="D24" s="1788"/>
      <c r="E24" s="1789"/>
      <c r="F24" s="1789"/>
      <c r="G24" s="1790"/>
      <c r="H24" s="1790"/>
      <c r="I24" s="1791"/>
      <c r="J24" s="1791"/>
      <c r="K24" s="1792"/>
      <c r="L24" s="1792"/>
    </row>
    <row r="25" spans="1:24" ht="27" customHeight="1">
      <c r="A25" s="1793" t="s">
        <v>1022</v>
      </c>
      <c r="B25" s="1794"/>
      <c r="C25" s="1795" t="s">
        <v>1023</v>
      </c>
      <c r="D25" s="1796" t="s">
        <v>1024</v>
      </c>
      <c r="E25" s="1797" t="s">
        <v>1025</v>
      </c>
      <c r="F25" s="1797" t="s">
        <v>1026</v>
      </c>
      <c r="G25" s="1797" t="s">
        <v>1027</v>
      </c>
      <c r="H25" s="1798" t="s">
        <v>1028</v>
      </c>
      <c r="I25" s="1798" t="s">
        <v>1029</v>
      </c>
      <c r="J25" s="1798" t="s">
        <v>1030</v>
      </c>
      <c r="K25" s="1798" t="s">
        <v>1031</v>
      </c>
      <c r="L25" s="1799" t="s">
        <v>1032</v>
      </c>
    </row>
    <row r="26" spans="1:24" ht="29.1" customHeight="1">
      <c r="A26" s="1801"/>
      <c r="B26" s="1802"/>
      <c r="C26" s="1803" t="s">
        <v>1033</v>
      </c>
      <c r="D26" s="1804">
        <v>96.492260000000002</v>
      </c>
      <c r="E26" s="1805">
        <v>132.4238</v>
      </c>
      <c r="F26" s="1806">
        <v>0.50309999999999999</v>
      </c>
      <c r="G26" s="1805">
        <v>376.31508000000002</v>
      </c>
      <c r="H26" s="1805">
        <v>148.19781</v>
      </c>
      <c r="I26" s="1805">
        <v>130.62110000000001</v>
      </c>
      <c r="J26" s="1805">
        <v>172.18052</v>
      </c>
      <c r="K26" s="1805">
        <v>121.65254</v>
      </c>
      <c r="L26" s="1807">
        <v>238.73208</v>
      </c>
    </row>
    <row r="27" spans="1:24" ht="29.1" customHeight="1">
      <c r="A27" s="1808"/>
      <c r="B27" s="1809"/>
      <c r="C27" s="1810" t="s">
        <v>1034</v>
      </c>
      <c r="D27" s="1811">
        <v>92.882639999999995</v>
      </c>
      <c r="E27" s="1812">
        <v>130.28685999999999</v>
      </c>
      <c r="F27" s="1813">
        <v>369.88596000000001</v>
      </c>
      <c r="G27" s="1812">
        <v>475.07906000000003</v>
      </c>
      <c r="H27" s="1812">
        <v>148.83548999999999</v>
      </c>
      <c r="I27" s="1812">
        <v>130.67491999999999</v>
      </c>
      <c r="J27" s="1812">
        <v>195.62076999999999</v>
      </c>
      <c r="K27" s="1812">
        <v>114.39582</v>
      </c>
      <c r="L27" s="1814">
        <v>200.40083999999999</v>
      </c>
    </row>
    <row r="28" spans="1:24" ht="5.0999999999999996" customHeight="1">
      <c r="A28" s="1382"/>
      <c r="B28" s="1382"/>
      <c r="C28" s="627"/>
      <c r="D28" s="627"/>
      <c r="E28" s="1815"/>
      <c r="F28" s="1815"/>
    </row>
    <row r="29" spans="1:24" ht="12.95" customHeight="1">
      <c r="A29" s="346" t="s">
        <v>1035</v>
      </c>
      <c r="B29" s="346"/>
      <c r="C29" s="346"/>
      <c r="D29" s="346"/>
      <c r="E29" s="346"/>
      <c r="F29" s="1816"/>
      <c r="G29" s="532"/>
      <c r="H29" s="532"/>
      <c r="I29" s="532"/>
      <c r="J29" s="532"/>
      <c r="K29" s="532"/>
      <c r="L29" s="532"/>
    </row>
    <row r="30" spans="1:24" ht="12.95" customHeight="1">
      <c r="A30" s="346" t="s">
        <v>1036</v>
      </c>
      <c r="B30" s="346"/>
      <c r="C30" s="346"/>
      <c r="D30" s="346"/>
      <c r="E30" s="346"/>
      <c r="F30" s="346"/>
      <c r="G30" s="532"/>
      <c r="H30" s="532"/>
      <c r="I30" s="532"/>
      <c r="J30" s="532"/>
      <c r="K30" s="532"/>
      <c r="L30" s="532"/>
    </row>
    <row r="31" spans="1:24" ht="12.95" customHeight="1">
      <c r="A31" s="1817" t="s">
        <v>1037</v>
      </c>
      <c r="B31" s="1817"/>
      <c r="C31" s="1817"/>
      <c r="D31" s="1817"/>
      <c r="E31" s="1817"/>
      <c r="F31" s="1817"/>
      <c r="G31" s="1817"/>
      <c r="H31" s="1817"/>
      <c r="I31" s="1817"/>
      <c r="J31" s="1817"/>
      <c r="K31" s="1817"/>
      <c r="L31" s="1817"/>
    </row>
    <row r="32" spans="1:24" ht="12.95" customHeight="1">
      <c r="A32" s="346" t="s">
        <v>1038</v>
      </c>
      <c r="B32" s="532"/>
      <c r="C32" s="346"/>
      <c r="D32" s="346"/>
      <c r="E32" s="346"/>
      <c r="F32" s="346"/>
      <c r="G32" s="532"/>
      <c r="H32" s="532"/>
      <c r="I32" s="532"/>
      <c r="J32" s="532"/>
      <c r="K32" s="532"/>
      <c r="L32" s="532"/>
    </row>
    <row r="33" spans="1:12" ht="12.95" customHeight="1">
      <c r="A33" s="346" t="s">
        <v>1039</v>
      </c>
      <c r="B33" s="346"/>
      <c r="C33" s="346"/>
      <c r="D33" s="346"/>
      <c r="E33" s="346"/>
      <c r="F33" s="346"/>
      <c r="G33" s="532"/>
      <c r="H33" s="532"/>
      <c r="I33" s="532"/>
      <c r="J33" s="532"/>
      <c r="K33" s="532"/>
      <c r="L33" s="346"/>
    </row>
    <row r="34" spans="1:12" ht="12.95" customHeight="1">
      <c r="A34" s="413" t="s">
        <v>1040</v>
      </c>
      <c r="B34" s="346"/>
      <c r="C34" s="346"/>
      <c r="D34" s="346"/>
      <c r="E34" s="346"/>
      <c r="F34" s="346"/>
      <c r="G34" s="532"/>
      <c r="H34" s="532"/>
      <c r="I34" s="532"/>
      <c r="J34" s="532"/>
      <c r="K34" s="532"/>
      <c r="L34" s="346"/>
    </row>
    <row r="35" spans="1:12" ht="12.95" customHeight="1">
      <c r="A35" s="346" t="s">
        <v>1041</v>
      </c>
      <c r="B35" s="346"/>
      <c r="C35" s="346"/>
      <c r="D35" s="346"/>
      <c r="E35" s="346"/>
      <c r="F35" s="346"/>
      <c r="G35" s="532"/>
      <c r="H35" s="532"/>
      <c r="I35" s="532"/>
      <c r="J35" s="532"/>
      <c r="K35" s="532"/>
      <c r="L35" s="532"/>
    </row>
    <row r="36" spans="1:12" ht="12" customHeight="1">
      <c r="A36" s="346" t="s">
        <v>1042</v>
      </c>
      <c r="B36" s="1499"/>
      <c r="C36" s="272"/>
      <c r="D36" s="272"/>
      <c r="E36" s="272"/>
      <c r="F36" s="272"/>
    </row>
    <row r="37" spans="1:12" ht="12" customHeight="1">
      <c r="A37" s="346" t="s">
        <v>1043</v>
      </c>
      <c r="B37" s="532"/>
      <c r="C37" s="532"/>
      <c r="D37" s="532"/>
    </row>
    <row r="38" spans="1:12">
      <c r="E38" s="1818"/>
    </row>
  </sheetData>
  <mergeCells count="23">
    <mergeCell ref="A25:B27"/>
    <mergeCell ref="A31:L31"/>
    <mergeCell ref="A17:A22"/>
    <mergeCell ref="B17:B19"/>
    <mergeCell ref="B20:C20"/>
    <mergeCell ref="B21:C21"/>
    <mergeCell ref="B22:C22"/>
    <mergeCell ref="A23:B23"/>
    <mergeCell ref="A6:A10"/>
    <mergeCell ref="B6:B8"/>
    <mergeCell ref="B9:C9"/>
    <mergeCell ref="B10:C10"/>
    <mergeCell ref="A11:A16"/>
    <mergeCell ref="B11:B13"/>
    <mergeCell ref="B14:C14"/>
    <mergeCell ref="B15:C15"/>
    <mergeCell ref="B16:C16"/>
    <mergeCell ref="A4:C5"/>
    <mergeCell ref="D4:D5"/>
    <mergeCell ref="E4:F4"/>
    <mergeCell ref="G4:H4"/>
    <mergeCell ref="I4:J4"/>
    <mergeCell ref="K4:L4"/>
  </mergeCells>
  <phoneticPr fontId="2" type="noConversion"/>
  <printOptions horizontalCentered="1"/>
  <pageMargins left="0.7" right="0.7" top="0.75" bottom="0.75" header="0.3" footer="0.3"/>
  <pageSetup paperSize="9" scale="85" firstPageNumber="38" orientation="portrait" useFirstPageNumber="1" r:id="rId1"/>
  <headerFooter differentOddEven="1" scaleWithDoc="0"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EFAC-7E42-4433-8C4D-8DDFE48B9F6E}">
  <sheetPr>
    <tabColor rgb="FF92D050"/>
  </sheetPr>
  <dimension ref="A1:XFB36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9.25" style="431" customWidth="1"/>
    <col min="2" max="11" width="8.625" style="431" customWidth="1"/>
    <col min="12" max="12" width="9.25" style="431" customWidth="1"/>
    <col min="13" max="22" width="8.625" style="431" customWidth="1"/>
    <col min="23" max="23" width="9.25" style="431" customWidth="1"/>
    <col min="24" max="33" width="8.625" style="431" customWidth="1"/>
    <col min="34" max="34" width="11.125" style="431" bestFit="1" customWidth="1"/>
    <col min="35" max="41" width="12.75" style="1819" bestFit="1" customWidth="1"/>
    <col min="42" max="16384" width="10" style="431"/>
  </cols>
  <sheetData>
    <row r="1" spans="1:16382" ht="20.25" customHeight="1">
      <c r="A1" s="687" t="s">
        <v>1044</v>
      </c>
      <c r="L1" s="687" t="s">
        <v>1045</v>
      </c>
      <c r="W1" s="687" t="s">
        <v>1046</v>
      </c>
    </row>
    <row r="2" spans="1:16382" s="355" customFormat="1" ht="17.25">
      <c r="A2" s="355" t="s">
        <v>1047</v>
      </c>
      <c r="L2" s="355" t="s">
        <v>1048</v>
      </c>
      <c r="W2" s="355" t="s">
        <v>1049</v>
      </c>
      <c r="AI2" s="1820"/>
      <c r="AJ2" s="1820"/>
      <c r="AK2" s="1820"/>
      <c r="AL2" s="1820"/>
      <c r="AM2" s="1820"/>
      <c r="AN2" s="1820"/>
      <c r="AO2" s="1820"/>
    </row>
    <row r="3" spans="1:16382" s="201" customFormat="1" ht="15" customHeight="1">
      <c r="A3" s="413"/>
      <c r="B3" s="413"/>
      <c r="C3" s="413"/>
      <c r="D3" s="413"/>
      <c r="E3" s="413"/>
      <c r="F3" s="413"/>
      <c r="G3" s="432"/>
      <c r="H3" s="432"/>
      <c r="I3" s="432"/>
      <c r="J3" s="432"/>
      <c r="K3" s="1821" t="s">
        <v>1050</v>
      </c>
      <c r="L3" s="413"/>
      <c r="M3" s="413"/>
      <c r="N3" s="413"/>
      <c r="O3" s="413"/>
      <c r="P3" s="413"/>
      <c r="Q3" s="413"/>
      <c r="R3" s="432"/>
      <c r="S3" s="432"/>
      <c r="T3" s="432"/>
      <c r="U3" s="432"/>
      <c r="V3" s="1821" t="s">
        <v>1051</v>
      </c>
      <c r="W3" s="413"/>
      <c r="X3" s="413"/>
      <c r="Y3" s="413"/>
      <c r="Z3" s="413"/>
      <c r="AA3" s="413"/>
      <c r="AB3" s="413"/>
      <c r="AC3" s="432"/>
      <c r="AD3" s="432"/>
      <c r="AE3" s="432"/>
      <c r="AF3" s="432"/>
      <c r="AG3" s="1821" t="s">
        <v>1052</v>
      </c>
      <c r="AI3" s="197"/>
      <c r="AJ3" s="197"/>
      <c r="AK3" s="197"/>
      <c r="AL3" s="197"/>
      <c r="AM3" s="197"/>
      <c r="AN3" s="197"/>
      <c r="AO3" s="197"/>
    </row>
    <row r="4" spans="1:16382" s="1827" customFormat="1" ht="24" customHeight="1">
      <c r="A4" s="1822" t="s">
        <v>1053</v>
      </c>
      <c r="B4" s="1823" t="s">
        <v>1054</v>
      </c>
      <c r="C4" s="1824"/>
      <c r="D4" s="1824"/>
      <c r="E4" s="1824"/>
      <c r="F4" s="1824"/>
      <c r="G4" s="1825"/>
      <c r="H4" s="1824"/>
      <c r="I4" s="1824"/>
      <c r="J4" s="1824"/>
      <c r="K4" s="1826"/>
      <c r="L4" s="1822" t="s">
        <v>1053</v>
      </c>
      <c r="M4" s="1823" t="s">
        <v>1055</v>
      </c>
      <c r="N4" s="1824"/>
      <c r="O4" s="1824"/>
      <c r="P4" s="1824"/>
      <c r="Q4" s="1824"/>
      <c r="R4" s="1825"/>
      <c r="S4" s="1824"/>
      <c r="T4" s="1824"/>
      <c r="U4" s="1824"/>
      <c r="V4" s="1826"/>
      <c r="W4" s="1822" t="s">
        <v>1053</v>
      </c>
      <c r="X4" s="1823" t="s">
        <v>1056</v>
      </c>
      <c r="Y4" s="1824"/>
      <c r="Z4" s="1824"/>
      <c r="AA4" s="1824"/>
      <c r="AB4" s="1824"/>
      <c r="AC4" s="1825"/>
      <c r="AD4" s="1824"/>
      <c r="AE4" s="1824"/>
      <c r="AF4" s="1824"/>
      <c r="AG4" s="1826"/>
      <c r="AI4" s="1828"/>
      <c r="AJ4" s="1828"/>
      <c r="AK4" s="1828"/>
      <c r="AL4" s="1828"/>
      <c r="AM4" s="1828"/>
      <c r="AN4" s="1828"/>
      <c r="AO4" s="1828"/>
      <c r="AP4" s="1828"/>
    </row>
    <row r="5" spans="1:16382" s="1108" customFormat="1" ht="24" customHeight="1">
      <c r="A5" s="1829"/>
      <c r="B5" s="198" t="s">
        <v>97</v>
      </c>
      <c r="C5" s="199" t="s">
        <v>107</v>
      </c>
      <c r="D5" s="199" t="s">
        <v>108</v>
      </c>
      <c r="E5" s="199" t="s">
        <v>100</v>
      </c>
      <c r="F5" s="199" t="s">
        <v>109</v>
      </c>
      <c r="G5" s="199" t="s">
        <v>110</v>
      </c>
      <c r="H5" s="200" t="s">
        <v>111</v>
      </c>
      <c r="I5" s="200" t="s">
        <v>477</v>
      </c>
      <c r="J5" s="200" t="s">
        <v>112</v>
      </c>
      <c r="K5" s="203" t="s">
        <v>1057</v>
      </c>
      <c r="L5" s="1829"/>
      <c r="M5" s="198" t="s">
        <v>97</v>
      </c>
      <c r="N5" s="199" t="s">
        <v>107</v>
      </c>
      <c r="O5" s="199" t="s">
        <v>108</v>
      </c>
      <c r="P5" s="199" t="s">
        <v>100</v>
      </c>
      <c r="Q5" s="199" t="s">
        <v>109</v>
      </c>
      <c r="R5" s="199" t="s">
        <v>110</v>
      </c>
      <c r="S5" s="200" t="s">
        <v>111</v>
      </c>
      <c r="T5" s="200" t="s">
        <v>1058</v>
      </c>
      <c r="U5" s="200" t="s">
        <v>112</v>
      </c>
      <c r="V5" s="203" t="s">
        <v>1057</v>
      </c>
      <c r="W5" s="1829"/>
      <c r="X5" s="198" t="s">
        <v>97</v>
      </c>
      <c r="Y5" s="199" t="s">
        <v>107</v>
      </c>
      <c r="Z5" s="199" t="s">
        <v>108</v>
      </c>
      <c r="AA5" s="199" t="s">
        <v>100</v>
      </c>
      <c r="AB5" s="199" t="s">
        <v>109</v>
      </c>
      <c r="AC5" s="199" t="s">
        <v>110</v>
      </c>
      <c r="AD5" s="200" t="s">
        <v>111</v>
      </c>
      <c r="AE5" s="200" t="s">
        <v>1058</v>
      </c>
      <c r="AF5" s="200" t="s">
        <v>112</v>
      </c>
      <c r="AG5" s="203" t="s">
        <v>1059</v>
      </c>
    </row>
    <row r="6" spans="1:16382" s="537" customFormat="1" ht="29.1" customHeight="1">
      <c r="A6" s="633">
        <v>2020</v>
      </c>
      <c r="B6" s="1830">
        <v>152319.09599999999</v>
      </c>
      <c r="C6" s="1831">
        <v>185178.32199999999</v>
      </c>
      <c r="D6" s="1831">
        <v>1875.6949999999999</v>
      </c>
      <c r="E6" s="1831">
        <v>2184.0169999999998</v>
      </c>
      <c r="F6" s="1831">
        <v>140783.81400000001</v>
      </c>
      <c r="G6" s="1831">
        <v>3155.8580000000002</v>
      </c>
      <c r="H6" s="1831">
        <v>3256.7660000000001</v>
      </c>
      <c r="I6" s="1831">
        <v>19179.383000000002</v>
      </c>
      <c r="J6" s="1831">
        <v>7174.1670000000004</v>
      </c>
      <c r="K6" s="1832">
        <v>515107.11800000002</v>
      </c>
      <c r="L6" s="633">
        <f>A6</f>
        <v>2020</v>
      </c>
      <c r="M6" s="1830">
        <v>90917.53</v>
      </c>
      <c r="N6" s="1831">
        <v>152093.78899999999</v>
      </c>
      <c r="O6" s="1831">
        <v>1528.213</v>
      </c>
      <c r="P6" s="1831">
        <v>4217.7309999999998</v>
      </c>
      <c r="Q6" s="1831">
        <v>139134.60399999999</v>
      </c>
      <c r="R6" s="1831">
        <v>2578.9830000000002</v>
      </c>
      <c r="S6" s="1831">
        <v>3682.433</v>
      </c>
      <c r="T6" s="1831">
        <v>15390.189</v>
      </c>
      <c r="U6" s="1831">
        <v>8092.0739999999996</v>
      </c>
      <c r="V6" s="1832">
        <v>417635.54700000002</v>
      </c>
      <c r="W6" s="633">
        <f>A6</f>
        <v>2020</v>
      </c>
      <c r="X6" s="1833">
        <v>59.689</v>
      </c>
      <c r="Y6" s="1834">
        <v>82.134</v>
      </c>
      <c r="Z6" s="1834">
        <v>81.474999999999994</v>
      </c>
      <c r="AA6" s="1834">
        <v>193.11799999999999</v>
      </c>
      <c r="AB6" s="1834">
        <v>98.828999999999994</v>
      </c>
      <c r="AC6" s="1834">
        <v>81.721000000000004</v>
      </c>
      <c r="AD6" s="1834">
        <v>113.07</v>
      </c>
      <c r="AE6" s="1834">
        <v>80.242999999999995</v>
      </c>
      <c r="AF6" s="1834">
        <v>112.795</v>
      </c>
      <c r="AG6" s="1835">
        <v>81.076999999999998</v>
      </c>
      <c r="AI6" s="1836"/>
      <c r="AJ6" s="1836"/>
      <c r="AK6" s="1836"/>
      <c r="AL6" s="1836"/>
      <c r="AM6" s="1836"/>
      <c r="AN6" s="1836"/>
      <c r="AO6" s="1836"/>
      <c r="AP6" s="1836"/>
    </row>
    <row r="7" spans="1:16382" s="537" customFormat="1" ht="29.1" customHeight="1">
      <c r="A7" s="633">
        <v>2021</v>
      </c>
      <c r="B7" s="1830">
        <v>150162.75399999999</v>
      </c>
      <c r="C7" s="1831">
        <v>186812.679</v>
      </c>
      <c r="D7" s="1831">
        <v>1653.6420000000001</v>
      </c>
      <c r="E7" s="1831">
        <v>2110.3629999999998</v>
      </c>
      <c r="F7" s="1831">
        <v>163078.533</v>
      </c>
      <c r="G7" s="1831">
        <v>2348.56</v>
      </c>
      <c r="H7" s="1831">
        <v>3666.7579999999998</v>
      </c>
      <c r="I7" s="1831">
        <v>23367.544999999998</v>
      </c>
      <c r="J7" s="1831">
        <v>2784.6559999999999</v>
      </c>
      <c r="K7" s="1832">
        <v>535985.49</v>
      </c>
      <c r="L7" s="633">
        <f t="shared" ref="L7:L10" si="0">A7</f>
        <v>2021</v>
      </c>
      <c r="M7" s="1830">
        <v>84507.58</v>
      </c>
      <c r="N7" s="1831">
        <v>190008.97399999999</v>
      </c>
      <c r="O7" s="1831">
        <v>1718.4469999999999</v>
      </c>
      <c r="P7" s="1831">
        <v>4603.1660000000002</v>
      </c>
      <c r="Q7" s="1831">
        <v>199552.51699999999</v>
      </c>
      <c r="R7" s="1831">
        <v>2528.058</v>
      </c>
      <c r="S7" s="1831">
        <v>5147.4129999999996</v>
      </c>
      <c r="T7" s="1831">
        <v>24975.137999999999</v>
      </c>
      <c r="U7" s="1831">
        <v>4927.991</v>
      </c>
      <c r="V7" s="1832">
        <v>517969.28200000001</v>
      </c>
      <c r="W7" s="633">
        <f t="shared" ref="W7:W26" si="1">L7</f>
        <v>2021</v>
      </c>
      <c r="X7" s="1833">
        <v>56.277000000000001</v>
      </c>
      <c r="Y7" s="1834">
        <v>101.711</v>
      </c>
      <c r="Z7" s="1834">
        <v>103.919</v>
      </c>
      <c r="AA7" s="1834">
        <v>218.12200000000001</v>
      </c>
      <c r="AB7" s="1834">
        <v>122.366</v>
      </c>
      <c r="AC7" s="1834">
        <v>107.643</v>
      </c>
      <c r="AD7" s="1834">
        <v>140.38</v>
      </c>
      <c r="AE7" s="1834">
        <v>106.88</v>
      </c>
      <c r="AF7" s="1834">
        <v>176.96899999999999</v>
      </c>
      <c r="AG7" s="1835">
        <v>96.638999999999996</v>
      </c>
      <c r="AI7" s="1836"/>
      <c r="AJ7" s="1836"/>
      <c r="AK7" s="1836"/>
      <c r="AL7" s="1836"/>
      <c r="AM7" s="1836"/>
      <c r="AN7" s="1836"/>
      <c r="AO7" s="1836"/>
      <c r="AP7" s="1836"/>
    </row>
    <row r="8" spans="1:16382" s="537" customFormat="1" ht="29.1" customHeight="1">
      <c r="A8" s="633">
        <v>2022</v>
      </c>
      <c r="B8" s="1830">
        <v>167346.01800000001</v>
      </c>
      <c r="C8" s="1831">
        <v>184047.58300000001</v>
      </c>
      <c r="D8" s="1831">
        <v>1675.038</v>
      </c>
      <c r="E8" s="1831">
        <v>1336.8489999999999</v>
      </c>
      <c r="F8" s="1831">
        <v>159460.674</v>
      </c>
      <c r="G8" s="1831">
        <v>2922.79</v>
      </c>
      <c r="H8" s="1831">
        <v>3701.973</v>
      </c>
      <c r="I8" s="1831">
        <v>28360.653999999999</v>
      </c>
      <c r="J8" s="1831">
        <v>1980.6780000000001</v>
      </c>
      <c r="K8" s="1832">
        <v>550832.25899999996</v>
      </c>
      <c r="L8" s="633">
        <f t="shared" si="0"/>
        <v>2022</v>
      </c>
      <c r="M8" s="1830">
        <v>87993.31</v>
      </c>
      <c r="N8" s="1831">
        <v>290756.826</v>
      </c>
      <c r="O8" s="1831">
        <v>3395.527</v>
      </c>
      <c r="P8" s="1831">
        <v>4064.335</v>
      </c>
      <c r="Q8" s="1831">
        <v>382544.64799999999</v>
      </c>
      <c r="R8" s="1831">
        <v>6161.61</v>
      </c>
      <c r="S8" s="1831">
        <v>10285.425999999999</v>
      </c>
      <c r="T8" s="1831">
        <v>57705.966999999997</v>
      </c>
      <c r="U8" s="1831">
        <v>6286.2659999999996</v>
      </c>
      <c r="V8" s="1832">
        <v>849193.91500000004</v>
      </c>
      <c r="W8" s="633">
        <f t="shared" si="1"/>
        <v>2022</v>
      </c>
      <c r="X8" s="1833">
        <v>52.582000000000001</v>
      </c>
      <c r="Y8" s="1834">
        <v>157.97900000000001</v>
      </c>
      <c r="Z8" s="1834">
        <v>202.71299999999999</v>
      </c>
      <c r="AA8" s="1834">
        <v>304.02300000000002</v>
      </c>
      <c r="AB8" s="1834">
        <v>239.899</v>
      </c>
      <c r="AC8" s="1834">
        <v>210.81299999999999</v>
      </c>
      <c r="AD8" s="1834">
        <v>277.83600000000001</v>
      </c>
      <c r="AE8" s="1834">
        <v>203.47200000000001</v>
      </c>
      <c r="AF8" s="1834">
        <v>317.37900000000002</v>
      </c>
      <c r="AG8" s="1835">
        <v>154.166</v>
      </c>
      <c r="AI8" s="1836"/>
      <c r="AJ8" s="1836"/>
      <c r="AK8" s="1836"/>
      <c r="AL8" s="1836"/>
      <c r="AM8" s="1836"/>
      <c r="AN8" s="1836"/>
      <c r="AO8" s="1836"/>
      <c r="AP8" s="1836"/>
    </row>
    <row r="9" spans="1:16382" s="537" customFormat="1" ht="29.1" customHeight="1">
      <c r="A9" s="633">
        <v>2023</v>
      </c>
      <c r="B9" s="1830">
        <v>171461.31599999999</v>
      </c>
      <c r="C9" s="1831">
        <v>177020.834</v>
      </c>
      <c r="D9" s="1831">
        <v>1679.009</v>
      </c>
      <c r="E9" s="1831">
        <v>642.70799999999997</v>
      </c>
      <c r="F9" s="1831">
        <v>153325.785</v>
      </c>
      <c r="G9" s="1831">
        <v>2982.2350000000001</v>
      </c>
      <c r="H9" s="1831">
        <v>3773.194</v>
      </c>
      <c r="I9" s="1831">
        <v>30644.723999999998</v>
      </c>
      <c r="J9" s="1831">
        <v>2442.9360000000001</v>
      </c>
      <c r="K9" s="1832">
        <v>543972.74100000004</v>
      </c>
      <c r="L9" s="633">
        <f t="shared" si="0"/>
        <v>2023</v>
      </c>
      <c r="M9" s="1830">
        <v>94469.099000000002</v>
      </c>
      <c r="N9" s="1831">
        <v>250016.484</v>
      </c>
      <c r="O9" s="1831">
        <v>2823.9229999999998</v>
      </c>
      <c r="P9" s="1831">
        <v>2361.4029999999998</v>
      </c>
      <c r="Q9" s="1831">
        <v>330036.67099999997</v>
      </c>
      <c r="R9" s="1831">
        <v>5025.4449999999997</v>
      </c>
      <c r="S9" s="1831">
        <v>9099.2270000000008</v>
      </c>
      <c r="T9" s="1831">
        <v>53390.832000000002</v>
      </c>
      <c r="U9" s="1831">
        <v>6291.9459999999999</v>
      </c>
      <c r="V9" s="1832">
        <v>753515.03099999996</v>
      </c>
      <c r="W9" s="633">
        <f t="shared" si="1"/>
        <v>2023</v>
      </c>
      <c r="X9" s="1833">
        <v>55.095999999999997</v>
      </c>
      <c r="Y9" s="1834">
        <v>141.23599999999999</v>
      </c>
      <c r="Z9" s="1834">
        <v>168.19</v>
      </c>
      <c r="AA9" s="1834">
        <v>367.41399999999999</v>
      </c>
      <c r="AB9" s="1834">
        <v>215.25200000000001</v>
      </c>
      <c r="AC9" s="1834">
        <v>168.51300000000001</v>
      </c>
      <c r="AD9" s="1834">
        <v>241.155</v>
      </c>
      <c r="AE9" s="1834">
        <v>174.22499999999999</v>
      </c>
      <c r="AF9" s="1834">
        <v>257.55700000000002</v>
      </c>
      <c r="AG9" s="1835">
        <v>138.52099999999999</v>
      </c>
      <c r="AI9" s="1836"/>
      <c r="AJ9" s="1836"/>
      <c r="AK9" s="1836"/>
      <c r="AL9" s="1836"/>
      <c r="AM9" s="1836"/>
      <c r="AN9" s="1836"/>
      <c r="AO9" s="1836"/>
      <c r="AP9" s="1836"/>
    </row>
    <row r="10" spans="1:16382" s="537" customFormat="1" ht="29.1" customHeight="1">
      <c r="A10" s="1837">
        <v>2024</v>
      </c>
      <c r="B10" s="1830">
        <v>179061.011</v>
      </c>
      <c r="C10" s="1831">
        <v>159293.99900000001</v>
      </c>
      <c r="D10" s="1831">
        <v>1777.0409999999999</v>
      </c>
      <c r="E10" s="1831">
        <v>115.63800000000001</v>
      </c>
      <c r="F10" s="1831">
        <v>163523.397</v>
      </c>
      <c r="G10" s="1831">
        <v>3437.57</v>
      </c>
      <c r="H10" s="1831">
        <v>4660.0649999999996</v>
      </c>
      <c r="I10" s="1831">
        <v>34503.953999999998</v>
      </c>
      <c r="J10" s="1831">
        <v>2757.136</v>
      </c>
      <c r="K10" s="1832">
        <v>549129.81299999997</v>
      </c>
      <c r="L10" s="633">
        <f t="shared" si="0"/>
        <v>2024</v>
      </c>
      <c r="M10" s="1830">
        <v>118845.908</v>
      </c>
      <c r="N10" s="1831">
        <v>228855.17499999999</v>
      </c>
      <c r="O10" s="1831">
        <v>2527</v>
      </c>
      <c r="P10" s="1831">
        <v>512.55499999999995</v>
      </c>
      <c r="Q10" s="1831">
        <v>287106.94500000001</v>
      </c>
      <c r="R10" s="1831">
        <v>5092.491</v>
      </c>
      <c r="S10" s="1831">
        <v>9750.9830000000002</v>
      </c>
      <c r="T10" s="1831">
        <v>47819.667999999998</v>
      </c>
      <c r="U10" s="1831">
        <v>6064.3119999999999</v>
      </c>
      <c r="V10" s="1832">
        <v>706575.01800000004</v>
      </c>
      <c r="W10" s="633">
        <f t="shared" si="1"/>
        <v>2024</v>
      </c>
      <c r="X10" s="1833">
        <v>66.372</v>
      </c>
      <c r="Y10" s="1834">
        <v>143.66800000000001</v>
      </c>
      <c r="Z10" s="1834">
        <v>142.203</v>
      </c>
      <c r="AA10" s="1834">
        <v>443.24</v>
      </c>
      <c r="AB10" s="1834">
        <v>175.57499999999999</v>
      </c>
      <c r="AC10" s="1834">
        <v>148.142</v>
      </c>
      <c r="AD10" s="1834">
        <v>209.24600000000001</v>
      </c>
      <c r="AE10" s="1834">
        <v>138.59200000000001</v>
      </c>
      <c r="AF10" s="1834">
        <v>219.95</v>
      </c>
      <c r="AG10" s="1835">
        <v>128.672</v>
      </c>
      <c r="AI10" s="1836"/>
      <c r="AJ10" s="1836"/>
      <c r="AK10" s="1836"/>
      <c r="AL10" s="1836"/>
      <c r="AM10" s="1836"/>
      <c r="AN10" s="1836"/>
      <c r="AO10" s="1836"/>
      <c r="AP10" s="1836"/>
    </row>
    <row r="11" spans="1:16382" s="1845" customFormat="1" ht="29.1" customHeight="1">
      <c r="A11" s="1838">
        <v>2025</v>
      </c>
      <c r="B11" s="1839">
        <v>174938.15400000001</v>
      </c>
      <c r="C11" s="1840">
        <v>162930.69</v>
      </c>
      <c r="D11" s="1840">
        <v>1199.1469999999999</v>
      </c>
      <c r="E11" s="1840">
        <v>159.27799999999999</v>
      </c>
      <c r="F11" s="1840">
        <v>159437.96</v>
      </c>
      <c r="G11" s="1840">
        <v>3076.4479999999999</v>
      </c>
      <c r="H11" s="1840">
        <v>4398.8689999999997</v>
      </c>
      <c r="I11" s="1840">
        <v>36489.588000000003</v>
      </c>
      <c r="J11" s="1840">
        <v>2564.5230000000001</v>
      </c>
      <c r="K11" s="1841">
        <v>545194.65800000005</v>
      </c>
      <c r="L11" s="1838">
        <f>A11</f>
        <v>2025</v>
      </c>
      <c r="M11" s="1839">
        <v>138358.28200000001</v>
      </c>
      <c r="N11" s="1840">
        <v>224947.33300000001</v>
      </c>
      <c r="O11" s="1840">
        <v>1434.8710000000001</v>
      </c>
      <c r="P11" s="1840">
        <v>611.61500000000001</v>
      </c>
      <c r="Q11" s="1840">
        <v>252132.78400000001</v>
      </c>
      <c r="R11" s="1840">
        <v>4049.7109999999998</v>
      </c>
      <c r="S11" s="1840">
        <v>8705.9060000000009</v>
      </c>
      <c r="T11" s="1840">
        <v>45726.661999999997</v>
      </c>
      <c r="U11" s="1840">
        <v>5671.8220000000001</v>
      </c>
      <c r="V11" s="1841">
        <v>681638.98699999996</v>
      </c>
      <c r="W11" s="633">
        <f t="shared" si="1"/>
        <v>2025</v>
      </c>
      <c r="X11" s="1842">
        <v>79.09</v>
      </c>
      <c r="Y11" s="1843">
        <v>138.06299999999999</v>
      </c>
      <c r="Z11" s="1843">
        <v>119.658</v>
      </c>
      <c r="AA11" s="1843">
        <v>383.99299999999999</v>
      </c>
      <c r="AB11" s="1843">
        <v>158.13800000000001</v>
      </c>
      <c r="AC11" s="1843">
        <v>131.636</v>
      </c>
      <c r="AD11" s="1843">
        <v>197.91200000000001</v>
      </c>
      <c r="AE11" s="1843">
        <v>125.31399999999999</v>
      </c>
      <c r="AF11" s="1843">
        <v>221.16499999999999</v>
      </c>
      <c r="AG11" s="1844">
        <v>125.027</v>
      </c>
      <c r="AH11" s="537"/>
      <c r="AI11" s="1836"/>
      <c r="AJ11" s="1836"/>
      <c r="AK11" s="1836"/>
      <c r="AL11" s="1836"/>
      <c r="AM11" s="1836"/>
      <c r="AN11" s="1836"/>
      <c r="AO11" s="1836"/>
      <c r="AP11" s="1836"/>
      <c r="AQ11" s="537"/>
      <c r="AR11" s="537"/>
      <c r="AS11" s="537"/>
      <c r="AT11" s="537"/>
      <c r="AU11" s="537"/>
      <c r="AV11" s="537"/>
      <c r="AW11" s="537"/>
      <c r="AX11" s="537"/>
      <c r="AY11" s="537"/>
      <c r="AZ11" s="537"/>
      <c r="BA11" s="537"/>
      <c r="BB11" s="537"/>
      <c r="BC11" s="537"/>
      <c r="BD11" s="537"/>
      <c r="BE11" s="537"/>
      <c r="BF11" s="537"/>
      <c r="BG11" s="537"/>
      <c r="BH11" s="537"/>
      <c r="BI11" s="537"/>
      <c r="BJ11" s="537"/>
      <c r="BK11" s="537"/>
      <c r="BL11" s="537"/>
      <c r="BM11" s="537"/>
      <c r="BN11" s="537"/>
      <c r="BO11" s="537"/>
      <c r="BP11" s="537"/>
      <c r="BQ11" s="537"/>
      <c r="BR11" s="537"/>
      <c r="BS11" s="537"/>
      <c r="BT11" s="537"/>
      <c r="BU11" s="537"/>
      <c r="BV11" s="537"/>
      <c r="BW11" s="537"/>
      <c r="BX11" s="537"/>
      <c r="BY11" s="537"/>
      <c r="BZ11" s="537"/>
      <c r="CA11" s="537"/>
      <c r="CB11" s="537"/>
      <c r="CC11" s="537"/>
      <c r="CD11" s="537"/>
      <c r="CE11" s="537"/>
      <c r="CF11" s="537"/>
      <c r="CG11" s="537"/>
      <c r="CH11" s="537"/>
      <c r="CI11" s="537"/>
      <c r="CJ11" s="537"/>
      <c r="CK11" s="537"/>
      <c r="CL11" s="537"/>
      <c r="CM11" s="537"/>
      <c r="CN11" s="537"/>
      <c r="CO11" s="537"/>
      <c r="CP11" s="537"/>
      <c r="CQ11" s="537"/>
      <c r="CR11" s="537"/>
      <c r="CS11" s="537"/>
      <c r="CT11" s="537"/>
      <c r="CU11" s="537"/>
      <c r="CV11" s="537"/>
      <c r="CW11" s="537"/>
      <c r="CX11" s="537"/>
      <c r="CY11" s="537"/>
      <c r="CZ11" s="537"/>
      <c r="DA11" s="537"/>
      <c r="DB11" s="537"/>
      <c r="DC11" s="537"/>
      <c r="DD11" s="537"/>
      <c r="DE11" s="537"/>
      <c r="DF11" s="537"/>
      <c r="DG11" s="537"/>
      <c r="DH11" s="537"/>
      <c r="DI11" s="537"/>
      <c r="DJ11" s="537"/>
      <c r="DK11" s="537"/>
      <c r="DL11" s="537"/>
      <c r="DM11" s="537"/>
      <c r="DN11" s="537"/>
      <c r="DO11" s="537"/>
      <c r="DP11" s="537"/>
      <c r="DQ11" s="537"/>
      <c r="DR11" s="537"/>
      <c r="DS11" s="537"/>
      <c r="DT11" s="537"/>
      <c r="DU11" s="537"/>
      <c r="DV11" s="537"/>
      <c r="DW11" s="537"/>
      <c r="DX11" s="537"/>
      <c r="DY11" s="537"/>
      <c r="DZ11" s="537"/>
      <c r="EA11" s="537"/>
      <c r="EB11" s="537"/>
      <c r="EC11" s="537"/>
      <c r="ED11" s="537"/>
      <c r="EE11" s="537"/>
      <c r="EF11" s="537"/>
      <c r="EG11" s="537"/>
      <c r="EH11" s="537"/>
      <c r="EI11" s="537"/>
      <c r="EJ11" s="537"/>
      <c r="EK11" s="537"/>
      <c r="EL11" s="537"/>
      <c r="EM11" s="537"/>
      <c r="EN11" s="537"/>
      <c r="EO11" s="537"/>
      <c r="EP11" s="537"/>
      <c r="EQ11" s="537"/>
      <c r="ER11" s="537"/>
      <c r="ES11" s="537"/>
      <c r="ET11" s="537"/>
      <c r="EU11" s="537"/>
      <c r="EV11" s="537"/>
      <c r="EW11" s="537"/>
      <c r="EX11" s="537"/>
      <c r="EY11" s="537"/>
      <c r="EZ11" s="537"/>
      <c r="FA11" s="537"/>
      <c r="FB11" s="537"/>
      <c r="FC11" s="537"/>
      <c r="FD11" s="537"/>
      <c r="FE11" s="537"/>
      <c r="FF11" s="537"/>
      <c r="FG11" s="537"/>
      <c r="FH11" s="537"/>
      <c r="FI11" s="537"/>
      <c r="FJ11" s="537"/>
      <c r="FK11" s="537"/>
      <c r="FL11" s="537"/>
      <c r="FM11" s="537"/>
      <c r="FN11" s="537"/>
      <c r="FO11" s="537"/>
      <c r="FP11" s="537"/>
      <c r="FQ11" s="537"/>
      <c r="FR11" s="537"/>
      <c r="FS11" s="537"/>
      <c r="FT11" s="537"/>
      <c r="FU11" s="537"/>
      <c r="FV11" s="537"/>
      <c r="FW11" s="537"/>
      <c r="FX11" s="537"/>
      <c r="FY11" s="537"/>
      <c r="FZ11" s="537"/>
      <c r="GA11" s="537"/>
      <c r="GB11" s="537"/>
      <c r="GC11" s="537"/>
      <c r="GD11" s="537"/>
      <c r="GE11" s="537"/>
      <c r="GF11" s="537"/>
      <c r="GG11" s="537"/>
      <c r="GH11" s="537"/>
      <c r="GI11" s="537"/>
      <c r="GJ11" s="537"/>
      <c r="GK11" s="537"/>
      <c r="GL11" s="537"/>
      <c r="GM11" s="537"/>
      <c r="GN11" s="537"/>
      <c r="GO11" s="537"/>
      <c r="GP11" s="537"/>
      <c r="GQ11" s="537"/>
      <c r="GR11" s="537"/>
      <c r="GS11" s="537"/>
      <c r="GT11" s="537"/>
      <c r="GU11" s="537"/>
      <c r="GV11" s="537"/>
      <c r="GW11" s="537"/>
      <c r="GX11" s="537"/>
      <c r="GY11" s="537"/>
      <c r="GZ11" s="537"/>
      <c r="HA11" s="537"/>
      <c r="HB11" s="537"/>
      <c r="HC11" s="537"/>
      <c r="HD11" s="537"/>
      <c r="HE11" s="537"/>
      <c r="HF11" s="537"/>
      <c r="HG11" s="537"/>
      <c r="HH11" s="537"/>
      <c r="HI11" s="537"/>
      <c r="HJ11" s="537"/>
      <c r="HK11" s="537"/>
      <c r="HL11" s="537"/>
      <c r="HM11" s="537"/>
      <c r="HN11" s="537"/>
      <c r="HO11" s="537"/>
      <c r="HP11" s="537"/>
      <c r="HQ11" s="537"/>
      <c r="HR11" s="537"/>
      <c r="HS11" s="537"/>
      <c r="HT11" s="537"/>
      <c r="HU11" s="537"/>
      <c r="HV11" s="537"/>
      <c r="HW11" s="537"/>
      <c r="HX11" s="537"/>
      <c r="HY11" s="537"/>
      <c r="HZ11" s="537"/>
      <c r="IA11" s="537"/>
      <c r="IB11" s="537"/>
      <c r="IC11" s="537"/>
      <c r="ID11" s="537"/>
      <c r="IE11" s="537"/>
      <c r="IF11" s="537"/>
      <c r="IG11" s="537"/>
      <c r="IH11" s="537"/>
      <c r="II11" s="537"/>
      <c r="IJ11" s="537"/>
      <c r="IK11" s="537"/>
      <c r="IL11" s="537"/>
      <c r="IM11" s="537"/>
      <c r="IN11" s="537"/>
      <c r="IO11" s="537"/>
      <c r="IP11" s="537"/>
      <c r="IQ11" s="537"/>
      <c r="IR11" s="537"/>
      <c r="IS11" s="537"/>
      <c r="IT11" s="537"/>
      <c r="IU11" s="537"/>
      <c r="IV11" s="537"/>
      <c r="IW11" s="537"/>
      <c r="IX11" s="537"/>
      <c r="IY11" s="537"/>
      <c r="IZ11" s="537"/>
      <c r="JA11" s="537"/>
      <c r="JB11" s="537"/>
      <c r="JC11" s="537"/>
      <c r="JD11" s="537"/>
      <c r="JE11" s="537"/>
      <c r="JF11" s="537"/>
      <c r="JG11" s="537"/>
      <c r="JH11" s="537"/>
      <c r="JI11" s="537"/>
      <c r="JJ11" s="537"/>
      <c r="JK11" s="537"/>
      <c r="JL11" s="537"/>
      <c r="JM11" s="537"/>
      <c r="JN11" s="537"/>
      <c r="JO11" s="537"/>
      <c r="JP11" s="537"/>
      <c r="JQ11" s="537"/>
      <c r="JR11" s="537"/>
      <c r="JS11" s="537"/>
      <c r="JT11" s="537"/>
      <c r="JU11" s="537"/>
      <c r="JV11" s="537"/>
      <c r="JW11" s="537"/>
      <c r="JX11" s="537"/>
      <c r="JY11" s="537"/>
      <c r="JZ11" s="537"/>
      <c r="KA11" s="537"/>
      <c r="KB11" s="537"/>
      <c r="KC11" s="537"/>
      <c r="KD11" s="537"/>
      <c r="KE11" s="537"/>
      <c r="KF11" s="537"/>
      <c r="KG11" s="537"/>
      <c r="KH11" s="537"/>
      <c r="KI11" s="537"/>
      <c r="KJ11" s="537"/>
      <c r="KK11" s="537"/>
      <c r="KL11" s="537"/>
      <c r="KM11" s="537"/>
      <c r="KN11" s="537"/>
      <c r="KO11" s="537"/>
      <c r="KP11" s="537"/>
      <c r="KQ11" s="537"/>
      <c r="KR11" s="537"/>
      <c r="KS11" s="537"/>
      <c r="KT11" s="537"/>
      <c r="KU11" s="537"/>
      <c r="KV11" s="537"/>
      <c r="KW11" s="537"/>
      <c r="KX11" s="537"/>
      <c r="KY11" s="537"/>
      <c r="KZ11" s="537"/>
      <c r="LA11" s="537"/>
      <c r="LB11" s="537"/>
      <c r="LC11" s="537"/>
      <c r="LD11" s="537"/>
      <c r="LE11" s="537"/>
      <c r="LF11" s="537"/>
      <c r="LG11" s="537"/>
      <c r="LH11" s="537"/>
      <c r="LI11" s="537"/>
      <c r="LJ11" s="537"/>
      <c r="LK11" s="537"/>
      <c r="LL11" s="537"/>
      <c r="LM11" s="537"/>
      <c r="LN11" s="537"/>
      <c r="LO11" s="537"/>
      <c r="LP11" s="537"/>
      <c r="LQ11" s="537"/>
      <c r="LR11" s="537"/>
      <c r="LS11" s="537"/>
      <c r="LT11" s="537"/>
      <c r="LU11" s="537"/>
      <c r="LV11" s="537"/>
      <c r="LW11" s="537"/>
      <c r="LX11" s="537"/>
      <c r="LY11" s="537"/>
      <c r="LZ11" s="537"/>
      <c r="MA11" s="537"/>
      <c r="MB11" s="537"/>
      <c r="MC11" s="537"/>
      <c r="MD11" s="537"/>
      <c r="ME11" s="537"/>
      <c r="MF11" s="537"/>
      <c r="MG11" s="537"/>
      <c r="MH11" s="537"/>
      <c r="MI11" s="537"/>
      <c r="MJ11" s="537"/>
      <c r="MK11" s="537"/>
      <c r="ML11" s="537"/>
      <c r="MM11" s="537"/>
      <c r="MN11" s="537"/>
      <c r="MO11" s="537"/>
      <c r="MP11" s="537"/>
      <c r="MQ11" s="537"/>
      <c r="MR11" s="537"/>
      <c r="MS11" s="537"/>
      <c r="MT11" s="537"/>
      <c r="MU11" s="537"/>
      <c r="MV11" s="537"/>
      <c r="MW11" s="537"/>
      <c r="MX11" s="537"/>
      <c r="MY11" s="537"/>
      <c r="MZ11" s="537"/>
      <c r="NA11" s="537"/>
      <c r="NB11" s="537"/>
      <c r="NC11" s="537"/>
      <c r="ND11" s="537"/>
      <c r="NE11" s="537"/>
      <c r="NF11" s="537"/>
      <c r="NG11" s="537"/>
      <c r="NH11" s="537"/>
      <c r="NI11" s="537"/>
      <c r="NJ11" s="537"/>
      <c r="NK11" s="537"/>
      <c r="NL11" s="537"/>
      <c r="NM11" s="537"/>
      <c r="NN11" s="537"/>
      <c r="NO11" s="537"/>
      <c r="NP11" s="537"/>
      <c r="NQ11" s="537"/>
      <c r="NR11" s="537"/>
      <c r="NS11" s="537"/>
      <c r="NT11" s="537"/>
      <c r="NU11" s="537"/>
      <c r="NV11" s="537"/>
      <c r="NW11" s="537"/>
      <c r="NX11" s="537"/>
      <c r="NY11" s="537"/>
      <c r="NZ11" s="537"/>
      <c r="OA11" s="537"/>
      <c r="OB11" s="537"/>
      <c r="OC11" s="537"/>
      <c r="OD11" s="537"/>
      <c r="OE11" s="537"/>
      <c r="OF11" s="537"/>
      <c r="OG11" s="537"/>
      <c r="OH11" s="537"/>
      <c r="OI11" s="537"/>
      <c r="OJ11" s="537"/>
      <c r="OK11" s="537"/>
      <c r="OL11" s="537"/>
      <c r="OM11" s="537"/>
      <c r="ON11" s="537"/>
      <c r="OO11" s="537"/>
      <c r="OP11" s="537"/>
      <c r="OQ11" s="537"/>
      <c r="OR11" s="537"/>
      <c r="OS11" s="537"/>
      <c r="OT11" s="537"/>
      <c r="OU11" s="537"/>
      <c r="OV11" s="537"/>
      <c r="OW11" s="537"/>
      <c r="OX11" s="537"/>
      <c r="OY11" s="537"/>
      <c r="OZ11" s="537"/>
      <c r="PA11" s="537"/>
      <c r="PB11" s="537"/>
      <c r="PC11" s="537"/>
      <c r="PD11" s="537"/>
      <c r="PE11" s="537"/>
      <c r="PF11" s="537"/>
      <c r="PG11" s="537"/>
      <c r="PH11" s="537"/>
      <c r="PI11" s="537"/>
      <c r="PJ11" s="537"/>
      <c r="PK11" s="537"/>
      <c r="PL11" s="537"/>
      <c r="PM11" s="537"/>
      <c r="PN11" s="537"/>
      <c r="PO11" s="537"/>
      <c r="PP11" s="537"/>
      <c r="PQ11" s="537"/>
      <c r="PR11" s="537"/>
      <c r="PS11" s="537"/>
      <c r="PT11" s="537"/>
      <c r="PU11" s="537"/>
      <c r="PV11" s="537"/>
      <c r="PW11" s="537"/>
      <c r="PX11" s="537"/>
      <c r="PY11" s="537"/>
      <c r="PZ11" s="537"/>
      <c r="QA11" s="537"/>
      <c r="QB11" s="537"/>
      <c r="QC11" s="537"/>
      <c r="QD11" s="537"/>
      <c r="QE11" s="537"/>
      <c r="QF11" s="537"/>
      <c r="QG11" s="537"/>
      <c r="QH11" s="537"/>
      <c r="QI11" s="537"/>
      <c r="QJ11" s="537"/>
      <c r="QK11" s="537"/>
      <c r="QL11" s="537"/>
      <c r="QM11" s="537"/>
      <c r="QN11" s="537"/>
      <c r="QO11" s="537"/>
      <c r="QP11" s="537"/>
      <c r="QQ11" s="537"/>
      <c r="QR11" s="537"/>
      <c r="QS11" s="537"/>
      <c r="QT11" s="537"/>
      <c r="QU11" s="537"/>
      <c r="QV11" s="537"/>
      <c r="QW11" s="537"/>
      <c r="QX11" s="537"/>
      <c r="QY11" s="537"/>
      <c r="QZ11" s="537"/>
      <c r="RA11" s="537"/>
      <c r="RB11" s="537"/>
      <c r="RC11" s="537"/>
      <c r="RD11" s="537"/>
      <c r="RE11" s="537"/>
      <c r="RF11" s="537"/>
      <c r="RG11" s="537"/>
      <c r="RH11" s="537"/>
      <c r="RI11" s="537"/>
      <c r="RJ11" s="537"/>
      <c r="RK11" s="537"/>
      <c r="RL11" s="537"/>
      <c r="RM11" s="537"/>
      <c r="RN11" s="537"/>
      <c r="RO11" s="537"/>
      <c r="RP11" s="537"/>
      <c r="RQ11" s="537"/>
      <c r="RR11" s="537"/>
      <c r="RS11" s="537"/>
      <c r="RT11" s="537"/>
      <c r="RU11" s="537"/>
      <c r="RV11" s="537"/>
      <c r="RW11" s="537"/>
      <c r="RX11" s="537"/>
      <c r="RY11" s="537"/>
      <c r="RZ11" s="537"/>
      <c r="SA11" s="537"/>
      <c r="SB11" s="537"/>
      <c r="SC11" s="537"/>
      <c r="SD11" s="537"/>
      <c r="SE11" s="537"/>
      <c r="SF11" s="537"/>
      <c r="SG11" s="537"/>
      <c r="SH11" s="537"/>
      <c r="SI11" s="537"/>
      <c r="SJ11" s="537"/>
      <c r="SK11" s="537"/>
      <c r="SL11" s="537"/>
      <c r="SM11" s="537"/>
      <c r="SN11" s="537"/>
      <c r="SO11" s="537"/>
      <c r="SP11" s="537"/>
      <c r="SQ11" s="537"/>
      <c r="SR11" s="537"/>
      <c r="SS11" s="537"/>
      <c r="ST11" s="537"/>
      <c r="SU11" s="537"/>
      <c r="SV11" s="537"/>
      <c r="SW11" s="537"/>
      <c r="SX11" s="537"/>
      <c r="SY11" s="537"/>
      <c r="SZ11" s="537"/>
      <c r="TA11" s="537"/>
      <c r="TB11" s="537"/>
      <c r="TC11" s="537"/>
      <c r="TD11" s="537"/>
      <c r="TE11" s="537"/>
      <c r="TF11" s="537"/>
      <c r="TG11" s="537"/>
      <c r="TH11" s="537"/>
      <c r="TI11" s="537"/>
      <c r="TJ11" s="537"/>
      <c r="TK11" s="537"/>
      <c r="TL11" s="537"/>
      <c r="TM11" s="537"/>
      <c r="TN11" s="537"/>
      <c r="TO11" s="537"/>
      <c r="TP11" s="537"/>
      <c r="TQ11" s="537"/>
      <c r="TR11" s="537"/>
      <c r="TS11" s="537"/>
      <c r="TT11" s="537"/>
      <c r="TU11" s="537"/>
      <c r="TV11" s="537"/>
      <c r="TW11" s="537"/>
      <c r="TX11" s="537"/>
      <c r="TY11" s="537"/>
      <c r="TZ11" s="537"/>
      <c r="UA11" s="537"/>
      <c r="UB11" s="537"/>
      <c r="UC11" s="537"/>
      <c r="UD11" s="537"/>
      <c r="UE11" s="537"/>
      <c r="UF11" s="537"/>
      <c r="UG11" s="537"/>
      <c r="UH11" s="537"/>
      <c r="UI11" s="537"/>
      <c r="UJ11" s="537"/>
      <c r="UK11" s="537"/>
      <c r="UL11" s="537"/>
      <c r="UM11" s="537"/>
      <c r="UN11" s="537"/>
      <c r="UO11" s="537"/>
      <c r="UP11" s="537"/>
      <c r="UQ11" s="537"/>
      <c r="UR11" s="537"/>
      <c r="US11" s="537"/>
      <c r="UT11" s="537"/>
      <c r="UU11" s="537"/>
      <c r="UV11" s="537"/>
      <c r="UW11" s="537"/>
      <c r="UX11" s="537"/>
      <c r="UY11" s="537"/>
      <c r="UZ11" s="537"/>
      <c r="VA11" s="537"/>
      <c r="VB11" s="537"/>
      <c r="VC11" s="537"/>
      <c r="VD11" s="537"/>
      <c r="VE11" s="537"/>
      <c r="VF11" s="537"/>
      <c r="VG11" s="537"/>
      <c r="VH11" s="537"/>
      <c r="VI11" s="537"/>
      <c r="VJ11" s="537"/>
      <c r="VK11" s="537"/>
      <c r="VL11" s="537"/>
      <c r="VM11" s="537"/>
      <c r="VN11" s="537"/>
      <c r="VO11" s="537"/>
      <c r="VP11" s="537"/>
      <c r="VQ11" s="537"/>
      <c r="VR11" s="537"/>
      <c r="VS11" s="537"/>
      <c r="VT11" s="537"/>
      <c r="VU11" s="537"/>
      <c r="VV11" s="537"/>
      <c r="VW11" s="537"/>
      <c r="VX11" s="537"/>
      <c r="VY11" s="537"/>
      <c r="VZ11" s="537"/>
      <c r="WA11" s="537"/>
      <c r="WB11" s="537"/>
      <c r="WC11" s="537"/>
      <c r="WD11" s="537"/>
      <c r="WE11" s="537"/>
      <c r="WF11" s="537"/>
      <c r="WG11" s="537"/>
      <c r="WH11" s="537"/>
      <c r="WI11" s="537"/>
      <c r="WJ11" s="537"/>
      <c r="WK11" s="537"/>
      <c r="WL11" s="537"/>
      <c r="WM11" s="537"/>
      <c r="WN11" s="537"/>
      <c r="WO11" s="537"/>
      <c r="WP11" s="537"/>
      <c r="WQ11" s="537"/>
      <c r="WR11" s="537"/>
      <c r="WS11" s="537"/>
      <c r="WT11" s="537"/>
      <c r="WU11" s="537"/>
      <c r="WV11" s="537"/>
      <c r="WW11" s="537"/>
      <c r="WX11" s="537"/>
      <c r="WY11" s="537"/>
      <c r="WZ11" s="537"/>
      <c r="XA11" s="537"/>
      <c r="XB11" s="537"/>
      <c r="XC11" s="537"/>
      <c r="XD11" s="537"/>
      <c r="XE11" s="537"/>
      <c r="XF11" s="537"/>
      <c r="XG11" s="537"/>
      <c r="XH11" s="537"/>
      <c r="XI11" s="537"/>
      <c r="XJ11" s="537"/>
      <c r="XK11" s="537"/>
      <c r="XL11" s="537"/>
      <c r="XM11" s="537"/>
      <c r="XN11" s="537"/>
      <c r="XO11" s="537"/>
      <c r="XP11" s="537"/>
      <c r="XQ11" s="537"/>
      <c r="XR11" s="537"/>
      <c r="XS11" s="537"/>
      <c r="XT11" s="537"/>
      <c r="XU11" s="537"/>
      <c r="XV11" s="537"/>
      <c r="XW11" s="537"/>
      <c r="XX11" s="537"/>
      <c r="XY11" s="537"/>
      <c r="XZ11" s="537"/>
      <c r="YA11" s="537"/>
      <c r="YB11" s="537"/>
      <c r="YC11" s="537"/>
      <c r="YD11" s="537"/>
      <c r="YE11" s="537"/>
      <c r="YF11" s="537"/>
      <c r="YG11" s="537"/>
      <c r="YH11" s="537"/>
      <c r="YI11" s="537"/>
      <c r="YJ11" s="537"/>
      <c r="YK11" s="537"/>
      <c r="YL11" s="537"/>
      <c r="YM11" s="537"/>
      <c r="YN11" s="537"/>
      <c r="YO11" s="537"/>
      <c r="YP11" s="537"/>
      <c r="YQ11" s="537"/>
      <c r="YR11" s="537"/>
      <c r="YS11" s="537"/>
      <c r="YT11" s="537"/>
      <c r="YU11" s="537"/>
      <c r="YV11" s="537"/>
      <c r="YW11" s="537"/>
      <c r="YX11" s="537"/>
      <c r="YY11" s="537"/>
      <c r="YZ11" s="537"/>
      <c r="ZA11" s="537"/>
      <c r="ZB11" s="537"/>
      <c r="ZC11" s="537"/>
      <c r="ZD11" s="537"/>
      <c r="ZE11" s="537"/>
      <c r="ZF11" s="537"/>
      <c r="ZG11" s="537"/>
      <c r="ZH11" s="537"/>
      <c r="ZI11" s="537"/>
      <c r="ZJ11" s="537"/>
      <c r="ZK11" s="537"/>
      <c r="ZL11" s="537"/>
      <c r="ZM11" s="537"/>
      <c r="ZN11" s="537"/>
      <c r="ZO11" s="537"/>
      <c r="ZP11" s="537"/>
      <c r="ZQ11" s="537"/>
      <c r="ZR11" s="537"/>
      <c r="ZS11" s="537"/>
      <c r="ZT11" s="537"/>
      <c r="ZU11" s="537"/>
      <c r="ZV11" s="537"/>
      <c r="ZW11" s="537"/>
      <c r="ZX11" s="537"/>
      <c r="ZY11" s="537"/>
      <c r="ZZ11" s="537"/>
      <c r="AAA11" s="537"/>
      <c r="AAB11" s="537"/>
      <c r="AAC11" s="537"/>
      <c r="AAD11" s="537"/>
      <c r="AAE11" s="537"/>
      <c r="AAF11" s="537"/>
      <c r="AAG11" s="537"/>
      <c r="AAH11" s="537"/>
      <c r="AAI11" s="537"/>
      <c r="AAJ11" s="537"/>
      <c r="AAK11" s="537"/>
      <c r="AAL11" s="537"/>
      <c r="AAM11" s="537"/>
      <c r="AAN11" s="537"/>
      <c r="AAO11" s="537"/>
      <c r="AAP11" s="537"/>
      <c r="AAQ11" s="537"/>
      <c r="AAR11" s="537"/>
      <c r="AAS11" s="537"/>
      <c r="AAT11" s="537"/>
      <c r="AAU11" s="537"/>
      <c r="AAV11" s="537"/>
      <c r="AAW11" s="537"/>
      <c r="AAX11" s="537"/>
      <c r="AAY11" s="537"/>
      <c r="AAZ11" s="537"/>
      <c r="ABA11" s="537"/>
      <c r="ABB11" s="537"/>
      <c r="ABC11" s="537"/>
      <c r="ABD11" s="537"/>
      <c r="ABE11" s="537"/>
      <c r="ABF11" s="537"/>
      <c r="ABG11" s="537"/>
      <c r="ABH11" s="537"/>
      <c r="ABI11" s="537"/>
      <c r="ABJ11" s="537"/>
      <c r="ABK11" s="537"/>
      <c r="ABL11" s="537"/>
      <c r="ABM11" s="537"/>
      <c r="ABN11" s="537"/>
      <c r="ABO11" s="537"/>
      <c r="ABP11" s="537"/>
      <c r="ABQ11" s="537"/>
      <c r="ABR11" s="537"/>
      <c r="ABS11" s="537"/>
      <c r="ABT11" s="537"/>
      <c r="ABU11" s="537"/>
      <c r="ABV11" s="537"/>
      <c r="ABW11" s="537"/>
      <c r="ABX11" s="537"/>
      <c r="ABY11" s="537"/>
      <c r="ABZ11" s="537"/>
      <c r="ACA11" s="537"/>
      <c r="ACB11" s="537"/>
      <c r="ACC11" s="537"/>
      <c r="ACD11" s="537"/>
      <c r="ACE11" s="537"/>
      <c r="ACF11" s="537"/>
      <c r="ACG11" s="537"/>
      <c r="ACH11" s="537"/>
      <c r="ACI11" s="537"/>
      <c r="ACJ11" s="537"/>
      <c r="ACK11" s="537"/>
      <c r="ACL11" s="537"/>
      <c r="ACM11" s="537"/>
      <c r="ACN11" s="537"/>
      <c r="ACO11" s="537"/>
      <c r="ACP11" s="537"/>
      <c r="ACQ11" s="537"/>
      <c r="ACR11" s="537"/>
      <c r="ACS11" s="537"/>
      <c r="ACT11" s="537"/>
      <c r="ACU11" s="537"/>
      <c r="ACV11" s="537"/>
      <c r="ACW11" s="537"/>
      <c r="ACX11" s="537"/>
      <c r="ACY11" s="537"/>
      <c r="ACZ11" s="537"/>
      <c r="ADA11" s="537"/>
      <c r="ADB11" s="537"/>
      <c r="ADC11" s="537"/>
      <c r="ADD11" s="537"/>
      <c r="ADE11" s="537"/>
      <c r="ADF11" s="537"/>
      <c r="ADG11" s="537"/>
      <c r="ADH11" s="537"/>
      <c r="ADI11" s="537"/>
      <c r="ADJ11" s="537"/>
      <c r="ADK11" s="537"/>
      <c r="ADL11" s="537"/>
      <c r="ADM11" s="537"/>
      <c r="ADN11" s="537"/>
      <c r="ADO11" s="537"/>
      <c r="ADP11" s="537"/>
      <c r="ADQ11" s="537"/>
      <c r="ADR11" s="537"/>
      <c r="ADS11" s="537"/>
      <c r="ADT11" s="537"/>
      <c r="ADU11" s="537"/>
      <c r="ADV11" s="537"/>
      <c r="ADW11" s="537"/>
      <c r="ADX11" s="537"/>
      <c r="ADY11" s="537"/>
      <c r="ADZ11" s="537"/>
      <c r="AEA11" s="537"/>
      <c r="AEB11" s="537"/>
      <c r="AEC11" s="537"/>
      <c r="AED11" s="537"/>
      <c r="AEE11" s="537"/>
      <c r="AEF11" s="537"/>
      <c r="AEG11" s="537"/>
      <c r="AEH11" s="537"/>
      <c r="AEI11" s="537"/>
      <c r="AEJ11" s="537"/>
      <c r="AEK11" s="537"/>
      <c r="AEL11" s="537"/>
      <c r="AEM11" s="537"/>
      <c r="AEN11" s="537"/>
      <c r="AEO11" s="537"/>
      <c r="AEP11" s="537"/>
      <c r="AEQ11" s="537"/>
      <c r="AER11" s="537"/>
      <c r="AES11" s="537"/>
      <c r="AET11" s="537"/>
      <c r="AEU11" s="537"/>
      <c r="AEV11" s="537"/>
      <c r="AEW11" s="537"/>
      <c r="AEX11" s="537"/>
      <c r="AEY11" s="537"/>
      <c r="AEZ11" s="537"/>
      <c r="AFA11" s="537"/>
      <c r="AFB11" s="537"/>
      <c r="AFC11" s="537"/>
      <c r="AFD11" s="537"/>
      <c r="AFE11" s="537"/>
      <c r="AFF11" s="537"/>
      <c r="AFG11" s="537"/>
      <c r="AFH11" s="537"/>
      <c r="AFI11" s="537"/>
      <c r="AFJ11" s="537"/>
      <c r="AFK11" s="537"/>
      <c r="AFL11" s="537"/>
      <c r="AFM11" s="537"/>
      <c r="AFN11" s="537"/>
      <c r="AFO11" s="537"/>
      <c r="AFP11" s="537"/>
      <c r="AFQ11" s="537"/>
      <c r="AFR11" s="537"/>
      <c r="AFS11" s="537"/>
      <c r="AFT11" s="537"/>
      <c r="AFU11" s="537"/>
      <c r="AFV11" s="537"/>
      <c r="AFW11" s="537"/>
      <c r="AFX11" s="537"/>
      <c r="AFY11" s="537"/>
      <c r="AFZ11" s="537"/>
      <c r="AGA11" s="537"/>
      <c r="AGB11" s="537"/>
      <c r="AGC11" s="537"/>
      <c r="AGD11" s="537"/>
      <c r="AGE11" s="537"/>
      <c r="AGF11" s="537"/>
      <c r="AGG11" s="537"/>
      <c r="AGH11" s="537"/>
      <c r="AGI11" s="537"/>
      <c r="AGJ11" s="537"/>
      <c r="AGK11" s="537"/>
      <c r="AGL11" s="537"/>
      <c r="AGM11" s="537"/>
      <c r="AGN11" s="537"/>
      <c r="AGO11" s="537"/>
      <c r="AGP11" s="537"/>
      <c r="AGQ11" s="537"/>
      <c r="AGR11" s="537"/>
      <c r="AGS11" s="537"/>
      <c r="AGT11" s="537"/>
      <c r="AGU11" s="537"/>
      <c r="AGV11" s="537"/>
      <c r="AGW11" s="537"/>
      <c r="AGX11" s="537"/>
      <c r="AGY11" s="537"/>
      <c r="AGZ11" s="537"/>
      <c r="AHA11" s="537"/>
      <c r="AHB11" s="537"/>
      <c r="AHC11" s="537"/>
      <c r="AHD11" s="537"/>
      <c r="AHE11" s="537"/>
      <c r="AHF11" s="537"/>
      <c r="AHG11" s="537"/>
      <c r="AHH11" s="537"/>
      <c r="AHI11" s="537"/>
      <c r="AHJ11" s="537"/>
      <c r="AHK11" s="537"/>
      <c r="AHL11" s="537"/>
      <c r="AHM11" s="537"/>
      <c r="AHN11" s="537"/>
      <c r="AHO11" s="537"/>
      <c r="AHP11" s="537"/>
      <c r="AHQ11" s="537"/>
      <c r="AHR11" s="537"/>
      <c r="AHS11" s="537"/>
      <c r="AHT11" s="537"/>
      <c r="AHU11" s="537"/>
      <c r="AHV11" s="537"/>
      <c r="AHW11" s="537"/>
      <c r="AHX11" s="537"/>
      <c r="AHY11" s="537"/>
      <c r="AHZ11" s="537"/>
      <c r="AIA11" s="537"/>
      <c r="AIB11" s="537"/>
      <c r="AIC11" s="537"/>
      <c r="AID11" s="537"/>
      <c r="AIE11" s="537"/>
      <c r="AIF11" s="537"/>
      <c r="AIG11" s="537"/>
      <c r="AIH11" s="537"/>
      <c r="AII11" s="537"/>
      <c r="AIJ11" s="537"/>
      <c r="AIK11" s="537"/>
      <c r="AIL11" s="537"/>
      <c r="AIM11" s="537"/>
      <c r="AIN11" s="537"/>
      <c r="AIO11" s="537"/>
      <c r="AIP11" s="537"/>
      <c r="AIQ11" s="537"/>
      <c r="AIR11" s="537"/>
      <c r="AIS11" s="537"/>
      <c r="AIT11" s="537"/>
      <c r="AIU11" s="537"/>
      <c r="AIV11" s="537"/>
      <c r="AIW11" s="537"/>
      <c r="AIX11" s="537"/>
      <c r="AIY11" s="537"/>
      <c r="AIZ11" s="537"/>
      <c r="AJA11" s="537"/>
      <c r="AJB11" s="537"/>
      <c r="AJC11" s="537"/>
      <c r="AJD11" s="537"/>
      <c r="AJE11" s="537"/>
      <c r="AJF11" s="537"/>
      <c r="AJG11" s="537"/>
      <c r="AJH11" s="537"/>
      <c r="AJI11" s="537"/>
      <c r="AJJ11" s="537"/>
      <c r="AJK11" s="537"/>
      <c r="AJL11" s="537"/>
      <c r="AJM11" s="537"/>
      <c r="AJN11" s="537"/>
      <c r="AJO11" s="537"/>
      <c r="AJP11" s="537"/>
      <c r="AJQ11" s="537"/>
      <c r="AJR11" s="537"/>
      <c r="AJS11" s="537"/>
      <c r="AJT11" s="537"/>
      <c r="AJU11" s="537"/>
      <c r="AJV11" s="537"/>
      <c r="AJW11" s="537"/>
      <c r="AJX11" s="537"/>
      <c r="AJY11" s="537"/>
      <c r="AJZ11" s="537"/>
      <c r="AKA11" s="537"/>
      <c r="AKB11" s="537"/>
      <c r="AKC11" s="537"/>
      <c r="AKD11" s="537"/>
      <c r="AKE11" s="537"/>
      <c r="AKF11" s="537"/>
      <c r="AKG11" s="537"/>
      <c r="AKH11" s="537"/>
      <c r="AKI11" s="537"/>
      <c r="AKJ11" s="537"/>
      <c r="AKK11" s="537"/>
      <c r="AKL11" s="537"/>
      <c r="AKM11" s="537"/>
      <c r="AKN11" s="537"/>
      <c r="AKO11" s="537"/>
      <c r="AKP11" s="537"/>
      <c r="AKQ11" s="537"/>
      <c r="AKR11" s="537"/>
      <c r="AKS11" s="537"/>
      <c r="AKT11" s="537"/>
      <c r="AKU11" s="537"/>
      <c r="AKV11" s="537"/>
      <c r="AKW11" s="537"/>
      <c r="AKX11" s="537"/>
      <c r="AKY11" s="537"/>
      <c r="AKZ11" s="537"/>
      <c r="ALA11" s="537"/>
      <c r="ALB11" s="537"/>
      <c r="ALC11" s="537"/>
      <c r="ALD11" s="537"/>
      <c r="ALE11" s="537"/>
      <c r="ALF11" s="537"/>
      <c r="ALG11" s="537"/>
      <c r="ALH11" s="537"/>
      <c r="ALI11" s="537"/>
      <c r="ALJ11" s="537"/>
      <c r="ALK11" s="537"/>
      <c r="ALL11" s="537"/>
      <c r="ALM11" s="537"/>
      <c r="ALN11" s="537"/>
      <c r="ALO11" s="537"/>
      <c r="ALP11" s="537"/>
      <c r="ALQ11" s="537"/>
      <c r="ALR11" s="537"/>
      <c r="ALS11" s="537"/>
      <c r="ALT11" s="537"/>
      <c r="ALU11" s="537"/>
      <c r="ALV11" s="537"/>
      <c r="ALW11" s="537"/>
      <c r="ALX11" s="537"/>
      <c r="ALY11" s="537"/>
      <c r="ALZ11" s="537"/>
      <c r="AMA11" s="537"/>
      <c r="AMB11" s="537"/>
      <c r="AMC11" s="537"/>
      <c r="AMD11" s="537"/>
      <c r="AME11" s="537"/>
      <c r="AMF11" s="537"/>
      <c r="AMG11" s="537"/>
      <c r="AMH11" s="537"/>
      <c r="AMI11" s="537"/>
      <c r="AMJ11" s="537"/>
      <c r="AMK11" s="537"/>
      <c r="AML11" s="537"/>
      <c r="AMM11" s="537"/>
      <c r="AMN11" s="537"/>
      <c r="AMO11" s="537"/>
      <c r="AMP11" s="537"/>
      <c r="AMQ11" s="537"/>
      <c r="AMR11" s="537"/>
      <c r="AMS11" s="537"/>
      <c r="AMT11" s="537"/>
      <c r="AMU11" s="537"/>
      <c r="AMV11" s="537"/>
      <c r="AMW11" s="537"/>
      <c r="AMX11" s="537"/>
      <c r="AMY11" s="537"/>
      <c r="AMZ11" s="537"/>
      <c r="ANA11" s="537"/>
      <c r="ANB11" s="537"/>
      <c r="ANC11" s="537"/>
      <c r="AND11" s="537"/>
      <c r="ANE11" s="537"/>
      <c r="ANF11" s="537"/>
      <c r="ANG11" s="537"/>
      <c r="ANH11" s="537"/>
      <c r="ANI11" s="537"/>
      <c r="ANJ11" s="537"/>
      <c r="ANK11" s="537"/>
      <c r="ANL11" s="537"/>
      <c r="ANM11" s="537"/>
      <c r="ANN11" s="537"/>
      <c r="ANO11" s="537"/>
      <c r="ANP11" s="537"/>
      <c r="ANQ11" s="537"/>
      <c r="ANR11" s="537"/>
      <c r="ANS11" s="537"/>
      <c r="ANT11" s="537"/>
      <c r="ANU11" s="537"/>
      <c r="ANV11" s="537"/>
      <c r="ANW11" s="537"/>
      <c r="ANX11" s="537"/>
      <c r="ANY11" s="537"/>
      <c r="ANZ11" s="537"/>
      <c r="AOA11" s="537"/>
      <c r="AOB11" s="537"/>
      <c r="AOC11" s="537"/>
      <c r="AOD11" s="537"/>
      <c r="AOE11" s="537"/>
      <c r="AOF11" s="537"/>
      <c r="AOG11" s="537"/>
      <c r="AOH11" s="537"/>
      <c r="AOI11" s="537"/>
      <c r="AOJ11" s="537"/>
      <c r="AOK11" s="537"/>
      <c r="AOL11" s="537"/>
      <c r="AOM11" s="537"/>
      <c r="AON11" s="537"/>
      <c r="AOO11" s="537"/>
      <c r="AOP11" s="537"/>
      <c r="AOQ11" s="537"/>
      <c r="AOR11" s="537"/>
      <c r="AOS11" s="537"/>
      <c r="AOT11" s="537"/>
      <c r="AOU11" s="537"/>
      <c r="AOV11" s="537"/>
      <c r="AOW11" s="537"/>
      <c r="AOX11" s="537"/>
      <c r="AOY11" s="537"/>
      <c r="AOZ11" s="537"/>
      <c r="APA11" s="537"/>
      <c r="APB11" s="537"/>
      <c r="APC11" s="537"/>
      <c r="APD11" s="537"/>
      <c r="APE11" s="537"/>
      <c r="APF11" s="537"/>
      <c r="APG11" s="537"/>
      <c r="APH11" s="537"/>
      <c r="API11" s="537"/>
      <c r="APJ11" s="537"/>
      <c r="APK11" s="537"/>
      <c r="APL11" s="537"/>
      <c r="APM11" s="537"/>
      <c r="APN11" s="537"/>
      <c r="APO11" s="537"/>
      <c r="APP11" s="537"/>
      <c r="APQ11" s="537"/>
      <c r="APR11" s="537"/>
      <c r="APS11" s="537"/>
      <c r="APT11" s="537"/>
      <c r="APU11" s="537"/>
      <c r="APV11" s="537"/>
      <c r="APW11" s="537"/>
      <c r="APX11" s="537"/>
      <c r="APY11" s="537"/>
      <c r="APZ11" s="537"/>
      <c r="AQA11" s="537"/>
      <c r="AQB11" s="537"/>
      <c r="AQC11" s="537"/>
      <c r="AQD11" s="537"/>
      <c r="AQE11" s="537"/>
      <c r="AQF11" s="537"/>
      <c r="AQG11" s="537"/>
      <c r="AQH11" s="537"/>
      <c r="AQI11" s="537"/>
      <c r="AQJ11" s="537"/>
      <c r="AQK11" s="537"/>
      <c r="AQL11" s="537"/>
      <c r="AQM11" s="537"/>
      <c r="AQN11" s="537"/>
      <c r="AQO11" s="537"/>
      <c r="AQP11" s="537"/>
      <c r="AQQ11" s="537"/>
      <c r="AQR11" s="537"/>
      <c r="AQS11" s="537"/>
      <c r="AQT11" s="537"/>
      <c r="AQU11" s="537"/>
      <c r="AQV11" s="537"/>
      <c r="AQW11" s="537"/>
      <c r="AQX11" s="537"/>
      <c r="AQY11" s="537"/>
      <c r="AQZ11" s="537"/>
      <c r="ARA11" s="537"/>
      <c r="ARB11" s="537"/>
      <c r="ARC11" s="537"/>
      <c r="ARD11" s="537"/>
      <c r="ARE11" s="537"/>
      <c r="ARF11" s="537"/>
      <c r="ARG11" s="537"/>
      <c r="ARH11" s="537"/>
      <c r="ARI11" s="537"/>
      <c r="ARJ11" s="537"/>
      <c r="ARK11" s="537"/>
      <c r="ARL11" s="537"/>
      <c r="ARM11" s="537"/>
      <c r="ARN11" s="537"/>
      <c r="ARO11" s="537"/>
      <c r="ARP11" s="537"/>
      <c r="ARQ11" s="537"/>
      <c r="ARR11" s="537"/>
      <c r="ARS11" s="537"/>
      <c r="ART11" s="537"/>
      <c r="ARU11" s="537"/>
      <c r="ARV11" s="537"/>
      <c r="ARW11" s="537"/>
      <c r="ARX11" s="537"/>
      <c r="ARY11" s="537"/>
      <c r="ARZ11" s="537"/>
      <c r="ASA11" s="537"/>
      <c r="ASB11" s="537"/>
      <c r="ASC11" s="537"/>
      <c r="ASD11" s="537"/>
      <c r="ASE11" s="537"/>
      <c r="ASF11" s="537"/>
      <c r="ASG11" s="537"/>
      <c r="ASH11" s="537"/>
      <c r="ASI11" s="537"/>
      <c r="ASJ11" s="537"/>
      <c r="ASK11" s="537"/>
      <c r="ASL11" s="537"/>
      <c r="ASM11" s="537"/>
      <c r="ASN11" s="537"/>
      <c r="ASO11" s="537"/>
      <c r="ASP11" s="537"/>
      <c r="ASQ11" s="537"/>
      <c r="ASR11" s="537"/>
      <c r="ASS11" s="537"/>
      <c r="AST11" s="537"/>
      <c r="ASU11" s="537"/>
      <c r="ASV11" s="537"/>
      <c r="ASW11" s="537"/>
      <c r="ASX11" s="537"/>
      <c r="ASY11" s="537"/>
      <c r="ASZ11" s="537"/>
      <c r="ATA11" s="537"/>
      <c r="ATB11" s="537"/>
      <c r="ATC11" s="537"/>
      <c r="ATD11" s="537"/>
      <c r="ATE11" s="537"/>
      <c r="ATF11" s="537"/>
      <c r="ATG11" s="537"/>
      <c r="ATH11" s="537"/>
      <c r="ATI11" s="537"/>
      <c r="ATJ11" s="537"/>
      <c r="ATK11" s="537"/>
      <c r="ATL11" s="537"/>
      <c r="ATM11" s="537"/>
      <c r="ATN11" s="537"/>
      <c r="ATO11" s="537"/>
      <c r="ATP11" s="537"/>
      <c r="ATQ11" s="537"/>
      <c r="ATR11" s="537"/>
      <c r="ATS11" s="537"/>
      <c r="ATT11" s="537"/>
      <c r="ATU11" s="537"/>
      <c r="ATV11" s="537"/>
      <c r="ATW11" s="537"/>
      <c r="ATX11" s="537"/>
      <c r="ATY11" s="537"/>
      <c r="ATZ11" s="537"/>
      <c r="AUA11" s="537"/>
      <c r="AUB11" s="537"/>
      <c r="AUC11" s="537"/>
      <c r="AUD11" s="537"/>
      <c r="AUE11" s="537"/>
      <c r="AUF11" s="537"/>
      <c r="AUG11" s="537"/>
      <c r="AUH11" s="537"/>
      <c r="AUI11" s="537"/>
      <c r="AUJ11" s="537"/>
      <c r="AUK11" s="537"/>
      <c r="AUL11" s="537"/>
      <c r="AUM11" s="537"/>
      <c r="AUN11" s="537"/>
      <c r="AUO11" s="537"/>
      <c r="AUP11" s="537"/>
      <c r="AUQ11" s="537"/>
      <c r="AUR11" s="537"/>
      <c r="AUS11" s="537"/>
      <c r="AUT11" s="537"/>
      <c r="AUU11" s="537"/>
      <c r="AUV11" s="537"/>
      <c r="AUW11" s="537"/>
      <c r="AUX11" s="537"/>
      <c r="AUY11" s="537"/>
      <c r="AUZ11" s="537"/>
      <c r="AVA11" s="537"/>
      <c r="AVB11" s="537"/>
      <c r="AVC11" s="537"/>
      <c r="AVD11" s="537"/>
      <c r="AVE11" s="537"/>
      <c r="AVF11" s="537"/>
      <c r="AVG11" s="537"/>
      <c r="AVH11" s="537"/>
      <c r="AVI11" s="537"/>
      <c r="AVJ11" s="537"/>
      <c r="AVK11" s="537"/>
      <c r="AVL11" s="537"/>
      <c r="AVM11" s="537"/>
      <c r="AVN11" s="537"/>
      <c r="AVO11" s="537"/>
      <c r="AVP11" s="537"/>
      <c r="AVQ11" s="537"/>
      <c r="AVR11" s="537"/>
      <c r="AVS11" s="537"/>
      <c r="AVT11" s="537"/>
      <c r="AVU11" s="537"/>
      <c r="AVV11" s="537"/>
      <c r="AVW11" s="537"/>
      <c r="AVX11" s="537"/>
      <c r="AVY11" s="537"/>
      <c r="AVZ11" s="537"/>
      <c r="AWA11" s="537"/>
      <c r="AWB11" s="537"/>
      <c r="AWC11" s="537"/>
      <c r="AWD11" s="537"/>
      <c r="AWE11" s="537"/>
      <c r="AWF11" s="537"/>
      <c r="AWG11" s="537"/>
      <c r="AWH11" s="537"/>
      <c r="AWI11" s="537"/>
      <c r="AWJ11" s="537"/>
      <c r="AWK11" s="537"/>
      <c r="AWL11" s="537"/>
      <c r="AWM11" s="537"/>
      <c r="AWN11" s="537"/>
      <c r="AWO11" s="537"/>
      <c r="AWP11" s="537"/>
      <c r="AWQ11" s="537"/>
      <c r="AWR11" s="537"/>
      <c r="AWS11" s="537"/>
      <c r="AWT11" s="537"/>
      <c r="AWU11" s="537"/>
      <c r="AWV11" s="537"/>
      <c r="AWW11" s="537"/>
      <c r="AWX11" s="537"/>
      <c r="AWY11" s="537"/>
      <c r="AWZ11" s="537"/>
      <c r="AXA11" s="537"/>
      <c r="AXB11" s="537"/>
      <c r="AXC11" s="537"/>
      <c r="AXD11" s="537"/>
      <c r="AXE11" s="537"/>
      <c r="AXF11" s="537"/>
      <c r="AXG11" s="537"/>
      <c r="AXH11" s="537"/>
      <c r="AXI11" s="537"/>
      <c r="AXJ11" s="537"/>
      <c r="AXK11" s="537"/>
      <c r="AXL11" s="537"/>
      <c r="AXM11" s="537"/>
      <c r="AXN11" s="537"/>
      <c r="AXO11" s="537"/>
      <c r="AXP11" s="537"/>
      <c r="AXQ11" s="537"/>
      <c r="AXR11" s="537"/>
      <c r="AXS11" s="537"/>
      <c r="AXT11" s="537"/>
      <c r="AXU11" s="537"/>
      <c r="AXV11" s="537"/>
      <c r="AXW11" s="537"/>
      <c r="AXX11" s="537"/>
      <c r="AXY11" s="537"/>
      <c r="AXZ11" s="537"/>
      <c r="AYA11" s="537"/>
      <c r="AYB11" s="537"/>
      <c r="AYC11" s="537"/>
      <c r="AYD11" s="537"/>
      <c r="AYE11" s="537"/>
      <c r="AYF11" s="537"/>
      <c r="AYG11" s="537"/>
      <c r="AYH11" s="537"/>
      <c r="AYI11" s="537"/>
      <c r="AYJ11" s="537"/>
      <c r="AYK11" s="537"/>
      <c r="AYL11" s="537"/>
      <c r="AYM11" s="537"/>
      <c r="AYN11" s="537"/>
      <c r="AYO11" s="537"/>
      <c r="AYP11" s="537"/>
      <c r="AYQ11" s="537"/>
      <c r="AYR11" s="537"/>
      <c r="AYS11" s="537"/>
      <c r="AYT11" s="537"/>
      <c r="AYU11" s="537"/>
      <c r="AYV11" s="537"/>
      <c r="AYW11" s="537"/>
      <c r="AYX11" s="537"/>
      <c r="AYY11" s="537"/>
      <c r="AYZ11" s="537"/>
      <c r="AZA11" s="537"/>
      <c r="AZB11" s="537"/>
      <c r="AZC11" s="537"/>
      <c r="AZD11" s="537"/>
      <c r="AZE11" s="537"/>
      <c r="AZF11" s="537"/>
      <c r="AZG11" s="537"/>
      <c r="AZH11" s="537"/>
      <c r="AZI11" s="537"/>
      <c r="AZJ11" s="537"/>
      <c r="AZK11" s="537"/>
      <c r="AZL11" s="537"/>
      <c r="AZM11" s="537"/>
      <c r="AZN11" s="537"/>
      <c r="AZO11" s="537"/>
      <c r="AZP11" s="537"/>
      <c r="AZQ11" s="537"/>
      <c r="AZR11" s="537"/>
      <c r="AZS11" s="537"/>
      <c r="AZT11" s="537"/>
      <c r="AZU11" s="537"/>
      <c r="AZV11" s="537"/>
      <c r="AZW11" s="537"/>
      <c r="AZX11" s="537"/>
      <c r="AZY11" s="537"/>
      <c r="AZZ11" s="537"/>
      <c r="BAA11" s="537"/>
      <c r="BAB11" s="537"/>
      <c r="BAC11" s="537"/>
      <c r="BAD11" s="537"/>
      <c r="BAE11" s="537"/>
      <c r="BAF11" s="537"/>
      <c r="BAG11" s="537"/>
      <c r="BAH11" s="537"/>
      <c r="BAI11" s="537"/>
      <c r="BAJ11" s="537"/>
      <c r="BAK11" s="537"/>
      <c r="BAL11" s="537"/>
      <c r="BAM11" s="537"/>
      <c r="BAN11" s="537"/>
      <c r="BAO11" s="537"/>
      <c r="BAP11" s="537"/>
      <c r="BAQ11" s="537"/>
      <c r="BAR11" s="537"/>
      <c r="BAS11" s="537"/>
      <c r="BAT11" s="537"/>
      <c r="BAU11" s="537"/>
      <c r="BAV11" s="537"/>
      <c r="BAW11" s="537"/>
      <c r="BAX11" s="537"/>
      <c r="BAY11" s="537"/>
      <c r="BAZ11" s="537"/>
      <c r="BBA11" s="537"/>
      <c r="BBB11" s="537"/>
      <c r="BBC11" s="537"/>
      <c r="BBD11" s="537"/>
      <c r="BBE11" s="537"/>
      <c r="BBF11" s="537"/>
      <c r="BBG11" s="537"/>
      <c r="BBH11" s="537"/>
      <c r="BBI11" s="537"/>
      <c r="BBJ11" s="537"/>
      <c r="BBK11" s="537"/>
      <c r="BBL11" s="537"/>
      <c r="BBM11" s="537"/>
      <c r="BBN11" s="537"/>
      <c r="BBO11" s="537"/>
      <c r="BBP11" s="537"/>
      <c r="BBQ11" s="537"/>
      <c r="BBR11" s="537"/>
      <c r="BBS11" s="537"/>
      <c r="BBT11" s="537"/>
      <c r="BBU11" s="537"/>
      <c r="BBV11" s="537"/>
      <c r="BBW11" s="537"/>
      <c r="BBX11" s="537"/>
      <c r="BBY11" s="537"/>
      <c r="BBZ11" s="537"/>
      <c r="BCA11" s="537"/>
      <c r="BCB11" s="537"/>
      <c r="BCC11" s="537"/>
      <c r="BCD11" s="537"/>
      <c r="BCE11" s="537"/>
      <c r="BCF11" s="537"/>
      <c r="BCG11" s="537"/>
      <c r="BCH11" s="537"/>
      <c r="BCI11" s="537"/>
      <c r="BCJ11" s="537"/>
      <c r="BCK11" s="537"/>
      <c r="BCL11" s="537"/>
      <c r="BCM11" s="537"/>
      <c r="BCN11" s="537"/>
      <c r="BCO11" s="537"/>
      <c r="BCP11" s="537"/>
      <c r="BCQ11" s="537"/>
      <c r="BCR11" s="537"/>
      <c r="BCS11" s="537"/>
      <c r="BCT11" s="537"/>
      <c r="BCU11" s="537"/>
      <c r="BCV11" s="537"/>
      <c r="BCW11" s="537"/>
      <c r="BCX11" s="537"/>
      <c r="BCY11" s="537"/>
      <c r="BCZ11" s="537"/>
      <c r="BDA11" s="537"/>
      <c r="BDB11" s="537"/>
      <c r="BDC11" s="537"/>
      <c r="BDD11" s="537"/>
      <c r="BDE11" s="537"/>
      <c r="BDF11" s="537"/>
      <c r="BDG11" s="537"/>
      <c r="BDH11" s="537"/>
      <c r="BDI11" s="537"/>
      <c r="BDJ11" s="537"/>
      <c r="BDK11" s="537"/>
      <c r="BDL11" s="537"/>
      <c r="BDM11" s="537"/>
      <c r="BDN11" s="537"/>
      <c r="BDO11" s="537"/>
      <c r="BDP11" s="537"/>
      <c r="BDQ11" s="537"/>
      <c r="BDR11" s="537"/>
      <c r="BDS11" s="537"/>
      <c r="BDT11" s="537"/>
      <c r="BDU11" s="537"/>
      <c r="BDV11" s="537"/>
      <c r="BDW11" s="537"/>
      <c r="BDX11" s="537"/>
      <c r="BDY11" s="537"/>
      <c r="BDZ11" s="537"/>
      <c r="BEA11" s="537"/>
      <c r="BEB11" s="537"/>
      <c r="BEC11" s="537"/>
      <c r="BED11" s="537"/>
      <c r="BEE11" s="537"/>
      <c r="BEF11" s="537"/>
      <c r="BEG11" s="537"/>
      <c r="BEH11" s="537"/>
      <c r="BEI11" s="537"/>
      <c r="BEJ11" s="537"/>
      <c r="BEK11" s="537"/>
      <c r="BEL11" s="537"/>
      <c r="BEM11" s="537"/>
      <c r="BEN11" s="537"/>
      <c r="BEO11" s="537"/>
      <c r="BEP11" s="537"/>
      <c r="BEQ11" s="537"/>
      <c r="BER11" s="537"/>
      <c r="BES11" s="537"/>
      <c r="BET11" s="537"/>
      <c r="BEU11" s="537"/>
      <c r="BEV11" s="537"/>
      <c r="BEW11" s="537"/>
      <c r="BEX11" s="537"/>
      <c r="BEY11" s="537"/>
      <c r="BEZ11" s="537"/>
      <c r="BFA11" s="537"/>
      <c r="BFB11" s="537"/>
      <c r="BFC11" s="537"/>
      <c r="BFD11" s="537"/>
      <c r="BFE11" s="537"/>
      <c r="BFF11" s="537"/>
      <c r="BFG11" s="537"/>
      <c r="BFH11" s="537"/>
      <c r="BFI11" s="537"/>
      <c r="BFJ11" s="537"/>
      <c r="BFK11" s="537"/>
      <c r="BFL11" s="537"/>
      <c r="BFM11" s="537"/>
      <c r="BFN11" s="537"/>
      <c r="BFO11" s="537"/>
      <c r="BFP11" s="537"/>
      <c r="BFQ11" s="537"/>
      <c r="BFR11" s="537"/>
      <c r="BFS11" s="537"/>
      <c r="BFT11" s="537"/>
      <c r="BFU11" s="537"/>
      <c r="BFV11" s="537"/>
      <c r="BFW11" s="537"/>
      <c r="BFX11" s="537"/>
      <c r="BFY11" s="537"/>
      <c r="BFZ11" s="537"/>
      <c r="BGA11" s="537"/>
      <c r="BGB11" s="537"/>
      <c r="BGC11" s="537"/>
      <c r="BGD11" s="537"/>
      <c r="BGE11" s="537"/>
      <c r="BGF11" s="537"/>
      <c r="BGG11" s="537"/>
      <c r="BGH11" s="537"/>
      <c r="BGI11" s="537"/>
      <c r="BGJ11" s="537"/>
      <c r="BGK11" s="537"/>
      <c r="BGL11" s="537"/>
      <c r="BGM11" s="537"/>
      <c r="BGN11" s="537"/>
      <c r="BGO11" s="537"/>
      <c r="BGP11" s="537"/>
      <c r="BGQ11" s="537"/>
      <c r="BGR11" s="537"/>
      <c r="BGS11" s="537"/>
      <c r="BGT11" s="537"/>
      <c r="BGU11" s="537"/>
      <c r="BGV11" s="537"/>
      <c r="BGW11" s="537"/>
      <c r="BGX11" s="537"/>
      <c r="BGY11" s="537"/>
      <c r="BGZ11" s="537"/>
      <c r="BHA11" s="537"/>
      <c r="BHB11" s="537"/>
      <c r="BHC11" s="537"/>
      <c r="BHD11" s="537"/>
      <c r="BHE11" s="537"/>
      <c r="BHF11" s="537"/>
      <c r="BHG11" s="537"/>
      <c r="BHH11" s="537"/>
      <c r="BHI11" s="537"/>
      <c r="BHJ11" s="537"/>
      <c r="BHK11" s="537"/>
      <c r="BHL11" s="537"/>
      <c r="BHM11" s="537"/>
      <c r="BHN11" s="537"/>
      <c r="BHO11" s="537"/>
      <c r="BHP11" s="537"/>
      <c r="BHQ11" s="537"/>
      <c r="BHR11" s="537"/>
      <c r="BHS11" s="537"/>
      <c r="BHT11" s="537"/>
      <c r="BHU11" s="537"/>
      <c r="BHV11" s="537"/>
      <c r="BHW11" s="537"/>
      <c r="BHX11" s="537"/>
      <c r="BHY11" s="537"/>
      <c r="BHZ11" s="537"/>
      <c r="BIA11" s="537"/>
      <c r="BIB11" s="537"/>
      <c r="BIC11" s="537"/>
      <c r="BID11" s="537"/>
      <c r="BIE11" s="537"/>
      <c r="BIF11" s="537"/>
      <c r="BIG11" s="537"/>
      <c r="BIH11" s="537"/>
      <c r="BII11" s="537"/>
      <c r="BIJ11" s="537"/>
      <c r="BIK11" s="537"/>
      <c r="BIL11" s="537"/>
      <c r="BIM11" s="537"/>
      <c r="BIN11" s="537"/>
      <c r="BIO11" s="537"/>
      <c r="BIP11" s="537"/>
      <c r="BIQ11" s="537"/>
      <c r="BIR11" s="537"/>
      <c r="BIS11" s="537"/>
      <c r="BIT11" s="537"/>
      <c r="BIU11" s="537"/>
      <c r="BIV11" s="537"/>
      <c r="BIW11" s="537"/>
      <c r="BIX11" s="537"/>
      <c r="BIY11" s="537"/>
      <c r="BIZ11" s="537"/>
      <c r="BJA11" s="537"/>
      <c r="BJB11" s="537"/>
      <c r="BJC11" s="537"/>
      <c r="BJD11" s="537"/>
      <c r="BJE11" s="537"/>
      <c r="BJF11" s="537"/>
      <c r="BJG11" s="537"/>
      <c r="BJH11" s="537"/>
      <c r="BJI11" s="537"/>
      <c r="BJJ11" s="537"/>
      <c r="BJK11" s="537"/>
      <c r="BJL11" s="537"/>
      <c r="BJM11" s="537"/>
      <c r="BJN11" s="537"/>
      <c r="BJO11" s="537"/>
      <c r="BJP11" s="537"/>
      <c r="BJQ11" s="537"/>
      <c r="BJR11" s="537"/>
      <c r="BJS11" s="537"/>
      <c r="BJT11" s="537"/>
      <c r="BJU11" s="537"/>
      <c r="BJV11" s="537"/>
      <c r="BJW11" s="537"/>
      <c r="BJX11" s="537"/>
      <c r="BJY11" s="537"/>
      <c r="BJZ11" s="537"/>
      <c r="BKA11" s="537"/>
      <c r="BKB11" s="537"/>
      <c r="BKC11" s="537"/>
      <c r="BKD11" s="537"/>
      <c r="BKE11" s="537"/>
      <c r="BKF11" s="537"/>
      <c r="BKG11" s="537"/>
      <c r="BKH11" s="537"/>
      <c r="BKI11" s="537"/>
      <c r="BKJ11" s="537"/>
      <c r="BKK11" s="537"/>
      <c r="BKL11" s="537"/>
      <c r="BKM11" s="537"/>
      <c r="BKN11" s="537"/>
      <c r="BKO11" s="537"/>
      <c r="BKP11" s="537"/>
      <c r="BKQ11" s="537"/>
      <c r="BKR11" s="537"/>
      <c r="BKS11" s="537"/>
      <c r="BKT11" s="537"/>
      <c r="BKU11" s="537"/>
      <c r="BKV11" s="537"/>
      <c r="BKW11" s="537"/>
      <c r="BKX11" s="537"/>
      <c r="BKY11" s="537"/>
      <c r="BKZ11" s="537"/>
      <c r="BLA11" s="537"/>
      <c r="BLB11" s="537"/>
      <c r="BLC11" s="537"/>
      <c r="BLD11" s="537"/>
      <c r="BLE11" s="537"/>
      <c r="BLF11" s="537"/>
      <c r="BLG11" s="537"/>
      <c r="BLH11" s="537"/>
      <c r="BLI11" s="537"/>
      <c r="BLJ11" s="537"/>
      <c r="BLK11" s="537"/>
      <c r="BLL11" s="537"/>
      <c r="BLM11" s="537"/>
      <c r="BLN11" s="537"/>
      <c r="BLO11" s="537"/>
      <c r="BLP11" s="537"/>
      <c r="BLQ11" s="537"/>
      <c r="BLR11" s="537"/>
      <c r="BLS11" s="537"/>
      <c r="BLT11" s="537"/>
      <c r="BLU11" s="537"/>
      <c r="BLV11" s="537"/>
      <c r="BLW11" s="537"/>
      <c r="BLX11" s="537"/>
      <c r="BLY11" s="537"/>
      <c r="BLZ11" s="537"/>
      <c r="BMA11" s="537"/>
      <c r="BMB11" s="537"/>
      <c r="BMC11" s="537"/>
      <c r="BMD11" s="537"/>
      <c r="BME11" s="537"/>
      <c r="BMF11" s="537"/>
      <c r="BMG11" s="537"/>
      <c r="BMH11" s="537"/>
      <c r="BMI11" s="537"/>
      <c r="BMJ11" s="537"/>
      <c r="BMK11" s="537"/>
      <c r="BML11" s="537"/>
      <c r="BMM11" s="537"/>
      <c r="BMN11" s="537"/>
      <c r="BMO11" s="537"/>
      <c r="BMP11" s="537"/>
      <c r="BMQ11" s="537"/>
      <c r="BMR11" s="537"/>
      <c r="BMS11" s="537"/>
      <c r="BMT11" s="537"/>
      <c r="BMU11" s="537"/>
      <c r="BMV11" s="537"/>
      <c r="BMW11" s="537"/>
      <c r="BMX11" s="537"/>
      <c r="BMY11" s="537"/>
      <c r="BMZ11" s="537"/>
      <c r="BNA11" s="537"/>
      <c r="BNB11" s="537"/>
      <c r="BNC11" s="537"/>
      <c r="BND11" s="537"/>
      <c r="BNE11" s="537"/>
      <c r="BNF11" s="537"/>
      <c r="BNG11" s="537"/>
      <c r="BNH11" s="537"/>
      <c r="BNI11" s="537"/>
      <c r="BNJ11" s="537"/>
      <c r="BNK11" s="537"/>
      <c r="BNL11" s="537"/>
      <c r="BNM11" s="537"/>
      <c r="BNN11" s="537"/>
      <c r="BNO11" s="537"/>
      <c r="BNP11" s="537"/>
      <c r="BNQ11" s="537"/>
      <c r="BNR11" s="537"/>
      <c r="BNS11" s="537"/>
      <c r="BNT11" s="537"/>
      <c r="BNU11" s="537"/>
      <c r="BNV11" s="537"/>
      <c r="BNW11" s="537"/>
      <c r="BNX11" s="537"/>
      <c r="BNY11" s="537"/>
      <c r="BNZ11" s="537"/>
      <c r="BOA11" s="537"/>
      <c r="BOB11" s="537"/>
      <c r="BOC11" s="537"/>
      <c r="BOD11" s="537"/>
      <c r="BOE11" s="537"/>
      <c r="BOF11" s="537"/>
      <c r="BOG11" s="537"/>
      <c r="BOH11" s="537"/>
      <c r="BOI11" s="537"/>
      <c r="BOJ11" s="537"/>
      <c r="BOK11" s="537"/>
      <c r="BOL11" s="537"/>
      <c r="BOM11" s="537"/>
      <c r="BON11" s="537"/>
      <c r="BOO11" s="537"/>
      <c r="BOP11" s="537"/>
      <c r="BOQ11" s="537"/>
      <c r="BOR11" s="537"/>
      <c r="BOS11" s="537"/>
      <c r="BOT11" s="537"/>
      <c r="BOU11" s="537"/>
      <c r="BOV11" s="537"/>
      <c r="BOW11" s="537"/>
      <c r="BOX11" s="537"/>
      <c r="BOY11" s="537"/>
      <c r="BOZ11" s="537"/>
      <c r="BPA11" s="537"/>
      <c r="BPB11" s="537"/>
      <c r="BPC11" s="537"/>
      <c r="BPD11" s="537"/>
      <c r="BPE11" s="537"/>
      <c r="BPF11" s="537"/>
      <c r="BPG11" s="537"/>
      <c r="BPH11" s="537"/>
      <c r="BPI11" s="537"/>
      <c r="BPJ11" s="537"/>
      <c r="BPK11" s="537"/>
      <c r="BPL11" s="537"/>
      <c r="BPM11" s="537"/>
      <c r="BPN11" s="537"/>
      <c r="BPO11" s="537"/>
      <c r="BPP11" s="537"/>
      <c r="BPQ11" s="537"/>
      <c r="BPR11" s="537"/>
      <c r="BPS11" s="537"/>
      <c r="BPT11" s="537"/>
      <c r="BPU11" s="537"/>
      <c r="BPV11" s="537"/>
      <c r="BPW11" s="537"/>
      <c r="BPX11" s="537"/>
      <c r="BPY11" s="537"/>
      <c r="BPZ11" s="537"/>
      <c r="BQA11" s="537"/>
      <c r="BQB11" s="537"/>
      <c r="BQC11" s="537"/>
      <c r="BQD11" s="537"/>
      <c r="BQE11" s="537"/>
      <c r="BQF11" s="537"/>
      <c r="BQG11" s="537"/>
      <c r="BQH11" s="537"/>
      <c r="BQI11" s="537"/>
      <c r="BQJ11" s="537"/>
      <c r="BQK11" s="537"/>
      <c r="BQL11" s="537"/>
      <c r="BQM11" s="537"/>
      <c r="BQN11" s="537"/>
      <c r="BQO11" s="537"/>
      <c r="BQP11" s="537"/>
      <c r="BQQ11" s="537"/>
      <c r="BQR11" s="537"/>
      <c r="BQS11" s="537"/>
      <c r="BQT11" s="537"/>
      <c r="BQU11" s="537"/>
      <c r="BQV11" s="537"/>
      <c r="BQW11" s="537"/>
      <c r="BQX11" s="537"/>
      <c r="BQY11" s="537"/>
      <c r="BQZ11" s="537"/>
      <c r="BRA11" s="537"/>
      <c r="BRB11" s="537"/>
      <c r="BRC11" s="537"/>
      <c r="BRD11" s="537"/>
      <c r="BRE11" s="537"/>
      <c r="BRF11" s="537"/>
      <c r="BRG11" s="537"/>
      <c r="BRH11" s="537"/>
      <c r="BRI11" s="537"/>
      <c r="BRJ11" s="537"/>
      <c r="BRK11" s="537"/>
      <c r="BRL11" s="537"/>
      <c r="BRM11" s="537"/>
      <c r="BRN11" s="537"/>
      <c r="BRO11" s="537"/>
      <c r="BRP11" s="537"/>
      <c r="BRQ11" s="537"/>
      <c r="BRR11" s="537"/>
      <c r="BRS11" s="537"/>
      <c r="BRT11" s="537"/>
      <c r="BRU11" s="537"/>
      <c r="BRV11" s="537"/>
      <c r="BRW11" s="537"/>
      <c r="BRX11" s="537"/>
      <c r="BRY11" s="537"/>
      <c r="BRZ11" s="537"/>
      <c r="BSA11" s="537"/>
      <c r="BSB11" s="537"/>
      <c r="BSC11" s="537"/>
      <c r="BSD11" s="537"/>
      <c r="BSE11" s="537"/>
      <c r="BSF11" s="537"/>
      <c r="BSG11" s="537"/>
      <c r="BSH11" s="537"/>
      <c r="BSI11" s="537"/>
      <c r="BSJ11" s="537"/>
      <c r="BSK11" s="537"/>
      <c r="BSL11" s="537"/>
      <c r="BSM11" s="537"/>
      <c r="BSN11" s="537"/>
      <c r="BSO11" s="537"/>
      <c r="BSP11" s="537"/>
      <c r="BSQ11" s="537"/>
      <c r="BSR11" s="537"/>
      <c r="BSS11" s="537"/>
      <c r="BST11" s="537"/>
      <c r="BSU11" s="537"/>
      <c r="BSV11" s="537"/>
      <c r="BSW11" s="537"/>
      <c r="BSX11" s="537"/>
      <c r="BSY11" s="537"/>
      <c r="BSZ11" s="537"/>
      <c r="BTA11" s="537"/>
      <c r="BTB11" s="537"/>
      <c r="BTC11" s="537"/>
      <c r="BTD11" s="537"/>
      <c r="BTE11" s="537"/>
      <c r="BTF11" s="537"/>
      <c r="BTG11" s="537"/>
      <c r="BTH11" s="537"/>
      <c r="BTI11" s="537"/>
      <c r="BTJ11" s="537"/>
      <c r="BTK11" s="537"/>
      <c r="BTL11" s="537"/>
      <c r="BTM11" s="537"/>
      <c r="BTN11" s="537"/>
      <c r="BTO11" s="537"/>
      <c r="BTP11" s="537"/>
      <c r="BTQ11" s="537"/>
      <c r="BTR11" s="537"/>
      <c r="BTS11" s="537"/>
      <c r="BTT11" s="537"/>
      <c r="BTU11" s="537"/>
      <c r="BTV11" s="537"/>
      <c r="BTW11" s="537"/>
      <c r="BTX11" s="537"/>
      <c r="BTY11" s="537"/>
      <c r="BTZ11" s="537"/>
      <c r="BUA11" s="537"/>
      <c r="BUB11" s="537"/>
      <c r="BUC11" s="537"/>
      <c r="BUD11" s="537"/>
      <c r="BUE11" s="537"/>
      <c r="BUF11" s="537"/>
      <c r="BUG11" s="537"/>
      <c r="BUH11" s="537"/>
      <c r="BUI11" s="537"/>
      <c r="BUJ11" s="537"/>
      <c r="BUK11" s="537"/>
      <c r="BUL11" s="537"/>
      <c r="BUM11" s="537"/>
      <c r="BUN11" s="537"/>
      <c r="BUO11" s="537"/>
      <c r="BUP11" s="537"/>
      <c r="BUQ11" s="537"/>
      <c r="BUR11" s="537"/>
      <c r="BUS11" s="537"/>
      <c r="BUT11" s="537"/>
      <c r="BUU11" s="537"/>
      <c r="BUV11" s="537"/>
      <c r="BUW11" s="537"/>
      <c r="BUX11" s="537"/>
      <c r="BUY11" s="537"/>
      <c r="BUZ11" s="537"/>
      <c r="BVA11" s="537"/>
      <c r="BVB11" s="537"/>
      <c r="BVC11" s="537"/>
      <c r="BVD11" s="537"/>
      <c r="BVE11" s="537"/>
      <c r="BVF11" s="537"/>
      <c r="BVG11" s="537"/>
      <c r="BVH11" s="537"/>
      <c r="BVI11" s="537"/>
      <c r="BVJ11" s="537"/>
      <c r="BVK11" s="537"/>
      <c r="BVL11" s="537"/>
      <c r="BVM11" s="537"/>
      <c r="BVN11" s="537"/>
      <c r="BVO11" s="537"/>
      <c r="BVP11" s="537"/>
      <c r="BVQ11" s="537"/>
      <c r="BVR11" s="537"/>
      <c r="BVS11" s="537"/>
      <c r="BVT11" s="537"/>
      <c r="BVU11" s="537"/>
      <c r="BVV11" s="537"/>
      <c r="BVW11" s="537"/>
      <c r="BVX11" s="537"/>
      <c r="BVY11" s="537"/>
      <c r="BVZ11" s="537"/>
      <c r="BWA11" s="537"/>
      <c r="BWB11" s="537"/>
      <c r="BWC11" s="537"/>
      <c r="BWD11" s="537"/>
      <c r="BWE11" s="537"/>
      <c r="BWF11" s="537"/>
      <c r="BWG11" s="537"/>
      <c r="BWH11" s="537"/>
      <c r="BWI11" s="537"/>
      <c r="BWJ11" s="537"/>
      <c r="BWK11" s="537"/>
      <c r="BWL11" s="537"/>
      <c r="BWM11" s="537"/>
      <c r="BWN11" s="537"/>
      <c r="BWO11" s="537"/>
      <c r="BWP11" s="537"/>
      <c r="BWQ11" s="537"/>
      <c r="BWR11" s="537"/>
      <c r="BWS11" s="537"/>
      <c r="BWT11" s="537"/>
      <c r="BWU11" s="537"/>
      <c r="BWV11" s="537"/>
      <c r="BWW11" s="537"/>
      <c r="BWX11" s="537"/>
      <c r="BWY11" s="537"/>
      <c r="BWZ11" s="537"/>
      <c r="BXA11" s="537"/>
      <c r="BXB11" s="537"/>
      <c r="BXC11" s="537"/>
      <c r="BXD11" s="537"/>
      <c r="BXE11" s="537"/>
      <c r="BXF11" s="537"/>
      <c r="BXG11" s="537"/>
      <c r="BXH11" s="537"/>
      <c r="BXI11" s="537"/>
      <c r="BXJ11" s="537"/>
      <c r="BXK11" s="537"/>
      <c r="BXL11" s="537"/>
      <c r="BXM11" s="537"/>
      <c r="BXN11" s="537"/>
      <c r="BXO11" s="537"/>
      <c r="BXP11" s="537"/>
      <c r="BXQ11" s="537"/>
      <c r="BXR11" s="537"/>
      <c r="BXS11" s="537"/>
      <c r="BXT11" s="537"/>
      <c r="BXU11" s="537"/>
      <c r="BXV11" s="537"/>
      <c r="BXW11" s="537"/>
      <c r="BXX11" s="537"/>
      <c r="BXY11" s="537"/>
      <c r="BXZ11" s="537"/>
      <c r="BYA11" s="537"/>
      <c r="BYB11" s="537"/>
      <c r="BYC11" s="537"/>
      <c r="BYD11" s="537"/>
      <c r="BYE11" s="537"/>
      <c r="BYF11" s="537"/>
      <c r="BYG11" s="537"/>
      <c r="BYH11" s="537"/>
      <c r="BYI11" s="537"/>
      <c r="BYJ11" s="537"/>
      <c r="BYK11" s="537"/>
      <c r="BYL11" s="537"/>
      <c r="BYM11" s="537"/>
      <c r="BYN11" s="537"/>
      <c r="BYO11" s="537"/>
      <c r="BYP11" s="537"/>
      <c r="BYQ11" s="537"/>
      <c r="BYR11" s="537"/>
      <c r="BYS11" s="537"/>
      <c r="BYT11" s="537"/>
      <c r="BYU11" s="537"/>
      <c r="BYV11" s="537"/>
      <c r="BYW11" s="537"/>
      <c r="BYX11" s="537"/>
      <c r="BYY11" s="537"/>
      <c r="BYZ11" s="537"/>
      <c r="BZA11" s="537"/>
      <c r="BZB11" s="537"/>
      <c r="BZC11" s="537"/>
      <c r="BZD11" s="537"/>
      <c r="BZE11" s="537"/>
      <c r="BZF11" s="537"/>
      <c r="BZG11" s="537"/>
      <c r="BZH11" s="537"/>
      <c r="BZI11" s="537"/>
      <c r="BZJ11" s="537"/>
      <c r="BZK11" s="537"/>
      <c r="BZL11" s="537"/>
      <c r="BZM11" s="537"/>
      <c r="BZN11" s="537"/>
      <c r="BZO11" s="537"/>
      <c r="BZP11" s="537"/>
      <c r="BZQ11" s="537"/>
      <c r="BZR11" s="537"/>
      <c r="BZS11" s="537"/>
      <c r="BZT11" s="537"/>
      <c r="BZU11" s="537"/>
      <c r="BZV11" s="537"/>
      <c r="BZW11" s="537"/>
      <c r="BZX11" s="537"/>
      <c r="BZY11" s="537"/>
      <c r="BZZ11" s="537"/>
      <c r="CAA11" s="537"/>
      <c r="CAB11" s="537"/>
      <c r="CAC11" s="537"/>
      <c r="CAD11" s="537"/>
      <c r="CAE11" s="537"/>
      <c r="CAF11" s="537"/>
      <c r="CAG11" s="537"/>
      <c r="CAH11" s="537"/>
      <c r="CAI11" s="537"/>
      <c r="CAJ11" s="537"/>
      <c r="CAK11" s="537"/>
      <c r="CAL11" s="537"/>
      <c r="CAM11" s="537"/>
      <c r="CAN11" s="537"/>
      <c r="CAO11" s="537"/>
      <c r="CAP11" s="537"/>
      <c r="CAQ11" s="537"/>
      <c r="CAR11" s="537"/>
      <c r="CAS11" s="537"/>
      <c r="CAT11" s="537"/>
      <c r="CAU11" s="537"/>
      <c r="CAV11" s="537"/>
      <c r="CAW11" s="537"/>
      <c r="CAX11" s="537"/>
      <c r="CAY11" s="537"/>
      <c r="CAZ11" s="537"/>
      <c r="CBA11" s="537"/>
      <c r="CBB11" s="537"/>
      <c r="CBC11" s="537"/>
      <c r="CBD11" s="537"/>
      <c r="CBE11" s="537"/>
      <c r="CBF11" s="537"/>
      <c r="CBG11" s="537"/>
      <c r="CBH11" s="537"/>
      <c r="CBI11" s="537"/>
      <c r="CBJ11" s="537"/>
      <c r="CBK11" s="537"/>
      <c r="CBL11" s="537"/>
      <c r="CBM11" s="537"/>
      <c r="CBN11" s="537"/>
      <c r="CBO11" s="537"/>
      <c r="CBP11" s="537"/>
      <c r="CBQ11" s="537"/>
      <c r="CBR11" s="537"/>
      <c r="CBS11" s="537"/>
      <c r="CBT11" s="537"/>
      <c r="CBU11" s="537"/>
      <c r="CBV11" s="537"/>
      <c r="CBW11" s="537"/>
      <c r="CBX11" s="537"/>
      <c r="CBY11" s="537"/>
      <c r="CBZ11" s="537"/>
      <c r="CCA11" s="537"/>
      <c r="CCB11" s="537"/>
      <c r="CCC11" s="537"/>
      <c r="CCD11" s="537"/>
      <c r="CCE11" s="537"/>
      <c r="CCF11" s="537"/>
      <c r="CCG11" s="537"/>
      <c r="CCH11" s="537"/>
      <c r="CCI11" s="537"/>
      <c r="CCJ11" s="537"/>
      <c r="CCK11" s="537"/>
      <c r="CCL11" s="537"/>
      <c r="CCM11" s="537"/>
      <c r="CCN11" s="537"/>
      <c r="CCO11" s="537"/>
      <c r="CCP11" s="537"/>
      <c r="CCQ11" s="537"/>
      <c r="CCR11" s="537"/>
      <c r="CCS11" s="537"/>
      <c r="CCT11" s="537"/>
      <c r="CCU11" s="537"/>
      <c r="CCV11" s="537"/>
      <c r="CCW11" s="537"/>
      <c r="CCX11" s="537"/>
      <c r="CCY11" s="537"/>
      <c r="CCZ11" s="537"/>
      <c r="CDA11" s="537"/>
      <c r="CDB11" s="537"/>
      <c r="CDC11" s="537"/>
      <c r="CDD11" s="537"/>
      <c r="CDE11" s="537"/>
      <c r="CDF11" s="537"/>
      <c r="CDG11" s="537"/>
      <c r="CDH11" s="537"/>
      <c r="CDI11" s="537"/>
      <c r="CDJ11" s="537"/>
      <c r="CDK11" s="537"/>
      <c r="CDL11" s="537"/>
      <c r="CDM11" s="537"/>
      <c r="CDN11" s="537"/>
      <c r="CDO11" s="537"/>
      <c r="CDP11" s="537"/>
      <c r="CDQ11" s="537"/>
      <c r="CDR11" s="537"/>
      <c r="CDS11" s="537"/>
      <c r="CDT11" s="537"/>
      <c r="CDU11" s="537"/>
      <c r="CDV11" s="537"/>
      <c r="CDW11" s="537"/>
      <c r="CDX11" s="537"/>
      <c r="CDY11" s="537"/>
      <c r="CDZ11" s="537"/>
      <c r="CEA11" s="537"/>
      <c r="CEB11" s="537"/>
      <c r="CEC11" s="537"/>
      <c r="CED11" s="537"/>
      <c r="CEE11" s="537"/>
      <c r="CEF11" s="537"/>
      <c r="CEG11" s="537"/>
      <c r="CEH11" s="537"/>
      <c r="CEI11" s="537"/>
      <c r="CEJ11" s="537"/>
      <c r="CEK11" s="537"/>
      <c r="CEL11" s="537"/>
      <c r="CEM11" s="537"/>
      <c r="CEN11" s="537"/>
      <c r="CEO11" s="537"/>
      <c r="CEP11" s="537"/>
      <c r="CEQ11" s="537"/>
      <c r="CER11" s="537"/>
      <c r="CES11" s="537"/>
      <c r="CET11" s="537"/>
      <c r="CEU11" s="537"/>
      <c r="CEV11" s="537"/>
      <c r="CEW11" s="537"/>
      <c r="CEX11" s="537"/>
      <c r="CEY11" s="537"/>
      <c r="CEZ11" s="537"/>
      <c r="CFA11" s="537"/>
      <c r="CFB11" s="537"/>
      <c r="CFC11" s="537"/>
      <c r="CFD11" s="537"/>
      <c r="CFE11" s="537"/>
      <c r="CFF11" s="537"/>
      <c r="CFG11" s="537"/>
      <c r="CFH11" s="537"/>
      <c r="CFI11" s="537"/>
      <c r="CFJ11" s="537"/>
      <c r="CFK11" s="537"/>
      <c r="CFL11" s="537"/>
      <c r="CFM11" s="537"/>
      <c r="CFN11" s="537"/>
      <c r="CFO11" s="537"/>
      <c r="CFP11" s="537"/>
      <c r="CFQ11" s="537"/>
      <c r="CFR11" s="537"/>
      <c r="CFS11" s="537"/>
      <c r="CFT11" s="537"/>
      <c r="CFU11" s="537"/>
      <c r="CFV11" s="537"/>
      <c r="CFW11" s="537"/>
      <c r="CFX11" s="537"/>
      <c r="CFY11" s="537"/>
      <c r="CFZ11" s="537"/>
      <c r="CGA11" s="537"/>
      <c r="CGB11" s="537"/>
      <c r="CGC11" s="537"/>
      <c r="CGD11" s="537"/>
      <c r="CGE11" s="537"/>
      <c r="CGF11" s="537"/>
      <c r="CGG11" s="537"/>
      <c r="CGH11" s="537"/>
      <c r="CGI11" s="537"/>
      <c r="CGJ11" s="537"/>
      <c r="CGK11" s="537"/>
      <c r="CGL11" s="537"/>
      <c r="CGM11" s="537"/>
      <c r="CGN11" s="537"/>
      <c r="CGO11" s="537"/>
      <c r="CGP11" s="537"/>
      <c r="CGQ11" s="537"/>
      <c r="CGR11" s="537"/>
      <c r="CGS11" s="537"/>
      <c r="CGT11" s="537"/>
      <c r="CGU11" s="537"/>
      <c r="CGV11" s="537"/>
      <c r="CGW11" s="537"/>
      <c r="CGX11" s="537"/>
      <c r="CGY11" s="537"/>
      <c r="CGZ11" s="537"/>
      <c r="CHA11" s="537"/>
      <c r="CHB11" s="537"/>
      <c r="CHC11" s="537"/>
      <c r="CHD11" s="537"/>
      <c r="CHE11" s="537"/>
      <c r="CHF11" s="537"/>
      <c r="CHG11" s="537"/>
      <c r="CHH11" s="537"/>
      <c r="CHI11" s="537"/>
      <c r="CHJ11" s="537"/>
      <c r="CHK11" s="537"/>
      <c r="CHL11" s="537"/>
      <c r="CHM11" s="537"/>
      <c r="CHN11" s="537"/>
      <c r="CHO11" s="537"/>
      <c r="CHP11" s="537"/>
      <c r="CHQ11" s="537"/>
      <c r="CHR11" s="537"/>
      <c r="CHS11" s="537"/>
      <c r="CHT11" s="537"/>
      <c r="CHU11" s="537"/>
      <c r="CHV11" s="537"/>
      <c r="CHW11" s="537"/>
      <c r="CHX11" s="537"/>
      <c r="CHY11" s="537"/>
      <c r="CHZ11" s="537"/>
      <c r="CIA11" s="537"/>
      <c r="CIB11" s="537"/>
      <c r="CIC11" s="537"/>
      <c r="CID11" s="537"/>
      <c r="CIE11" s="537"/>
      <c r="CIF11" s="537"/>
      <c r="CIG11" s="537"/>
      <c r="CIH11" s="537"/>
      <c r="CII11" s="537"/>
      <c r="CIJ11" s="537"/>
      <c r="CIK11" s="537"/>
      <c r="CIL11" s="537"/>
      <c r="CIM11" s="537"/>
      <c r="CIN11" s="537"/>
      <c r="CIO11" s="537"/>
      <c r="CIP11" s="537"/>
      <c r="CIQ11" s="537"/>
      <c r="CIR11" s="537"/>
      <c r="CIS11" s="537"/>
      <c r="CIT11" s="537"/>
      <c r="CIU11" s="537"/>
      <c r="CIV11" s="537"/>
      <c r="CIW11" s="537"/>
      <c r="CIX11" s="537"/>
      <c r="CIY11" s="537"/>
      <c r="CIZ11" s="537"/>
      <c r="CJA11" s="537"/>
      <c r="CJB11" s="537"/>
      <c r="CJC11" s="537"/>
      <c r="CJD11" s="537"/>
      <c r="CJE11" s="537"/>
      <c r="CJF11" s="537"/>
      <c r="CJG11" s="537"/>
      <c r="CJH11" s="537"/>
      <c r="CJI11" s="537"/>
      <c r="CJJ11" s="537"/>
      <c r="CJK11" s="537"/>
      <c r="CJL11" s="537"/>
      <c r="CJM11" s="537"/>
      <c r="CJN11" s="537"/>
      <c r="CJO11" s="537"/>
      <c r="CJP11" s="537"/>
      <c r="CJQ11" s="537"/>
      <c r="CJR11" s="537"/>
      <c r="CJS11" s="537"/>
      <c r="CJT11" s="537"/>
      <c r="CJU11" s="537"/>
      <c r="CJV11" s="537"/>
      <c r="CJW11" s="537"/>
      <c r="CJX11" s="537"/>
      <c r="CJY11" s="537"/>
      <c r="CJZ11" s="537"/>
      <c r="CKA11" s="537"/>
      <c r="CKB11" s="537"/>
      <c r="CKC11" s="537"/>
      <c r="CKD11" s="537"/>
      <c r="CKE11" s="537"/>
      <c r="CKF11" s="537"/>
      <c r="CKG11" s="537"/>
      <c r="CKH11" s="537"/>
      <c r="CKI11" s="537"/>
      <c r="CKJ11" s="537"/>
      <c r="CKK11" s="537"/>
      <c r="CKL11" s="537"/>
      <c r="CKM11" s="537"/>
      <c r="CKN11" s="537"/>
      <c r="CKO11" s="537"/>
      <c r="CKP11" s="537"/>
      <c r="CKQ11" s="537"/>
      <c r="CKR11" s="537"/>
      <c r="CKS11" s="537"/>
      <c r="CKT11" s="537"/>
      <c r="CKU11" s="537"/>
      <c r="CKV11" s="537"/>
      <c r="CKW11" s="537"/>
      <c r="CKX11" s="537"/>
      <c r="CKY11" s="537"/>
      <c r="CKZ11" s="537"/>
      <c r="CLA11" s="537"/>
      <c r="CLB11" s="537"/>
      <c r="CLC11" s="537"/>
      <c r="CLD11" s="537"/>
      <c r="CLE11" s="537"/>
      <c r="CLF11" s="537"/>
      <c r="CLG11" s="537"/>
      <c r="CLH11" s="537"/>
      <c r="CLI11" s="537"/>
      <c r="CLJ11" s="537"/>
      <c r="CLK11" s="537"/>
      <c r="CLL11" s="537"/>
      <c r="CLM11" s="537"/>
      <c r="CLN11" s="537"/>
      <c r="CLO11" s="537"/>
      <c r="CLP11" s="537"/>
      <c r="CLQ11" s="537"/>
      <c r="CLR11" s="537"/>
      <c r="CLS11" s="537"/>
      <c r="CLT11" s="537"/>
      <c r="CLU11" s="537"/>
      <c r="CLV11" s="537"/>
      <c r="CLW11" s="537"/>
      <c r="CLX11" s="537"/>
      <c r="CLY11" s="537"/>
      <c r="CLZ11" s="537"/>
      <c r="CMA11" s="537"/>
      <c r="CMB11" s="537"/>
      <c r="CMC11" s="537"/>
      <c r="CMD11" s="537"/>
      <c r="CME11" s="537"/>
      <c r="CMF11" s="537"/>
      <c r="CMG11" s="537"/>
      <c r="CMH11" s="537"/>
      <c r="CMI11" s="537"/>
      <c r="CMJ11" s="537"/>
      <c r="CMK11" s="537"/>
      <c r="CML11" s="537"/>
      <c r="CMM11" s="537"/>
      <c r="CMN11" s="537"/>
      <c r="CMO11" s="537"/>
      <c r="CMP11" s="537"/>
      <c r="CMQ11" s="537"/>
      <c r="CMR11" s="537"/>
      <c r="CMS11" s="537"/>
      <c r="CMT11" s="537"/>
      <c r="CMU11" s="537"/>
      <c r="CMV11" s="537"/>
      <c r="CMW11" s="537"/>
      <c r="CMX11" s="537"/>
      <c r="CMY11" s="537"/>
      <c r="CMZ11" s="537"/>
      <c r="CNA11" s="537"/>
      <c r="CNB11" s="537"/>
      <c r="CNC11" s="537"/>
      <c r="CND11" s="537"/>
      <c r="CNE11" s="537"/>
      <c r="CNF11" s="537"/>
      <c r="CNG11" s="537"/>
      <c r="CNH11" s="537"/>
      <c r="CNI11" s="537"/>
      <c r="CNJ11" s="537"/>
      <c r="CNK11" s="537"/>
      <c r="CNL11" s="537"/>
      <c r="CNM11" s="537"/>
      <c r="CNN11" s="537"/>
      <c r="CNO11" s="537"/>
      <c r="CNP11" s="537"/>
      <c r="CNQ11" s="537"/>
      <c r="CNR11" s="537"/>
      <c r="CNS11" s="537"/>
      <c r="CNT11" s="537"/>
      <c r="CNU11" s="537"/>
      <c r="CNV11" s="537"/>
      <c r="CNW11" s="537"/>
      <c r="CNX11" s="537"/>
      <c r="CNY11" s="537"/>
      <c r="CNZ11" s="537"/>
      <c r="COA11" s="537"/>
      <c r="COB11" s="537"/>
      <c r="COC11" s="537"/>
      <c r="COD11" s="537"/>
      <c r="COE11" s="537"/>
      <c r="COF11" s="537"/>
      <c r="COG11" s="537"/>
      <c r="COH11" s="537"/>
      <c r="COI11" s="537"/>
      <c r="COJ11" s="537"/>
      <c r="COK11" s="537"/>
      <c r="COL11" s="537"/>
      <c r="COM11" s="537"/>
      <c r="CON11" s="537"/>
      <c r="COO11" s="537"/>
      <c r="COP11" s="537"/>
      <c r="COQ11" s="537"/>
      <c r="COR11" s="537"/>
      <c r="COS11" s="537"/>
      <c r="COT11" s="537"/>
      <c r="COU11" s="537"/>
      <c r="COV11" s="537"/>
      <c r="COW11" s="537"/>
      <c r="COX11" s="537"/>
      <c r="COY11" s="537"/>
      <c r="COZ11" s="537"/>
      <c r="CPA11" s="537"/>
      <c r="CPB11" s="537"/>
      <c r="CPC11" s="537"/>
      <c r="CPD11" s="537"/>
      <c r="CPE11" s="537"/>
      <c r="CPF11" s="537"/>
      <c r="CPG11" s="537"/>
      <c r="CPH11" s="537"/>
      <c r="CPI11" s="537"/>
      <c r="CPJ11" s="537"/>
      <c r="CPK11" s="537"/>
      <c r="CPL11" s="537"/>
      <c r="CPM11" s="537"/>
      <c r="CPN11" s="537"/>
      <c r="CPO11" s="537"/>
      <c r="CPP11" s="537"/>
      <c r="CPQ11" s="537"/>
      <c r="CPR11" s="537"/>
      <c r="CPS11" s="537"/>
      <c r="CPT11" s="537"/>
      <c r="CPU11" s="537"/>
      <c r="CPV11" s="537"/>
      <c r="CPW11" s="537"/>
      <c r="CPX11" s="537"/>
      <c r="CPY11" s="537"/>
      <c r="CPZ11" s="537"/>
      <c r="CQA11" s="537"/>
      <c r="CQB11" s="537"/>
      <c r="CQC11" s="537"/>
      <c r="CQD11" s="537"/>
      <c r="CQE11" s="537"/>
      <c r="CQF11" s="537"/>
      <c r="CQG11" s="537"/>
      <c r="CQH11" s="537"/>
      <c r="CQI11" s="537"/>
      <c r="CQJ11" s="537"/>
      <c r="CQK11" s="537"/>
      <c r="CQL11" s="537"/>
      <c r="CQM11" s="537"/>
      <c r="CQN11" s="537"/>
      <c r="CQO11" s="537"/>
      <c r="CQP11" s="537"/>
      <c r="CQQ11" s="537"/>
      <c r="CQR11" s="537"/>
      <c r="CQS11" s="537"/>
      <c r="CQT11" s="537"/>
      <c r="CQU11" s="537"/>
      <c r="CQV11" s="537"/>
      <c r="CQW11" s="537"/>
      <c r="CQX11" s="537"/>
      <c r="CQY11" s="537"/>
      <c r="CQZ11" s="537"/>
      <c r="CRA11" s="537"/>
      <c r="CRB11" s="537"/>
      <c r="CRC11" s="537"/>
      <c r="CRD11" s="537"/>
      <c r="CRE11" s="537"/>
      <c r="CRF11" s="537"/>
      <c r="CRG11" s="537"/>
      <c r="CRH11" s="537"/>
      <c r="CRI11" s="537"/>
      <c r="CRJ11" s="537"/>
      <c r="CRK11" s="537"/>
      <c r="CRL11" s="537"/>
      <c r="CRM11" s="537"/>
      <c r="CRN11" s="537"/>
      <c r="CRO11" s="537"/>
      <c r="CRP11" s="537"/>
      <c r="CRQ11" s="537"/>
      <c r="CRR11" s="537"/>
      <c r="CRS11" s="537"/>
      <c r="CRT11" s="537"/>
      <c r="CRU11" s="537"/>
      <c r="CRV11" s="537"/>
      <c r="CRW11" s="537"/>
      <c r="CRX11" s="537"/>
      <c r="CRY11" s="537"/>
      <c r="CRZ11" s="537"/>
      <c r="CSA11" s="537"/>
      <c r="CSB11" s="537"/>
      <c r="CSC11" s="537"/>
      <c r="CSD11" s="537"/>
      <c r="CSE11" s="537"/>
      <c r="CSF11" s="537"/>
      <c r="CSG11" s="537"/>
      <c r="CSH11" s="537"/>
      <c r="CSI11" s="537"/>
      <c r="CSJ11" s="537"/>
      <c r="CSK11" s="537"/>
      <c r="CSL11" s="537"/>
      <c r="CSM11" s="537"/>
      <c r="CSN11" s="537"/>
      <c r="CSO11" s="537"/>
      <c r="CSP11" s="537"/>
      <c r="CSQ11" s="537"/>
      <c r="CSR11" s="537"/>
      <c r="CSS11" s="537"/>
      <c r="CST11" s="537"/>
      <c r="CSU11" s="537"/>
      <c r="CSV11" s="537"/>
      <c r="CSW11" s="537"/>
      <c r="CSX11" s="537"/>
      <c r="CSY11" s="537"/>
      <c r="CSZ11" s="537"/>
      <c r="CTA11" s="537"/>
      <c r="CTB11" s="537"/>
      <c r="CTC11" s="537"/>
      <c r="CTD11" s="537"/>
      <c r="CTE11" s="537"/>
      <c r="CTF11" s="537"/>
      <c r="CTG11" s="537"/>
      <c r="CTH11" s="537"/>
      <c r="CTI11" s="537"/>
      <c r="CTJ11" s="537"/>
      <c r="CTK11" s="537"/>
      <c r="CTL11" s="537"/>
      <c r="CTM11" s="537"/>
      <c r="CTN11" s="537"/>
      <c r="CTO11" s="537"/>
      <c r="CTP11" s="537"/>
      <c r="CTQ11" s="537"/>
      <c r="CTR11" s="537"/>
      <c r="CTS11" s="537"/>
      <c r="CTT11" s="537"/>
      <c r="CTU11" s="537"/>
      <c r="CTV11" s="537"/>
      <c r="CTW11" s="537"/>
      <c r="CTX11" s="537"/>
      <c r="CTY11" s="537"/>
      <c r="CTZ11" s="537"/>
      <c r="CUA11" s="537"/>
      <c r="CUB11" s="537"/>
      <c r="CUC11" s="537"/>
      <c r="CUD11" s="537"/>
      <c r="CUE11" s="537"/>
      <c r="CUF11" s="537"/>
      <c r="CUG11" s="537"/>
      <c r="CUH11" s="537"/>
      <c r="CUI11" s="537"/>
      <c r="CUJ11" s="537"/>
      <c r="CUK11" s="537"/>
      <c r="CUL11" s="537"/>
      <c r="CUM11" s="537"/>
      <c r="CUN11" s="537"/>
      <c r="CUO11" s="537"/>
      <c r="CUP11" s="537"/>
      <c r="CUQ11" s="537"/>
      <c r="CUR11" s="537"/>
      <c r="CUS11" s="537"/>
      <c r="CUT11" s="537"/>
      <c r="CUU11" s="537"/>
      <c r="CUV11" s="537"/>
      <c r="CUW11" s="537"/>
      <c r="CUX11" s="537"/>
      <c r="CUY11" s="537"/>
      <c r="CUZ11" s="537"/>
      <c r="CVA11" s="537"/>
      <c r="CVB11" s="537"/>
      <c r="CVC11" s="537"/>
      <c r="CVD11" s="537"/>
      <c r="CVE11" s="537"/>
      <c r="CVF11" s="537"/>
      <c r="CVG11" s="537"/>
      <c r="CVH11" s="537"/>
      <c r="CVI11" s="537"/>
      <c r="CVJ11" s="537"/>
      <c r="CVK11" s="537"/>
      <c r="CVL11" s="537"/>
      <c r="CVM11" s="537"/>
      <c r="CVN11" s="537"/>
      <c r="CVO11" s="537"/>
      <c r="CVP11" s="537"/>
      <c r="CVQ11" s="537"/>
      <c r="CVR11" s="537"/>
      <c r="CVS11" s="537"/>
      <c r="CVT11" s="537"/>
      <c r="CVU11" s="537"/>
      <c r="CVV11" s="537"/>
      <c r="CVW11" s="537"/>
      <c r="CVX11" s="537"/>
      <c r="CVY11" s="537"/>
      <c r="CVZ11" s="537"/>
      <c r="CWA11" s="537"/>
      <c r="CWB11" s="537"/>
      <c r="CWC11" s="537"/>
      <c r="CWD11" s="537"/>
      <c r="CWE11" s="537"/>
      <c r="CWF11" s="537"/>
      <c r="CWG11" s="537"/>
      <c r="CWH11" s="537"/>
      <c r="CWI11" s="537"/>
      <c r="CWJ11" s="537"/>
      <c r="CWK11" s="537"/>
      <c r="CWL11" s="537"/>
      <c r="CWM11" s="537"/>
      <c r="CWN11" s="537"/>
      <c r="CWO11" s="537"/>
      <c r="CWP11" s="537"/>
      <c r="CWQ11" s="537"/>
      <c r="CWR11" s="537"/>
      <c r="CWS11" s="537"/>
      <c r="CWT11" s="537"/>
      <c r="CWU11" s="537"/>
      <c r="CWV11" s="537"/>
      <c r="CWW11" s="537"/>
      <c r="CWX11" s="537"/>
      <c r="CWY11" s="537"/>
      <c r="CWZ11" s="537"/>
      <c r="CXA11" s="537"/>
      <c r="CXB11" s="537"/>
      <c r="CXC11" s="537"/>
      <c r="CXD11" s="537"/>
      <c r="CXE11" s="537"/>
      <c r="CXF11" s="537"/>
      <c r="CXG11" s="537"/>
      <c r="CXH11" s="537"/>
      <c r="CXI11" s="537"/>
      <c r="CXJ11" s="537"/>
      <c r="CXK11" s="537"/>
      <c r="CXL11" s="537"/>
      <c r="CXM11" s="537"/>
      <c r="CXN11" s="537"/>
      <c r="CXO11" s="537"/>
      <c r="CXP11" s="537"/>
      <c r="CXQ11" s="537"/>
      <c r="CXR11" s="537"/>
      <c r="CXS11" s="537"/>
      <c r="CXT11" s="537"/>
      <c r="CXU11" s="537"/>
      <c r="CXV11" s="537"/>
      <c r="CXW11" s="537"/>
      <c r="CXX11" s="537"/>
      <c r="CXY11" s="537"/>
      <c r="CXZ11" s="537"/>
      <c r="CYA11" s="537"/>
      <c r="CYB11" s="537"/>
      <c r="CYC11" s="537"/>
      <c r="CYD11" s="537"/>
      <c r="CYE11" s="537"/>
      <c r="CYF11" s="537"/>
      <c r="CYG11" s="537"/>
      <c r="CYH11" s="537"/>
      <c r="CYI11" s="537"/>
      <c r="CYJ11" s="537"/>
      <c r="CYK11" s="537"/>
      <c r="CYL11" s="537"/>
      <c r="CYM11" s="537"/>
      <c r="CYN11" s="537"/>
      <c r="CYO11" s="537"/>
      <c r="CYP11" s="537"/>
      <c r="CYQ11" s="537"/>
      <c r="CYR11" s="537"/>
      <c r="CYS11" s="537"/>
      <c r="CYT11" s="537"/>
      <c r="CYU11" s="537"/>
      <c r="CYV11" s="537"/>
      <c r="CYW11" s="537"/>
      <c r="CYX11" s="537"/>
      <c r="CYY11" s="537"/>
      <c r="CYZ11" s="537"/>
      <c r="CZA11" s="537"/>
      <c r="CZB11" s="537"/>
      <c r="CZC11" s="537"/>
      <c r="CZD11" s="537"/>
      <c r="CZE11" s="537"/>
      <c r="CZF11" s="537"/>
      <c r="CZG11" s="537"/>
      <c r="CZH11" s="537"/>
      <c r="CZI11" s="537"/>
      <c r="CZJ11" s="537"/>
      <c r="CZK11" s="537"/>
      <c r="CZL11" s="537"/>
      <c r="CZM11" s="537"/>
      <c r="CZN11" s="537"/>
      <c r="CZO11" s="537"/>
      <c r="CZP11" s="537"/>
      <c r="CZQ11" s="537"/>
      <c r="CZR11" s="537"/>
      <c r="CZS11" s="537"/>
      <c r="CZT11" s="537"/>
      <c r="CZU11" s="537"/>
      <c r="CZV11" s="537"/>
      <c r="CZW11" s="537"/>
      <c r="CZX11" s="537"/>
      <c r="CZY11" s="537"/>
      <c r="CZZ11" s="537"/>
      <c r="DAA11" s="537"/>
      <c r="DAB11" s="537"/>
      <c r="DAC11" s="537"/>
      <c r="DAD11" s="537"/>
      <c r="DAE11" s="537"/>
      <c r="DAF11" s="537"/>
      <c r="DAG11" s="537"/>
      <c r="DAH11" s="537"/>
      <c r="DAI11" s="537"/>
      <c r="DAJ11" s="537"/>
      <c r="DAK11" s="537"/>
      <c r="DAL11" s="537"/>
      <c r="DAM11" s="537"/>
      <c r="DAN11" s="537"/>
      <c r="DAO11" s="537"/>
      <c r="DAP11" s="537"/>
      <c r="DAQ11" s="537"/>
      <c r="DAR11" s="537"/>
      <c r="DAS11" s="537"/>
      <c r="DAT11" s="537"/>
      <c r="DAU11" s="537"/>
      <c r="DAV11" s="537"/>
      <c r="DAW11" s="537"/>
      <c r="DAX11" s="537"/>
      <c r="DAY11" s="537"/>
      <c r="DAZ11" s="537"/>
      <c r="DBA11" s="537"/>
      <c r="DBB11" s="537"/>
      <c r="DBC11" s="537"/>
      <c r="DBD11" s="537"/>
      <c r="DBE11" s="537"/>
      <c r="DBF11" s="537"/>
      <c r="DBG11" s="537"/>
      <c r="DBH11" s="537"/>
      <c r="DBI11" s="537"/>
      <c r="DBJ11" s="537"/>
      <c r="DBK11" s="537"/>
      <c r="DBL11" s="537"/>
      <c r="DBM11" s="537"/>
      <c r="DBN11" s="537"/>
      <c r="DBO11" s="537"/>
      <c r="DBP11" s="537"/>
      <c r="DBQ11" s="537"/>
      <c r="DBR11" s="537"/>
      <c r="DBS11" s="537"/>
      <c r="DBT11" s="537"/>
      <c r="DBU11" s="537"/>
      <c r="DBV11" s="537"/>
      <c r="DBW11" s="537"/>
      <c r="DBX11" s="537"/>
      <c r="DBY11" s="537"/>
      <c r="DBZ11" s="537"/>
      <c r="DCA11" s="537"/>
      <c r="DCB11" s="537"/>
      <c r="DCC11" s="537"/>
      <c r="DCD11" s="537"/>
      <c r="DCE11" s="537"/>
      <c r="DCF11" s="537"/>
      <c r="DCG11" s="537"/>
      <c r="DCH11" s="537"/>
      <c r="DCI11" s="537"/>
      <c r="DCJ11" s="537"/>
      <c r="DCK11" s="537"/>
      <c r="DCL11" s="537"/>
      <c r="DCM11" s="537"/>
      <c r="DCN11" s="537"/>
      <c r="DCO11" s="537"/>
      <c r="DCP11" s="537"/>
      <c r="DCQ11" s="537"/>
      <c r="DCR11" s="537"/>
      <c r="DCS11" s="537"/>
      <c r="DCT11" s="537"/>
      <c r="DCU11" s="537"/>
      <c r="DCV11" s="537"/>
      <c r="DCW11" s="537"/>
      <c r="DCX11" s="537"/>
      <c r="DCY11" s="537"/>
      <c r="DCZ11" s="537"/>
      <c r="DDA11" s="537"/>
      <c r="DDB11" s="537"/>
      <c r="DDC11" s="537"/>
      <c r="DDD11" s="537"/>
      <c r="DDE11" s="537"/>
      <c r="DDF11" s="537"/>
      <c r="DDG11" s="537"/>
      <c r="DDH11" s="537"/>
      <c r="DDI11" s="537"/>
      <c r="DDJ11" s="537"/>
      <c r="DDK11" s="537"/>
      <c r="DDL11" s="537"/>
      <c r="DDM11" s="537"/>
      <c r="DDN11" s="537"/>
      <c r="DDO11" s="537"/>
      <c r="DDP11" s="537"/>
      <c r="DDQ11" s="537"/>
      <c r="DDR11" s="537"/>
      <c r="DDS11" s="537"/>
      <c r="DDT11" s="537"/>
      <c r="DDU11" s="537"/>
      <c r="DDV11" s="537"/>
      <c r="DDW11" s="537"/>
      <c r="DDX11" s="537"/>
      <c r="DDY11" s="537"/>
      <c r="DDZ11" s="537"/>
      <c r="DEA11" s="537"/>
      <c r="DEB11" s="537"/>
      <c r="DEC11" s="537"/>
      <c r="DED11" s="537"/>
      <c r="DEE11" s="537"/>
      <c r="DEF11" s="537"/>
      <c r="DEG11" s="537"/>
      <c r="DEH11" s="537"/>
      <c r="DEI11" s="537"/>
      <c r="DEJ11" s="537"/>
      <c r="DEK11" s="537"/>
      <c r="DEL11" s="537"/>
      <c r="DEM11" s="537"/>
      <c r="DEN11" s="537"/>
      <c r="DEO11" s="537"/>
      <c r="DEP11" s="537"/>
      <c r="DEQ11" s="537"/>
      <c r="DER11" s="537"/>
      <c r="DES11" s="537"/>
      <c r="DET11" s="537"/>
      <c r="DEU11" s="537"/>
      <c r="DEV11" s="537"/>
      <c r="DEW11" s="537"/>
      <c r="DEX11" s="537"/>
      <c r="DEY11" s="537"/>
      <c r="DEZ11" s="537"/>
      <c r="DFA11" s="537"/>
      <c r="DFB11" s="537"/>
      <c r="DFC11" s="537"/>
      <c r="DFD11" s="537"/>
      <c r="DFE11" s="537"/>
      <c r="DFF11" s="537"/>
      <c r="DFG11" s="537"/>
      <c r="DFH11" s="537"/>
      <c r="DFI11" s="537"/>
      <c r="DFJ11" s="537"/>
      <c r="DFK11" s="537"/>
      <c r="DFL11" s="537"/>
      <c r="DFM11" s="537"/>
      <c r="DFN11" s="537"/>
      <c r="DFO11" s="537"/>
      <c r="DFP11" s="537"/>
      <c r="DFQ11" s="537"/>
      <c r="DFR11" s="537"/>
      <c r="DFS11" s="537"/>
      <c r="DFT11" s="537"/>
      <c r="DFU11" s="537"/>
      <c r="DFV11" s="537"/>
      <c r="DFW11" s="537"/>
      <c r="DFX11" s="537"/>
      <c r="DFY11" s="537"/>
      <c r="DFZ11" s="537"/>
      <c r="DGA11" s="537"/>
      <c r="DGB11" s="537"/>
      <c r="DGC11" s="537"/>
      <c r="DGD11" s="537"/>
      <c r="DGE11" s="537"/>
      <c r="DGF11" s="537"/>
      <c r="DGG11" s="537"/>
      <c r="DGH11" s="537"/>
      <c r="DGI11" s="537"/>
      <c r="DGJ11" s="537"/>
      <c r="DGK11" s="537"/>
      <c r="DGL11" s="537"/>
      <c r="DGM11" s="537"/>
      <c r="DGN11" s="537"/>
      <c r="DGO11" s="537"/>
      <c r="DGP11" s="537"/>
      <c r="DGQ11" s="537"/>
      <c r="DGR11" s="537"/>
      <c r="DGS11" s="537"/>
      <c r="DGT11" s="537"/>
      <c r="DGU11" s="537"/>
      <c r="DGV11" s="537"/>
      <c r="DGW11" s="537"/>
      <c r="DGX11" s="537"/>
      <c r="DGY11" s="537"/>
      <c r="DGZ11" s="537"/>
      <c r="DHA11" s="537"/>
      <c r="DHB11" s="537"/>
      <c r="DHC11" s="537"/>
      <c r="DHD11" s="537"/>
      <c r="DHE11" s="537"/>
      <c r="DHF11" s="537"/>
      <c r="DHG11" s="537"/>
      <c r="DHH11" s="537"/>
      <c r="DHI11" s="537"/>
      <c r="DHJ11" s="537"/>
      <c r="DHK11" s="537"/>
      <c r="DHL11" s="537"/>
      <c r="DHM11" s="537"/>
      <c r="DHN11" s="537"/>
      <c r="DHO11" s="537"/>
      <c r="DHP11" s="537"/>
      <c r="DHQ11" s="537"/>
      <c r="DHR11" s="537"/>
      <c r="DHS11" s="537"/>
      <c r="DHT11" s="537"/>
      <c r="DHU11" s="537"/>
      <c r="DHV11" s="537"/>
      <c r="DHW11" s="537"/>
      <c r="DHX11" s="537"/>
      <c r="DHY11" s="537"/>
      <c r="DHZ11" s="537"/>
      <c r="DIA11" s="537"/>
      <c r="DIB11" s="537"/>
      <c r="DIC11" s="537"/>
      <c r="DID11" s="537"/>
      <c r="DIE11" s="537"/>
      <c r="DIF11" s="537"/>
      <c r="DIG11" s="537"/>
      <c r="DIH11" s="537"/>
      <c r="DII11" s="537"/>
      <c r="DIJ11" s="537"/>
      <c r="DIK11" s="537"/>
      <c r="DIL11" s="537"/>
      <c r="DIM11" s="537"/>
      <c r="DIN11" s="537"/>
      <c r="DIO11" s="537"/>
      <c r="DIP11" s="537"/>
      <c r="DIQ11" s="537"/>
      <c r="DIR11" s="537"/>
      <c r="DIS11" s="537"/>
      <c r="DIT11" s="537"/>
      <c r="DIU11" s="537"/>
      <c r="DIV11" s="537"/>
      <c r="DIW11" s="537"/>
      <c r="DIX11" s="537"/>
      <c r="DIY11" s="537"/>
      <c r="DIZ11" s="537"/>
      <c r="DJA11" s="537"/>
      <c r="DJB11" s="537"/>
      <c r="DJC11" s="537"/>
      <c r="DJD11" s="537"/>
      <c r="DJE11" s="537"/>
      <c r="DJF11" s="537"/>
      <c r="DJG11" s="537"/>
      <c r="DJH11" s="537"/>
      <c r="DJI11" s="537"/>
      <c r="DJJ11" s="537"/>
      <c r="DJK11" s="537"/>
      <c r="DJL11" s="537"/>
      <c r="DJM11" s="537"/>
      <c r="DJN11" s="537"/>
      <c r="DJO11" s="537"/>
      <c r="DJP11" s="537"/>
      <c r="DJQ11" s="537"/>
      <c r="DJR11" s="537"/>
      <c r="DJS11" s="537"/>
      <c r="DJT11" s="537"/>
      <c r="DJU11" s="537"/>
      <c r="DJV11" s="537"/>
      <c r="DJW11" s="537"/>
      <c r="DJX11" s="537"/>
      <c r="DJY11" s="537"/>
      <c r="DJZ11" s="537"/>
      <c r="DKA11" s="537"/>
      <c r="DKB11" s="537"/>
      <c r="DKC11" s="537"/>
      <c r="DKD11" s="537"/>
      <c r="DKE11" s="537"/>
      <c r="DKF11" s="537"/>
      <c r="DKG11" s="537"/>
      <c r="DKH11" s="537"/>
      <c r="DKI11" s="537"/>
      <c r="DKJ11" s="537"/>
      <c r="DKK11" s="537"/>
      <c r="DKL11" s="537"/>
      <c r="DKM11" s="537"/>
      <c r="DKN11" s="537"/>
      <c r="DKO11" s="537"/>
      <c r="DKP11" s="537"/>
      <c r="DKQ11" s="537"/>
      <c r="DKR11" s="537"/>
      <c r="DKS11" s="537"/>
      <c r="DKT11" s="537"/>
      <c r="DKU11" s="537"/>
      <c r="DKV11" s="537"/>
      <c r="DKW11" s="537"/>
      <c r="DKX11" s="537"/>
      <c r="DKY11" s="537"/>
      <c r="DKZ11" s="537"/>
      <c r="DLA11" s="537"/>
      <c r="DLB11" s="537"/>
      <c r="DLC11" s="537"/>
      <c r="DLD11" s="537"/>
      <c r="DLE11" s="537"/>
      <c r="DLF11" s="537"/>
      <c r="DLG11" s="537"/>
      <c r="DLH11" s="537"/>
      <c r="DLI11" s="537"/>
      <c r="DLJ11" s="537"/>
      <c r="DLK11" s="537"/>
      <c r="DLL11" s="537"/>
      <c r="DLM11" s="537"/>
      <c r="DLN11" s="537"/>
      <c r="DLO11" s="537"/>
      <c r="DLP11" s="537"/>
      <c r="DLQ11" s="537"/>
      <c r="DLR11" s="537"/>
      <c r="DLS11" s="537"/>
      <c r="DLT11" s="537"/>
      <c r="DLU11" s="537"/>
      <c r="DLV11" s="537"/>
      <c r="DLW11" s="537"/>
      <c r="DLX11" s="537"/>
      <c r="DLY11" s="537"/>
      <c r="DLZ11" s="537"/>
      <c r="DMA11" s="537"/>
      <c r="DMB11" s="537"/>
      <c r="DMC11" s="537"/>
      <c r="DMD11" s="537"/>
      <c r="DME11" s="537"/>
      <c r="DMF11" s="537"/>
      <c r="DMG11" s="537"/>
      <c r="DMH11" s="537"/>
      <c r="DMI11" s="537"/>
      <c r="DMJ11" s="537"/>
      <c r="DMK11" s="537"/>
      <c r="DML11" s="537"/>
      <c r="DMM11" s="537"/>
      <c r="DMN11" s="537"/>
      <c r="DMO11" s="537"/>
      <c r="DMP11" s="537"/>
      <c r="DMQ11" s="537"/>
      <c r="DMR11" s="537"/>
      <c r="DMS11" s="537"/>
      <c r="DMT11" s="537"/>
      <c r="DMU11" s="537"/>
      <c r="DMV11" s="537"/>
      <c r="DMW11" s="537"/>
      <c r="DMX11" s="537"/>
      <c r="DMY11" s="537"/>
      <c r="DMZ11" s="537"/>
      <c r="DNA11" s="537"/>
      <c r="DNB11" s="537"/>
      <c r="DNC11" s="537"/>
      <c r="DND11" s="537"/>
      <c r="DNE11" s="537"/>
      <c r="DNF11" s="537"/>
      <c r="DNG11" s="537"/>
      <c r="DNH11" s="537"/>
      <c r="DNI11" s="537"/>
      <c r="DNJ11" s="537"/>
      <c r="DNK11" s="537"/>
      <c r="DNL11" s="537"/>
      <c r="DNM11" s="537"/>
      <c r="DNN11" s="537"/>
      <c r="DNO11" s="537"/>
      <c r="DNP11" s="537"/>
      <c r="DNQ11" s="537"/>
      <c r="DNR11" s="537"/>
      <c r="DNS11" s="537"/>
      <c r="DNT11" s="537"/>
      <c r="DNU11" s="537"/>
      <c r="DNV11" s="537"/>
      <c r="DNW11" s="537"/>
      <c r="DNX11" s="537"/>
      <c r="DNY11" s="537"/>
      <c r="DNZ11" s="537"/>
      <c r="DOA11" s="537"/>
      <c r="DOB11" s="537"/>
      <c r="DOC11" s="537"/>
      <c r="DOD11" s="537"/>
      <c r="DOE11" s="537"/>
      <c r="DOF11" s="537"/>
      <c r="DOG11" s="537"/>
      <c r="DOH11" s="537"/>
      <c r="DOI11" s="537"/>
      <c r="DOJ11" s="537"/>
      <c r="DOK11" s="537"/>
      <c r="DOL11" s="537"/>
      <c r="DOM11" s="537"/>
      <c r="DON11" s="537"/>
      <c r="DOO11" s="537"/>
      <c r="DOP11" s="537"/>
      <c r="DOQ11" s="537"/>
      <c r="DOR11" s="537"/>
      <c r="DOS11" s="537"/>
      <c r="DOT11" s="537"/>
      <c r="DOU11" s="537"/>
      <c r="DOV11" s="537"/>
      <c r="DOW11" s="537"/>
      <c r="DOX11" s="537"/>
      <c r="DOY11" s="537"/>
      <c r="DOZ11" s="537"/>
      <c r="DPA11" s="537"/>
      <c r="DPB11" s="537"/>
      <c r="DPC11" s="537"/>
      <c r="DPD11" s="537"/>
      <c r="DPE11" s="537"/>
      <c r="DPF11" s="537"/>
      <c r="DPG11" s="537"/>
      <c r="DPH11" s="537"/>
      <c r="DPI11" s="537"/>
      <c r="DPJ11" s="537"/>
      <c r="DPK11" s="537"/>
      <c r="DPL11" s="537"/>
      <c r="DPM11" s="537"/>
      <c r="DPN11" s="537"/>
      <c r="DPO11" s="537"/>
      <c r="DPP11" s="537"/>
      <c r="DPQ11" s="537"/>
      <c r="DPR11" s="537"/>
      <c r="DPS11" s="537"/>
      <c r="DPT11" s="537"/>
      <c r="DPU11" s="537"/>
      <c r="DPV11" s="537"/>
      <c r="DPW11" s="537"/>
      <c r="DPX11" s="537"/>
      <c r="DPY11" s="537"/>
      <c r="DPZ11" s="537"/>
      <c r="DQA11" s="537"/>
      <c r="DQB11" s="537"/>
      <c r="DQC11" s="537"/>
      <c r="DQD11" s="537"/>
      <c r="DQE11" s="537"/>
      <c r="DQF11" s="537"/>
      <c r="DQG11" s="537"/>
      <c r="DQH11" s="537"/>
      <c r="DQI11" s="537"/>
      <c r="DQJ11" s="537"/>
      <c r="DQK11" s="537"/>
      <c r="DQL11" s="537"/>
      <c r="DQM11" s="537"/>
      <c r="DQN11" s="537"/>
      <c r="DQO11" s="537"/>
      <c r="DQP11" s="537"/>
      <c r="DQQ11" s="537"/>
      <c r="DQR11" s="537"/>
      <c r="DQS11" s="537"/>
      <c r="DQT11" s="537"/>
      <c r="DQU11" s="537"/>
      <c r="DQV11" s="537"/>
      <c r="DQW11" s="537"/>
      <c r="DQX11" s="537"/>
      <c r="DQY11" s="537"/>
      <c r="DQZ11" s="537"/>
      <c r="DRA11" s="537"/>
      <c r="DRB11" s="537"/>
      <c r="DRC11" s="537"/>
      <c r="DRD11" s="537"/>
      <c r="DRE11" s="537"/>
      <c r="DRF11" s="537"/>
      <c r="DRG11" s="537"/>
      <c r="DRH11" s="537"/>
      <c r="DRI11" s="537"/>
      <c r="DRJ11" s="537"/>
      <c r="DRK11" s="537"/>
      <c r="DRL11" s="537"/>
      <c r="DRM11" s="537"/>
      <c r="DRN11" s="537"/>
      <c r="DRO11" s="537"/>
      <c r="DRP11" s="537"/>
      <c r="DRQ11" s="537"/>
      <c r="DRR11" s="537"/>
      <c r="DRS11" s="537"/>
      <c r="DRT11" s="537"/>
      <c r="DRU11" s="537"/>
      <c r="DRV11" s="537"/>
      <c r="DRW11" s="537"/>
      <c r="DRX11" s="537"/>
      <c r="DRY11" s="537"/>
      <c r="DRZ11" s="537"/>
      <c r="DSA11" s="537"/>
      <c r="DSB11" s="537"/>
      <c r="DSC11" s="537"/>
      <c r="DSD11" s="537"/>
      <c r="DSE11" s="537"/>
      <c r="DSF11" s="537"/>
      <c r="DSG11" s="537"/>
      <c r="DSH11" s="537"/>
      <c r="DSI11" s="537"/>
      <c r="DSJ11" s="537"/>
      <c r="DSK11" s="537"/>
      <c r="DSL11" s="537"/>
      <c r="DSM11" s="537"/>
      <c r="DSN11" s="537"/>
      <c r="DSO11" s="537"/>
      <c r="DSP11" s="537"/>
      <c r="DSQ11" s="537"/>
      <c r="DSR11" s="537"/>
      <c r="DSS11" s="537"/>
      <c r="DST11" s="537"/>
      <c r="DSU11" s="537"/>
      <c r="DSV11" s="537"/>
      <c r="DSW11" s="537"/>
      <c r="DSX11" s="537"/>
      <c r="DSY11" s="537"/>
      <c r="DSZ11" s="537"/>
      <c r="DTA11" s="537"/>
      <c r="DTB11" s="537"/>
      <c r="DTC11" s="537"/>
      <c r="DTD11" s="537"/>
      <c r="DTE11" s="537"/>
      <c r="DTF11" s="537"/>
      <c r="DTG11" s="537"/>
      <c r="DTH11" s="537"/>
      <c r="DTI11" s="537"/>
      <c r="DTJ11" s="537"/>
      <c r="DTK11" s="537"/>
      <c r="DTL11" s="537"/>
      <c r="DTM11" s="537"/>
      <c r="DTN11" s="537"/>
      <c r="DTO11" s="537"/>
      <c r="DTP11" s="537"/>
      <c r="DTQ11" s="537"/>
      <c r="DTR11" s="537"/>
      <c r="DTS11" s="537"/>
      <c r="DTT11" s="537"/>
      <c r="DTU11" s="537"/>
      <c r="DTV11" s="537"/>
      <c r="DTW11" s="537"/>
      <c r="DTX11" s="537"/>
      <c r="DTY11" s="537"/>
      <c r="DTZ11" s="537"/>
      <c r="DUA11" s="537"/>
      <c r="DUB11" s="537"/>
      <c r="DUC11" s="537"/>
      <c r="DUD11" s="537"/>
      <c r="DUE11" s="537"/>
      <c r="DUF11" s="537"/>
      <c r="DUG11" s="537"/>
      <c r="DUH11" s="537"/>
      <c r="DUI11" s="537"/>
      <c r="DUJ11" s="537"/>
      <c r="DUK11" s="537"/>
      <c r="DUL11" s="537"/>
      <c r="DUM11" s="537"/>
      <c r="DUN11" s="537"/>
      <c r="DUO11" s="537"/>
      <c r="DUP11" s="537"/>
      <c r="DUQ11" s="537"/>
      <c r="DUR11" s="537"/>
      <c r="DUS11" s="537"/>
      <c r="DUT11" s="537"/>
      <c r="DUU11" s="537"/>
      <c r="DUV11" s="537"/>
      <c r="DUW11" s="537"/>
      <c r="DUX11" s="537"/>
      <c r="DUY11" s="537"/>
      <c r="DUZ11" s="537"/>
      <c r="DVA11" s="537"/>
      <c r="DVB11" s="537"/>
      <c r="DVC11" s="537"/>
      <c r="DVD11" s="537"/>
      <c r="DVE11" s="537"/>
      <c r="DVF11" s="537"/>
      <c r="DVG11" s="537"/>
      <c r="DVH11" s="537"/>
      <c r="DVI11" s="537"/>
      <c r="DVJ11" s="537"/>
      <c r="DVK11" s="537"/>
      <c r="DVL11" s="537"/>
      <c r="DVM11" s="537"/>
      <c r="DVN11" s="537"/>
      <c r="DVO11" s="537"/>
      <c r="DVP11" s="537"/>
      <c r="DVQ11" s="537"/>
      <c r="DVR11" s="537"/>
      <c r="DVS11" s="537"/>
      <c r="DVT11" s="537"/>
      <c r="DVU11" s="537"/>
      <c r="DVV11" s="537"/>
      <c r="DVW11" s="537"/>
      <c r="DVX11" s="537"/>
      <c r="DVY11" s="537"/>
      <c r="DVZ11" s="537"/>
      <c r="DWA11" s="537"/>
      <c r="DWB11" s="537"/>
      <c r="DWC11" s="537"/>
      <c r="DWD11" s="537"/>
      <c r="DWE11" s="537"/>
      <c r="DWF11" s="537"/>
      <c r="DWG11" s="537"/>
      <c r="DWH11" s="537"/>
      <c r="DWI11" s="537"/>
      <c r="DWJ11" s="537"/>
      <c r="DWK11" s="537"/>
      <c r="DWL11" s="537"/>
      <c r="DWM11" s="537"/>
      <c r="DWN11" s="537"/>
      <c r="DWO11" s="537"/>
      <c r="DWP11" s="537"/>
      <c r="DWQ11" s="537"/>
      <c r="DWR11" s="537"/>
      <c r="DWS11" s="537"/>
      <c r="DWT11" s="537"/>
      <c r="DWU11" s="537"/>
      <c r="DWV11" s="537"/>
      <c r="DWW11" s="537"/>
      <c r="DWX11" s="537"/>
      <c r="DWY11" s="537"/>
      <c r="DWZ11" s="537"/>
      <c r="DXA11" s="537"/>
      <c r="DXB11" s="537"/>
      <c r="DXC11" s="537"/>
      <c r="DXD11" s="537"/>
      <c r="DXE11" s="537"/>
      <c r="DXF11" s="537"/>
      <c r="DXG11" s="537"/>
      <c r="DXH11" s="537"/>
      <c r="DXI11" s="537"/>
      <c r="DXJ11" s="537"/>
      <c r="DXK11" s="537"/>
      <c r="DXL11" s="537"/>
      <c r="DXM11" s="537"/>
      <c r="DXN11" s="537"/>
      <c r="DXO11" s="537"/>
      <c r="DXP11" s="537"/>
      <c r="DXQ11" s="537"/>
      <c r="DXR11" s="537"/>
      <c r="DXS11" s="537"/>
      <c r="DXT11" s="537"/>
      <c r="DXU11" s="537"/>
      <c r="DXV11" s="537"/>
      <c r="DXW11" s="537"/>
      <c r="DXX11" s="537"/>
      <c r="DXY11" s="537"/>
      <c r="DXZ11" s="537"/>
      <c r="DYA11" s="537"/>
      <c r="DYB11" s="537"/>
      <c r="DYC11" s="537"/>
      <c r="DYD11" s="537"/>
      <c r="DYE11" s="537"/>
      <c r="DYF11" s="537"/>
      <c r="DYG11" s="537"/>
      <c r="DYH11" s="537"/>
      <c r="DYI11" s="537"/>
      <c r="DYJ11" s="537"/>
      <c r="DYK11" s="537"/>
      <c r="DYL11" s="537"/>
      <c r="DYM11" s="537"/>
      <c r="DYN11" s="537"/>
      <c r="DYO11" s="537"/>
      <c r="DYP11" s="537"/>
      <c r="DYQ11" s="537"/>
      <c r="DYR11" s="537"/>
      <c r="DYS11" s="537"/>
      <c r="DYT11" s="537"/>
      <c r="DYU11" s="537"/>
      <c r="DYV11" s="537"/>
      <c r="DYW11" s="537"/>
      <c r="DYX11" s="537"/>
      <c r="DYY11" s="537"/>
      <c r="DYZ11" s="537"/>
      <c r="DZA11" s="537"/>
      <c r="DZB11" s="537"/>
      <c r="DZC11" s="537"/>
      <c r="DZD11" s="537"/>
      <c r="DZE11" s="537"/>
      <c r="DZF11" s="537"/>
      <c r="DZG11" s="537"/>
      <c r="DZH11" s="537"/>
      <c r="DZI11" s="537"/>
      <c r="DZJ11" s="537"/>
      <c r="DZK11" s="537"/>
      <c r="DZL11" s="537"/>
      <c r="DZM11" s="537"/>
      <c r="DZN11" s="537"/>
      <c r="DZO11" s="537"/>
      <c r="DZP11" s="537"/>
      <c r="DZQ11" s="537"/>
      <c r="DZR11" s="537"/>
      <c r="DZS11" s="537"/>
      <c r="DZT11" s="537"/>
      <c r="DZU11" s="537"/>
      <c r="DZV11" s="537"/>
      <c r="DZW11" s="537"/>
      <c r="DZX11" s="537"/>
      <c r="DZY11" s="537"/>
      <c r="DZZ11" s="537"/>
      <c r="EAA11" s="537"/>
      <c r="EAB11" s="537"/>
      <c r="EAC11" s="537"/>
      <c r="EAD11" s="537"/>
      <c r="EAE11" s="537"/>
      <c r="EAF11" s="537"/>
      <c r="EAG11" s="537"/>
      <c r="EAH11" s="537"/>
      <c r="EAI11" s="537"/>
      <c r="EAJ11" s="537"/>
      <c r="EAK11" s="537"/>
      <c r="EAL11" s="537"/>
      <c r="EAM11" s="537"/>
      <c r="EAN11" s="537"/>
      <c r="EAO11" s="537"/>
      <c r="EAP11" s="537"/>
      <c r="EAQ11" s="537"/>
      <c r="EAR11" s="537"/>
      <c r="EAS11" s="537"/>
      <c r="EAT11" s="537"/>
      <c r="EAU11" s="537"/>
      <c r="EAV11" s="537"/>
      <c r="EAW11" s="537"/>
      <c r="EAX11" s="537"/>
      <c r="EAY11" s="537"/>
      <c r="EAZ11" s="537"/>
      <c r="EBA11" s="537"/>
      <c r="EBB11" s="537"/>
      <c r="EBC11" s="537"/>
      <c r="EBD11" s="537"/>
      <c r="EBE11" s="537"/>
      <c r="EBF11" s="537"/>
      <c r="EBG11" s="537"/>
      <c r="EBH11" s="537"/>
      <c r="EBI11" s="537"/>
      <c r="EBJ11" s="537"/>
      <c r="EBK11" s="537"/>
      <c r="EBL11" s="537"/>
      <c r="EBM11" s="537"/>
      <c r="EBN11" s="537"/>
      <c r="EBO11" s="537"/>
      <c r="EBP11" s="537"/>
      <c r="EBQ11" s="537"/>
      <c r="EBR11" s="537"/>
      <c r="EBS11" s="537"/>
      <c r="EBT11" s="537"/>
      <c r="EBU11" s="537"/>
      <c r="EBV11" s="537"/>
      <c r="EBW11" s="537"/>
      <c r="EBX11" s="537"/>
      <c r="EBY11" s="537"/>
      <c r="EBZ11" s="537"/>
      <c r="ECA11" s="537"/>
      <c r="ECB11" s="537"/>
      <c r="ECC11" s="537"/>
      <c r="ECD11" s="537"/>
      <c r="ECE11" s="537"/>
      <c r="ECF11" s="537"/>
      <c r="ECG11" s="537"/>
      <c r="ECH11" s="537"/>
      <c r="ECI11" s="537"/>
      <c r="ECJ11" s="537"/>
      <c r="ECK11" s="537"/>
      <c r="ECL11" s="537"/>
      <c r="ECM11" s="537"/>
      <c r="ECN11" s="537"/>
      <c r="ECO11" s="537"/>
      <c r="ECP11" s="537"/>
      <c r="ECQ11" s="537"/>
      <c r="ECR11" s="537"/>
      <c r="ECS11" s="537"/>
      <c r="ECT11" s="537"/>
      <c r="ECU11" s="537"/>
      <c r="ECV11" s="537"/>
      <c r="ECW11" s="537"/>
      <c r="ECX11" s="537"/>
      <c r="ECY11" s="537"/>
      <c r="ECZ11" s="537"/>
      <c r="EDA11" s="537"/>
      <c r="EDB11" s="537"/>
      <c r="EDC11" s="537"/>
      <c r="EDD11" s="537"/>
      <c r="EDE11" s="537"/>
      <c r="EDF11" s="537"/>
      <c r="EDG11" s="537"/>
      <c r="EDH11" s="537"/>
      <c r="EDI11" s="537"/>
      <c r="EDJ11" s="537"/>
      <c r="EDK11" s="537"/>
      <c r="EDL11" s="537"/>
      <c r="EDM11" s="537"/>
      <c r="EDN11" s="537"/>
      <c r="EDO11" s="537"/>
      <c r="EDP11" s="537"/>
      <c r="EDQ11" s="537"/>
      <c r="EDR11" s="537"/>
      <c r="EDS11" s="537"/>
      <c r="EDT11" s="537"/>
      <c r="EDU11" s="537"/>
      <c r="EDV11" s="537"/>
      <c r="EDW11" s="537"/>
      <c r="EDX11" s="537"/>
      <c r="EDY11" s="537"/>
      <c r="EDZ11" s="537"/>
      <c r="EEA11" s="537"/>
      <c r="EEB11" s="537"/>
      <c r="EEC11" s="537"/>
      <c r="EED11" s="537"/>
      <c r="EEE11" s="537"/>
      <c r="EEF11" s="537"/>
      <c r="EEG11" s="537"/>
      <c r="EEH11" s="537"/>
      <c r="EEI11" s="537"/>
      <c r="EEJ11" s="537"/>
      <c r="EEK11" s="537"/>
      <c r="EEL11" s="537"/>
      <c r="EEM11" s="537"/>
      <c r="EEN11" s="537"/>
      <c r="EEO11" s="537"/>
      <c r="EEP11" s="537"/>
      <c r="EEQ11" s="537"/>
      <c r="EER11" s="537"/>
      <c r="EES11" s="537"/>
      <c r="EET11" s="537"/>
      <c r="EEU11" s="537"/>
      <c r="EEV11" s="537"/>
      <c r="EEW11" s="537"/>
      <c r="EEX11" s="537"/>
      <c r="EEY11" s="537"/>
      <c r="EEZ11" s="537"/>
      <c r="EFA11" s="537"/>
      <c r="EFB11" s="537"/>
      <c r="EFC11" s="537"/>
      <c r="EFD11" s="537"/>
      <c r="EFE11" s="537"/>
      <c r="EFF11" s="537"/>
      <c r="EFG11" s="537"/>
      <c r="EFH11" s="537"/>
      <c r="EFI11" s="537"/>
      <c r="EFJ11" s="537"/>
      <c r="EFK11" s="537"/>
      <c r="EFL11" s="537"/>
      <c r="EFM11" s="537"/>
      <c r="EFN11" s="537"/>
      <c r="EFO11" s="537"/>
      <c r="EFP11" s="537"/>
      <c r="EFQ11" s="537"/>
      <c r="EFR11" s="537"/>
      <c r="EFS11" s="537"/>
      <c r="EFT11" s="537"/>
      <c r="EFU11" s="537"/>
      <c r="EFV11" s="537"/>
      <c r="EFW11" s="537"/>
      <c r="EFX11" s="537"/>
      <c r="EFY11" s="537"/>
      <c r="EFZ11" s="537"/>
      <c r="EGA11" s="537"/>
      <c r="EGB11" s="537"/>
      <c r="EGC11" s="537"/>
      <c r="EGD11" s="537"/>
      <c r="EGE11" s="537"/>
      <c r="EGF11" s="537"/>
      <c r="EGG11" s="537"/>
      <c r="EGH11" s="537"/>
      <c r="EGI11" s="537"/>
      <c r="EGJ11" s="537"/>
      <c r="EGK11" s="537"/>
      <c r="EGL11" s="537"/>
      <c r="EGM11" s="537"/>
      <c r="EGN11" s="537"/>
      <c r="EGO11" s="537"/>
      <c r="EGP11" s="537"/>
      <c r="EGQ11" s="537"/>
      <c r="EGR11" s="537"/>
      <c r="EGS11" s="537"/>
      <c r="EGT11" s="537"/>
      <c r="EGU11" s="537"/>
      <c r="EGV11" s="537"/>
      <c r="EGW11" s="537"/>
      <c r="EGX11" s="537"/>
      <c r="EGY11" s="537"/>
      <c r="EGZ11" s="537"/>
      <c r="EHA11" s="537"/>
      <c r="EHB11" s="537"/>
      <c r="EHC11" s="537"/>
      <c r="EHD11" s="537"/>
      <c r="EHE11" s="537"/>
      <c r="EHF11" s="537"/>
      <c r="EHG11" s="537"/>
      <c r="EHH11" s="537"/>
      <c r="EHI11" s="537"/>
      <c r="EHJ11" s="537"/>
      <c r="EHK11" s="537"/>
      <c r="EHL11" s="537"/>
      <c r="EHM11" s="537"/>
      <c r="EHN11" s="537"/>
      <c r="EHO11" s="537"/>
      <c r="EHP11" s="537"/>
      <c r="EHQ11" s="537"/>
      <c r="EHR11" s="537"/>
      <c r="EHS11" s="537"/>
      <c r="EHT11" s="537"/>
      <c r="EHU11" s="537"/>
      <c r="EHV11" s="537"/>
      <c r="EHW11" s="537"/>
      <c r="EHX11" s="537"/>
      <c r="EHY11" s="537"/>
      <c r="EHZ11" s="537"/>
      <c r="EIA11" s="537"/>
      <c r="EIB11" s="537"/>
      <c r="EIC11" s="537"/>
      <c r="EID11" s="537"/>
      <c r="EIE11" s="537"/>
      <c r="EIF11" s="537"/>
      <c r="EIG11" s="537"/>
      <c r="EIH11" s="537"/>
      <c r="EII11" s="537"/>
      <c r="EIJ11" s="537"/>
      <c r="EIK11" s="537"/>
      <c r="EIL11" s="537"/>
      <c r="EIM11" s="537"/>
      <c r="EIN11" s="537"/>
      <c r="EIO11" s="537"/>
      <c r="EIP11" s="537"/>
      <c r="EIQ11" s="537"/>
      <c r="EIR11" s="537"/>
      <c r="EIS11" s="537"/>
      <c r="EIT11" s="537"/>
      <c r="EIU11" s="537"/>
      <c r="EIV11" s="537"/>
      <c r="EIW11" s="537"/>
      <c r="EIX11" s="537"/>
      <c r="EIY11" s="537"/>
      <c r="EIZ11" s="537"/>
      <c r="EJA11" s="537"/>
      <c r="EJB11" s="537"/>
      <c r="EJC11" s="537"/>
      <c r="EJD11" s="537"/>
      <c r="EJE11" s="537"/>
      <c r="EJF11" s="537"/>
      <c r="EJG11" s="537"/>
      <c r="EJH11" s="537"/>
      <c r="EJI11" s="537"/>
      <c r="EJJ11" s="537"/>
      <c r="EJK11" s="537"/>
      <c r="EJL11" s="537"/>
      <c r="EJM11" s="537"/>
      <c r="EJN11" s="537"/>
      <c r="EJO11" s="537"/>
      <c r="EJP11" s="537"/>
      <c r="EJQ11" s="537"/>
      <c r="EJR11" s="537"/>
      <c r="EJS11" s="537"/>
      <c r="EJT11" s="537"/>
      <c r="EJU11" s="537"/>
      <c r="EJV11" s="537"/>
      <c r="EJW11" s="537"/>
      <c r="EJX11" s="537"/>
      <c r="EJY11" s="537"/>
      <c r="EJZ11" s="537"/>
      <c r="EKA11" s="537"/>
      <c r="EKB11" s="537"/>
      <c r="EKC11" s="537"/>
      <c r="EKD11" s="537"/>
      <c r="EKE11" s="537"/>
      <c r="EKF11" s="537"/>
      <c r="EKG11" s="537"/>
      <c r="EKH11" s="537"/>
      <c r="EKI11" s="537"/>
      <c r="EKJ11" s="537"/>
      <c r="EKK11" s="537"/>
      <c r="EKL11" s="537"/>
      <c r="EKM11" s="537"/>
      <c r="EKN11" s="537"/>
      <c r="EKO11" s="537"/>
      <c r="EKP11" s="537"/>
      <c r="EKQ11" s="537"/>
      <c r="EKR11" s="537"/>
      <c r="EKS11" s="537"/>
      <c r="EKT11" s="537"/>
      <c r="EKU11" s="537"/>
      <c r="EKV11" s="537"/>
      <c r="EKW11" s="537"/>
      <c r="EKX11" s="537"/>
      <c r="EKY11" s="537"/>
      <c r="EKZ11" s="537"/>
      <c r="ELA11" s="537"/>
      <c r="ELB11" s="537"/>
      <c r="ELC11" s="537"/>
      <c r="ELD11" s="537"/>
      <c r="ELE11" s="537"/>
      <c r="ELF11" s="537"/>
      <c r="ELG11" s="537"/>
      <c r="ELH11" s="537"/>
      <c r="ELI11" s="537"/>
      <c r="ELJ11" s="537"/>
      <c r="ELK11" s="537"/>
      <c r="ELL11" s="537"/>
      <c r="ELM11" s="537"/>
      <c r="ELN11" s="537"/>
      <c r="ELO11" s="537"/>
      <c r="ELP11" s="537"/>
      <c r="ELQ11" s="537"/>
      <c r="ELR11" s="537"/>
      <c r="ELS11" s="537"/>
      <c r="ELT11" s="537"/>
      <c r="ELU11" s="537"/>
      <c r="ELV11" s="537"/>
      <c r="ELW11" s="537"/>
      <c r="ELX11" s="537"/>
      <c r="ELY11" s="537"/>
      <c r="ELZ11" s="537"/>
      <c r="EMA11" s="537"/>
      <c r="EMB11" s="537"/>
      <c r="EMC11" s="537"/>
      <c r="EMD11" s="537"/>
      <c r="EME11" s="537"/>
      <c r="EMF11" s="537"/>
      <c r="EMG11" s="537"/>
      <c r="EMH11" s="537"/>
      <c r="EMI11" s="537"/>
      <c r="EMJ11" s="537"/>
      <c r="EMK11" s="537"/>
      <c r="EML11" s="537"/>
      <c r="EMM11" s="537"/>
      <c r="EMN11" s="537"/>
      <c r="EMO11" s="537"/>
      <c r="EMP11" s="537"/>
      <c r="EMQ11" s="537"/>
      <c r="EMR11" s="537"/>
      <c r="EMS11" s="537"/>
      <c r="EMT11" s="537"/>
      <c r="EMU11" s="537"/>
      <c r="EMV11" s="537"/>
      <c r="EMW11" s="537"/>
      <c r="EMX11" s="537"/>
      <c r="EMY11" s="537"/>
      <c r="EMZ11" s="537"/>
      <c r="ENA11" s="537"/>
      <c r="ENB11" s="537"/>
      <c r="ENC11" s="537"/>
      <c r="END11" s="537"/>
      <c r="ENE11" s="537"/>
      <c r="ENF11" s="537"/>
      <c r="ENG11" s="537"/>
      <c r="ENH11" s="537"/>
      <c r="ENI11" s="537"/>
      <c r="ENJ11" s="537"/>
      <c r="ENK11" s="537"/>
      <c r="ENL11" s="537"/>
      <c r="ENM11" s="537"/>
      <c r="ENN11" s="537"/>
      <c r="ENO11" s="537"/>
      <c r="ENP11" s="537"/>
      <c r="ENQ11" s="537"/>
      <c r="ENR11" s="537"/>
      <c r="ENS11" s="537"/>
      <c r="ENT11" s="537"/>
      <c r="ENU11" s="537"/>
      <c r="ENV11" s="537"/>
      <c r="ENW11" s="537"/>
      <c r="ENX11" s="537"/>
      <c r="ENY11" s="537"/>
      <c r="ENZ11" s="537"/>
      <c r="EOA11" s="537"/>
      <c r="EOB11" s="537"/>
      <c r="EOC11" s="537"/>
      <c r="EOD11" s="537"/>
      <c r="EOE11" s="537"/>
      <c r="EOF11" s="537"/>
      <c r="EOG11" s="537"/>
      <c r="EOH11" s="537"/>
      <c r="EOI11" s="537"/>
      <c r="EOJ11" s="537"/>
      <c r="EOK11" s="537"/>
      <c r="EOL11" s="537"/>
      <c r="EOM11" s="537"/>
      <c r="EON11" s="537"/>
      <c r="EOO11" s="537"/>
      <c r="EOP11" s="537"/>
      <c r="EOQ11" s="537"/>
      <c r="EOR11" s="537"/>
      <c r="EOS11" s="537"/>
      <c r="EOT11" s="537"/>
      <c r="EOU11" s="537"/>
      <c r="EOV11" s="537"/>
      <c r="EOW11" s="537"/>
      <c r="EOX11" s="537"/>
      <c r="EOY11" s="537"/>
      <c r="EOZ11" s="537"/>
      <c r="EPA11" s="537"/>
      <c r="EPB11" s="537"/>
      <c r="EPC11" s="537"/>
      <c r="EPD11" s="537"/>
      <c r="EPE11" s="537"/>
      <c r="EPF11" s="537"/>
      <c r="EPG11" s="537"/>
      <c r="EPH11" s="537"/>
      <c r="EPI11" s="537"/>
      <c r="EPJ11" s="537"/>
      <c r="EPK11" s="537"/>
      <c r="EPL11" s="537"/>
      <c r="EPM11" s="537"/>
      <c r="EPN11" s="537"/>
      <c r="EPO11" s="537"/>
      <c r="EPP11" s="537"/>
      <c r="EPQ11" s="537"/>
      <c r="EPR11" s="537"/>
      <c r="EPS11" s="537"/>
      <c r="EPT11" s="537"/>
      <c r="EPU11" s="537"/>
      <c r="EPV11" s="537"/>
      <c r="EPW11" s="537"/>
      <c r="EPX11" s="537"/>
      <c r="EPY11" s="537"/>
      <c r="EPZ11" s="537"/>
      <c r="EQA11" s="537"/>
      <c r="EQB11" s="537"/>
      <c r="EQC11" s="537"/>
      <c r="EQD11" s="537"/>
      <c r="EQE11" s="537"/>
      <c r="EQF11" s="537"/>
      <c r="EQG11" s="537"/>
      <c r="EQH11" s="537"/>
      <c r="EQI11" s="537"/>
      <c r="EQJ11" s="537"/>
      <c r="EQK11" s="537"/>
      <c r="EQL11" s="537"/>
      <c r="EQM11" s="537"/>
      <c r="EQN11" s="537"/>
      <c r="EQO11" s="537"/>
      <c r="EQP11" s="537"/>
      <c r="EQQ11" s="537"/>
      <c r="EQR11" s="537"/>
      <c r="EQS11" s="537"/>
      <c r="EQT11" s="537"/>
      <c r="EQU11" s="537"/>
      <c r="EQV11" s="537"/>
      <c r="EQW11" s="537"/>
      <c r="EQX11" s="537"/>
      <c r="EQY11" s="537"/>
      <c r="EQZ11" s="537"/>
      <c r="ERA11" s="537"/>
      <c r="ERB11" s="537"/>
      <c r="ERC11" s="537"/>
      <c r="ERD11" s="537"/>
      <c r="ERE11" s="537"/>
      <c r="ERF11" s="537"/>
      <c r="ERG11" s="537"/>
      <c r="ERH11" s="537"/>
      <c r="ERI11" s="537"/>
      <c r="ERJ11" s="537"/>
      <c r="ERK11" s="537"/>
      <c r="ERL11" s="537"/>
      <c r="ERM11" s="537"/>
      <c r="ERN11" s="537"/>
      <c r="ERO11" s="537"/>
      <c r="ERP11" s="537"/>
      <c r="ERQ11" s="537"/>
      <c r="ERR11" s="537"/>
      <c r="ERS11" s="537"/>
      <c r="ERT11" s="537"/>
      <c r="ERU11" s="537"/>
      <c r="ERV11" s="537"/>
      <c r="ERW11" s="537"/>
      <c r="ERX11" s="537"/>
      <c r="ERY11" s="537"/>
      <c r="ERZ11" s="537"/>
      <c r="ESA11" s="537"/>
      <c r="ESB11" s="537"/>
      <c r="ESC11" s="537"/>
      <c r="ESD11" s="537"/>
      <c r="ESE11" s="537"/>
      <c r="ESF11" s="537"/>
      <c r="ESG11" s="537"/>
      <c r="ESH11" s="537"/>
      <c r="ESI11" s="537"/>
      <c r="ESJ11" s="537"/>
      <c r="ESK11" s="537"/>
      <c r="ESL11" s="537"/>
      <c r="ESM11" s="537"/>
      <c r="ESN11" s="537"/>
      <c r="ESO11" s="537"/>
      <c r="ESP11" s="537"/>
      <c r="ESQ11" s="537"/>
      <c r="ESR11" s="537"/>
      <c r="ESS11" s="537"/>
      <c r="EST11" s="537"/>
      <c r="ESU11" s="537"/>
      <c r="ESV11" s="537"/>
      <c r="ESW11" s="537"/>
      <c r="ESX11" s="537"/>
      <c r="ESY11" s="537"/>
      <c r="ESZ11" s="537"/>
      <c r="ETA11" s="537"/>
      <c r="ETB11" s="537"/>
      <c r="ETC11" s="537"/>
      <c r="ETD11" s="537"/>
      <c r="ETE11" s="537"/>
      <c r="ETF11" s="537"/>
      <c r="ETG11" s="537"/>
      <c r="ETH11" s="537"/>
      <c r="ETI11" s="537"/>
      <c r="ETJ11" s="537"/>
      <c r="ETK11" s="537"/>
      <c r="ETL11" s="537"/>
      <c r="ETM11" s="537"/>
      <c r="ETN11" s="537"/>
      <c r="ETO11" s="537"/>
      <c r="ETP11" s="537"/>
      <c r="ETQ11" s="537"/>
      <c r="ETR11" s="537"/>
      <c r="ETS11" s="537"/>
      <c r="ETT11" s="537"/>
      <c r="ETU11" s="537"/>
      <c r="ETV11" s="537"/>
      <c r="ETW11" s="537"/>
      <c r="ETX11" s="537"/>
      <c r="ETY11" s="537"/>
      <c r="ETZ11" s="537"/>
      <c r="EUA11" s="537"/>
      <c r="EUB11" s="537"/>
      <c r="EUC11" s="537"/>
      <c r="EUD11" s="537"/>
      <c r="EUE11" s="537"/>
      <c r="EUF11" s="537"/>
      <c r="EUG11" s="537"/>
      <c r="EUH11" s="537"/>
      <c r="EUI11" s="537"/>
      <c r="EUJ11" s="537"/>
      <c r="EUK11" s="537"/>
      <c r="EUL11" s="537"/>
      <c r="EUM11" s="537"/>
      <c r="EUN11" s="537"/>
      <c r="EUO11" s="537"/>
      <c r="EUP11" s="537"/>
      <c r="EUQ11" s="537"/>
      <c r="EUR11" s="537"/>
      <c r="EUS11" s="537"/>
      <c r="EUT11" s="537"/>
      <c r="EUU11" s="537"/>
      <c r="EUV11" s="537"/>
      <c r="EUW11" s="537"/>
      <c r="EUX11" s="537"/>
      <c r="EUY11" s="537"/>
      <c r="EUZ11" s="537"/>
      <c r="EVA11" s="537"/>
      <c r="EVB11" s="537"/>
      <c r="EVC11" s="537"/>
      <c r="EVD11" s="537"/>
      <c r="EVE11" s="537"/>
      <c r="EVF11" s="537"/>
      <c r="EVG11" s="537"/>
      <c r="EVH11" s="537"/>
      <c r="EVI11" s="537"/>
      <c r="EVJ11" s="537"/>
      <c r="EVK11" s="537"/>
      <c r="EVL11" s="537"/>
      <c r="EVM11" s="537"/>
      <c r="EVN11" s="537"/>
      <c r="EVO11" s="537"/>
      <c r="EVP11" s="537"/>
      <c r="EVQ11" s="537"/>
      <c r="EVR11" s="537"/>
      <c r="EVS11" s="537"/>
      <c r="EVT11" s="537"/>
      <c r="EVU11" s="537"/>
      <c r="EVV11" s="537"/>
      <c r="EVW11" s="537"/>
      <c r="EVX11" s="537"/>
      <c r="EVY11" s="537"/>
      <c r="EVZ11" s="537"/>
      <c r="EWA11" s="537"/>
      <c r="EWB11" s="537"/>
      <c r="EWC11" s="537"/>
      <c r="EWD11" s="537"/>
      <c r="EWE11" s="537"/>
      <c r="EWF11" s="537"/>
      <c r="EWG11" s="537"/>
      <c r="EWH11" s="537"/>
      <c r="EWI11" s="537"/>
      <c r="EWJ11" s="537"/>
      <c r="EWK11" s="537"/>
      <c r="EWL11" s="537"/>
      <c r="EWM11" s="537"/>
      <c r="EWN11" s="537"/>
      <c r="EWO11" s="537"/>
      <c r="EWP11" s="537"/>
      <c r="EWQ11" s="537"/>
      <c r="EWR11" s="537"/>
      <c r="EWS11" s="537"/>
      <c r="EWT11" s="537"/>
      <c r="EWU11" s="537"/>
      <c r="EWV11" s="537"/>
      <c r="EWW11" s="537"/>
      <c r="EWX11" s="537"/>
      <c r="EWY11" s="537"/>
      <c r="EWZ11" s="537"/>
      <c r="EXA11" s="537"/>
      <c r="EXB11" s="537"/>
      <c r="EXC11" s="537"/>
      <c r="EXD11" s="537"/>
      <c r="EXE11" s="537"/>
      <c r="EXF11" s="537"/>
      <c r="EXG11" s="537"/>
      <c r="EXH11" s="537"/>
      <c r="EXI11" s="537"/>
      <c r="EXJ11" s="537"/>
      <c r="EXK11" s="537"/>
      <c r="EXL11" s="537"/>
      <c r="EXM11" s="537"/>
      <c r="EXN11" s="537"/>
      <c r="EXO11" s="537"/>
      <c r="EXP11" s="537"/>
      <c r="EXQ11" s="537"/>
      <c r="EXR11" s="537"/>
      <c r="EXS11" s="537"/>
      <c r="EXT11" s="537"/>
      <c r="EXU11" s="537"/>
      <c r="EXV11" s="537"/>
      <c r="EXW11" s="537"/>
      <c r="EXX11" s="537"/>
      <c r="EXY11" s="537"/>
      <c r="EXZ11" s="537"/>
      <c r="EYA11" s="537"/>
      <c r="EYB11" s="537"/>
      <c r="EYC11" s="537"/>
      <c r="EYD11" s="537"/>
      <c r="EYE11" s="537"/>
      <c r="EYF11" s="537"/>
      <c r="EYG11" s="537"/>
      <c r="EYH11" s="537"/>
      <c r="EYI11" s="537"/>
      <c r="EYJ11" s="537"/>
      <c r="EYK11" s="537"/>
      <c r="EYL11" s="537"/>
      <c r="EYM11" s="537"/>
      <c r="EYN11" s="537"/>
      <c r="EYO11" s="537"/>
      <c r="EYP11" s="537"/>
      <c r="EYQ11" s="537"/>
      <c r="EYR11" s="537"/>
      <c r="EYS11" s="537"/>
      <c r="EYT11" s="537"/>
      <c r="EYU11" s="537"/>
      <c r="EYV11" s="537"/>
      <c r="EYW11" s="537"/>
      <c r="EYX11" s="537"/>
      <c r="EYY11" s="537"/>
      <c r="EYZ11" s="537"/>
      <c r="EZA11" s="537"/>
      <c r="EZB11" s="537"/>
      <c r="EZC11" s="537"/>
      <c r="EZD11" s="537"/>
      <c r="EZE11" s="537"/>
      <c r="EZF11" s="537"/>
      <c r="EZG11" s="537"/>
      <c r="EZH11" s="537"/>
      <c r="EZI11" s="537"/>
      <c r="EZJ11" s="537"/>
      <c r="EZK11" s="537"/>
      <c r="EZL11" s="537"/>
      <c r="EZM11" s="537"/>
      <c r="EZN11" s="537"/>
      <c r="EZO11" s="537"/>
      <c r="EZP11" s="537"/>
      <c r="EZQ11" s="537"/>
      <c r="EZR11" s="537"/>
      <c r="EZS11" s="537"/>
      <c r="EZT11" s="537"/>
      <c r="EZU11" s="537"/>
      <c r="EZV11" s="537"/>
      <c r="EZW11" s="537"/>
      <c r="EZX11" s="537"/>
      <c r="EZY11" s="537"/>
      <c r="EZZ11" s="537"/>
      <c r="FAA11" s="537"/>
      <c r="FAB11" s="537"/>
      <c r="FAC11" s="537"/>
      <c r="FAD11" s="537"/>
      <c r="FAE11" s="537"/>
      <c r="FAF11" s="537"/>
      <c r="FAG11" s="537"/>
      <c r="FAH11" s="537"/>
      <c r="FAI11" s="537"/>
      <c r="FAJ11" s="537"/>
      <c r="FAK11" s="537"/>
      <c r="FAL11" s="537"/>
      <c r="FAM11" s="537"/>
      <c r="FAN11" s="537"/>
      <c r="FAO11" s="537"/>
      <c r="FAP11" s="537"/>
      <c r="FAQ11" s="537"/>
      <c r="FAR11" s="537"/>
      <c r="FAS11" s="537"/>
      <c r="FAT11" s="537"/>
      <c r="FAU11" s="537"/>
      <c r="FAV11" s="537"/>
      <c r="FAW11" s="537"/>
      <c r="FAX11" s="537"/>
      <c r="FAY11" s="537"/>
      <c r="FAZ11" s="537"/>
      <c r="FBA11" s="537"/>
      <c r="FBB11" s="537"/>
      <c r="FBC11" s="537"/>
      <c r="FBD11" s="537"/>
      <c r="FBE11" s="537"/>
      <c r="FBF11" s="537"/>
      <c r="FBG11" s="537"/>
      <c r="FBH11" s="537"/>
      <c r="FBI11" s="537"/>
      <c r="FBJ11" s="537"/>
      <c r="FBK11" s="537"/>
      <c r="FBL11" s="537"/>
      <c r="FBM11" s="537"/>
      <c r="FBN11" s="537"/>
      <c r="FBO11" s="537"/>
      <c r="FBP11" s="537"/>
      <c r="FBQ11" s="537"/>
      <c r="FBR11" s="537"/>
      <c r="FBS11" s="537"/>
      <c r="FBT11" s="537"/>
      <c r="FBU11" s="537"/>
      <c r="FBV11" s="537"/>
      <c r="FBW11" s="537"/>
      <c r="FBX11" s="537"/>
      <c r="FBY11" s="537"/>
      <c r="FBZ11" s="537"/>
      <c r="FCA11" s="537"/>
      <c r="FCB11" s="537"/>
      <c r="FCC11" s="537"/>
      <c r="FCD11" s="537"/>
      <c r="FCE11" s="537"/>
      <c r="FCF11" s="537"/>
      <c r="FCG11" s="537"/>
      <c r="FCH11" s="537"/>
      <c r="FCI11" s="537"/>
      <c r="FCJ11" s="537"/>
      <c r="FCK11" s="537"/>
      <c r="FCL11" s="537"/>
      <c r="FCM11" s="537"/>
      <c r="FCN11" s="537"/>
      <c r="FCO11" s="537"/>
      <c r="FCP11" s="537"/>
      <c r="FCQ11" s="537"/>
      <c r="FCR11" s="537"/>
      <c r="FCS11" s="537"/>
      <c r="FCT11" s="537"/>
      <c r="FCU11" s="537"/>
      <c r="FCV11" s="537"/>
      <c r="FCW11" s="537"/>
      <c r="FCX11" s="537"/>
      <c r="FCY11" s="537"/>
      <c r="FCZ11" s="537"/>
      <c r="FDA11" s="537"/>
      <c r="FDB11" s="537"/>
      <c r="FDC11" s="537"/>
      <c r="FDD11" s="537"/>
      <c r="FDE11" s="537"/>
      <c r="FDF11" s="537"/>
      <c r="FDG11" s="537"/>
      <c r="FDH11" s="537"/>
      <c r="FDI11" s="537"/>
      <c r="FDJ11" s="537"/>
      <c r="FDK11" s="537"/>
      <c r="FDL11" s="537"/>
      <c r="FDM11" s="537"/>
      <c r="FDN11" s="537"/>
      <c r="FDO11" s="537"/>
      <c r="FDP11" s="537"/>
      <c r="FDQ11" s="537"/>
      <c r="FDR11" s="537"/>
      <c r="FDS11" s="537"/>
      <c r="FDT11" s="537"/>
      <c r="FDU11" s="537"/>
      <c r="FDV11" s="537"/>
      <c r="FDW11" s="537"/>
      <c r="FDX11" s="537"/>
      <c r="FDY11" s="537"/>
      <c r="FDZ11" s="537"/>
      <c r="FEA11" s="537"/>
      <c r="FEB11" s="537"/>
      <c r="FEC11" s="537"/>
      <c r="FED11" s="537"/>
      <c r="FEE11" s="537"/>
      <c r="FEF11" s="537"/>
      <c r="FEG11" s="537"/>
      <c r="FEH11" s="537"/>
      <c r="FEI11" s="537"/>
      <c r="FEJ11" s="537"/>
      <c r="FEK11" s="537"/>
      <c r="FEL11" s="537"/>
      <c r="FEM11" s="537"/>
      <c r="FEN11" s="537"/>
      <c r="FEO11" s="537"/>
      <c r="FEP11" s="537"/>
      <c r="FEQ11" s="537"/>
      <c r="FER11" s="537"/>
      <c r="FES11" s="537"/>
      <c r="FET11" s="537"/>
      <c r="FEU11" s="537"/>
      <c r="FEV11" s="537"/>
      <c r="FEW11" s="537"/>
      <c r="FEX11" s="537"/>
      <c r="FEY11" s="537"/>
      <c r="FEZ11" s="537"/>
      <c r="FFA11" s="537"/>
      <c r="FFB11" s="537"/>
      <c r="FFC11" s="537"/>
      <c r="FFD11" s="537"/>
      <c r="FFE11" s="537"/>
      <c r="FFF11" s="537"/>
      <c r="FFG11" s="537"/>
      <c r="FFH11" s="537"/>
      <c r="FFI11" s="537"/>
      <c r="FFJ11" s="537"/>
      <c r="FFK11" s="537"/>
      <c r="FFL11" s="537"/>
      <c r="FFM11" s="537"/>
      <c r="FFN11" s="537"/>
      <c r="FFO11" s="537"/>
      <c r="FFP11" s="537"/>
      <c r="FFQ11" s="537"/>
      <c r="FFR11" s="537"/>
      <c r="FFS11" s="537"/>
      <c r="FFT11" s="537"/>
      <c r="FFU11" s="537"/>
      <c r="FFV11" s="537"/>
      <c r="FFW11" s="537"/>
      <c r="FFX11" s="537"/>
      <c r="FFY11" s="537"/>
      <c r="FFZ11" s="537"/>
      <c r="FGA11" s="537"/>
      <c r="FGB11" s="537"/>
      <c r="FGC11" s="537"/>
      <c r="FGD11" s="537"/>
      <c r="FGE11" s="537"/>
      <c r="FGF11" s="537"/>
      <c r="FGG11" s="537"/>
      <c r="FGH11" s="537"/>
      <c r="FGI11" s="537"/>
      <c r="FGJ11" s="537"/>
      <c r="FGK11" s="537"/>
      <c r="FGL11" s="537"/>
      <c r="FGM11" s="537"/>
      <c r="FGN11" s="537"/>
      <c r="FGO11" s="537"/>
      <c r="FGP11" s="537"/>
      <c r="FGQ11" s="537"/>
      <c r="FGR11" s="537"/>
      <c r="FGS11" s="537"/>
      <c r="FGT11" s="537"/>
      <c r="FGU11" s="537"/>
      <c r="FGV11" s="537"/>
      <c r="FGW11" s="537"/>
      <c r="FGX11" s="537"/>
      <c r="FGY11" s="537"/>
      <c r="FGZ11" s="537"/>
      <c r="FHA11" s="537"/>
      <c r="FHB11" s="537"/>
      <c r="FHC11" s="537"/>
      <c r="FHD11" s="537"/>
      <c r="FHE11" s="537"/>
      <c r="FHF11" s="537"/>
      <c r="FHG11" s="537"/>
      <c r="FHH11" s="537"/>
      <c r="FHI11" s="537"/>
      <c r="FHJ11" s="537"/>
      <c r="FHK11" s="537"/>
      <c r="FHL11" s="537"/>
      <c r="FHM11" s="537"/>
      <c r="FHN11" s="537"/>
      <c r="FHO11" s="537"/>
      <c r="FHP11" s="537"/>
      <c r="FHQ11" s="537"/>
      <c r="FHR11" s="537"/>
      <c r="FHS11" s="537"/>
      <c r="FHT11" s="537"/>
      <c r="FHU11" s="537"/>
      <c r="FHV11" s="537"/>
      <c r="FHW11" s="537"/>
      <c r="FHX11" s="537"/>
      <c r="FHY11" s="537"/>
      <c r="FHZ11" s="537"/>
      <c r="FIA11" s="537"/>
      <c r="FIB11" s="537"/>
      <c r="FIC11" s="537"/>
      <c r="FID11" s="537"/>
      <c r="FIE11" s="537"/>
      <c r="FIF11" s="537"/>
      <c r="FIG11" s="537"/>
      <c r="FIH11" s="537"/>
      <c r="FII11" s="537"/>
      <c r="FIJ11" s="537"/>
      <c r="FIK11" s="537"/>
      <c r="FIL11" s="537"/>
      <c r="FIM11" s="537"/>
      <c r="FIN11" s="537"/>
      <c r="FIO11" s="537"/>
      <c r="FIP11" s="537"/>
      <c r="FIQ11" s="537"/>
      <c r="FIR11" s="537"/>
      <c r="FIS11" s="537"/>
      <c r="FIT11" s="537"/>
      <c r="FIU11" s="537"/>
      <c r="FIV11" s="537"/>
      <c r="FIW11" s="537"/>
      <c r="FIX11" s="537"/>
      <c r="FIY11" s="537"/>
      <c r="FIZ11" s="537"/>
      <c r="FJA11" s="537"/>
      <c r="FJB11" s="537"/>
      <c r="FJC11" s="537"/>
      <c r="FJD11" s="537"/>
      <c r="FJE11" s="537"/>
      <c r="FJF11" s="537"/>
      <c r="FJG11" s="537"/>
      <c r="FJH11" s="537"/>
      <c r="FJI11" s="537"/>
      <c r="FJJ11" s="537"/>
      <c r="FJK11" s="537"/>
      <c r="FJL11" s="537"/>
      <c r="FJM11" s="537"/>
      <c r="FJN11" s="537"/>
      <c r="FJO11" s="537"/>
      <c r="FJP11" s="537"/>
      <c r="FJQ11" s="537"/>
      <c r="FJR11" s="537"/>
      <c r="FJS11" s="537"/>
      <c r="FJT11" s="537"/>
      <c r="FJU11" s="537"/>
      <c r="FJV11" s="537"/>
      <c r="FJW11" s="537"/>
      <c r="FJX11" s="537"/>
      <c r="FJY11" s="537"/>
      <c r="FJZ11" s="537"/>
      <c r="FKA11" s="537"/>
      <c r="FKB11" s="537"/>
      <c r="FKC11" s="537"/>
      <c r="FKD11" s="537"/>
      <c r="FKE11" s="537"/>
      <c r="FKF11" s="537"/>
      <c r="FKG11" s="537"/>
      <c r="FKH11" s="537"/>
      <c r="FKI11" s="537"/>
      <c r="FKJ11" s="537"/>
      <c r="FKK11" s="537"/>
      <c r="FKL11" s="537"/>
      <c r="FKM11" s="537"/>
      <c r="FKN11" s="537"/>
      <c r="FKO11" s="537"/>
      <c r="FKP11" s="537"/>
      <c r="FKQ11" s="537"/>
      <c r="FKR11" s="537"/>
      <c r="FKS11" s="537"/>
      <c r="FKT11" s="537"/>
      <c r="FKU11" s="537"/>
      <c r="FKV11" s="537"/>
      <c r="FKW11" s="537"/>
      <c r="FKX11" s="537"/>
      <c r="FKY11" s="537"/>
      <c r="FKZ11" s="537"/>
      <c r="FLA11" s="537"/>
      <c r="FLB11" s="537"/>
      <c r="FLC11" s="537"/>
      <c r="FLD11" s="537"/>
      <c r="FLE11" s="537"/>
      <c r="FLF11" s="537"/>
      <c r="FLG11" s="537"/>
      <c r="FLH11" s="537"/>
      <c r="FLI11" s="537"/>
      <c r="FLJ11" s="537"/>
      <c r="FLK11" s="537"/>
      <c r="FLL11" s="537"/>
      <c r="FLM11" s="537"/>
      <c r="FLN11" s="537"/>
      <c r="FLO11" s="537"/>
      <c r="FLP11" s="537"/>
      <c r="FLQ11" s="537"/>
      <c r="FLR11" s="537"/>
      <c r="FLS11" s="537"/>
      <c r="FLT11" s="537"/>
      <c r="FLU11" s="537"/>
      <c r="FLV11" s="537"/>
      <c r="FLW11" s="537"/>
      <c r="FLX11" s="537"/>
      <c r="FLY11" s="537"/>
      <c r="FLZ11" s="537"/>
      <c r="FMA11" s="537"/>
      <c r="FMB11" s="537"/>
      <c r="FMC11" s="537"/>
      <c r="FMD11" s="537"/>
      <c r="FME11" s="537"/>
      <c r="FMF11" s="537"/>
      <c r="FMG11" s="537"/>
      <c r="FMH11" s="537"/>
      <c r="FMI11" s="537"/>
      <c r="FMJ11" s="537"/>
      <c r="FMK11" s="537"/>
      <c r="FML11" s="537"/>
      <c r="FMM11" s="537"/>
      <c r="FMN11" s="537"/>
      <c r="FMO11" s="537"/>
      <c r="FMP11" s="537"/>
      <c r="FMQ11" s="537"/>
      <c r="FMR11" s="537"/>
      <c r="FMS11" s="537"/>
      <c r="FMT11" s="537"/>
      <c r="FMU11" s="537"/>
      <c r="FMV11" s="537"/>
      <c r="FMW11" s="537"/>
      <c r="FMX11" s="537"/>
      <c r="FMY11" s="537"/>
      <c r="FMZ11" s="537"/>
      <c r="FNA11" s="537"/>
      <c r="FNB11" s="537"/>
      <c r="FNC11" s="537"/>
      <c r="FND11" s="537"/>
      <c r="FNE11" s="537"/>
      <c r="FNF11" s="537"/>
      <c r="FNG11" s="537"/>
      <c r="FNH11" s="537"/>
      <c r="FNI11" s="537"/>
      <c r="FNJ11" s="537"/>
      <c r="FNK11" s="537"/>
      <c r="FNL11" s="537"/>
      <c r="FNM11" s="537"/>
      <c r="FNN11" s="537"/>
      <c r="FNO11" s="537"/>
      <c r="FNP11" s="537"/>
      <c r="FNQ11" s="537"/>
      <c r="FNR11" s="537"/>
      <c r="FNS11" s="537"/>
      <c r="FNT11" s="537"/>
      <c r="FNU11" s="537"/>
      <c r="FNV11" s="537"/>
      <c r="FNW11" s="537"/>
      <c r="FNX11" s="537"/>
      <c r="FNY11" s="537"/>
      <c r="FNZ11" s="537"/>
      <c r="FOA11" s="537"/>
      <c r="FOB11" s="537"/>
      <c r="FOC11" s="537"/>
      <c r="FOD11" s="537"/>
      <c r="FOE11" s="537"/>
      <c r="FOF11" s="537"/>
      <c r="FOG11" s="537"/>
      <c r="FOH11" s="537"/>
      <c r="FOI11" s="537"/>
      <c r="FOJ11" s="537"/>
      <c r="FOK11" s="537"/>
      <c r="FOL11" s="537"/>
      <c r="FOM11" s="537"/>
      <c r="FON11" s="537"/>
      <c r="FOO11" s="537"/>
      <c r="FOP11" s="537"/>
      <c r="FOQ11" s="537"/>
      <c r="FOR11" s="537"/>
      <c r="FOS11" s="537"/>
      <c r="FOT11" s="537"/>
      <c r="FOU11" s="537"/>
      <c r="FOV11" s="537"/>
      <c r="FOW11" s="537"/>
      <c r="FOX11" s="537"/>
      <c r="FOY11" s="537"/>
      <c r="FOZ11" s="537"/>
      <c r="FPA11" s="537"/>
      <c r="FPB11" s="537"/>
      <c r="FPC11" s="537"/>
      <c r="FPD11" s="537"/>
      <c r="FPE11" s="537"/>
      <c r="FPF11" s="537"/>
      <c r="FPG11" s="537"/>
      <c r="FPH11" s="537"/>
      <c r="FPI11" s="537"/>
      <c r="FPJ11" s="537"/>
      <c r="FPK11" s="537"/>
      <c r="FPL11" s="537"/>
      <c r="FPM11" s="537"/>
      <c r="FPN11" s="537"/>
      <c r="FPO11" s="537"/>
      <c r="FPP11" s="537"/>
      <c r="FPQ11" s="537"/>
      <c r="FPR11" s="537"/>
      <c r="FPS11" s="537"/>
      <c r="FPT11" s="537"/>
      <c r="FPU11" s="537"/>
      <c r="FPV11" s="537"/>
      <c r="FPW11" s="537"/>
      <c r="FPX11" s="537"/>
      <c r="FPY11" s="537"/>
      <c r="FPZ11" s="537"/>
      <c r="FQA11" s="537"/>
      <c r="FQB11" s="537"/>
      <c r="FQC11" s="537"/>
      <c r="FQD11" s="537"/>
      <c r="FQE11" s="537"/>
      <c r="FQF11" s="537"/>
      <c r="FQG11" s="537"/>
      <c r="FQH11" s="537"/>
      <c r="FQI11" s="537"/>
      <c r="FQJ11" s="537"/>
      <c r="FQK11" s="537"/>
      <c r="FQL11" s="537"/>
      <c r="FQM11" s="537"/>
      <c r="FQN11" s="537"/>
      <c r="FQO11" s="537"/>
      <c r="FQP11" s="537"/>
      <c r="FQQ11" s="537"/>
      <c r="FQR11" s="537"/>
      <c r="FQS11" s="537"/>
      <c r="FQT11" s="537"/>
      <c r="FQU11" s="537"/>
      <c r="FQV11" s="537"/>
      <c r="FQW11" s="537"/>
      <c r="FQX11" s="537"/>
      <c r="FQY11" s="537"/>
      <c r="FQZ11" s="537"/>
      <c r="FRA11" s="537"/>
      <c r="FRB11" s="537"/>
      <c r="FRC11" s="537"/>
      <c r="FRD11" s="537"/>
      <c r="FRE11" s="537"/>
      <c r="FRF11" s="537"/>
      <c r="FRG11" s="537"/>
      <c r="FRH11" s="537"/>
      <c r="FRI11" s="537"/>
      <c r="FRJ11" s="537"/>
      <c r="FRK11" s="537"/>
      <c r="FRL11" s="537"/>
      <c r="FRM11" s="537"/>
      <c r="FRN11" s="537"/>
      <c r="FRO11" s="537"/>
      <c r="FRP11" s="537"/>
      <c r="FRQ11" s="537"/>
      <c r="FRR11" s="537"/>
      <c r="FRS11" s="537"/>
      <c r="FRT11" s="537"/>
      <c r="FRU11" s="537"/>
      <c r="FRV11" s="537"/>
      <c r="FRW11" s="537"/>
      <c r="FRX11" s="537"/>
      <c r="FRY11" s="537"/>
      <c r="FRZ11" s="537"/>
      <c r="FSA11" s="537"/>
      <c r="FSB11" s="537"/>
      <c r="FSC11" s="537"/>
      <c r="FSD11" s="537"/>
      <c r="FSE11" s="537"/>
      <c r="FSF11" s="537"/>
      <c r="FSG11" s="537"/>
      <c r="FSH11" s="537"/>
      <c r="FSI11" s="537"/>
      <c r="FSJ11" s="537"/>
      <c r="FSK11" s="537"/>
      <c r="FSL11" s="537"/>
      <c r="FSM11" s="537"/>
      <c r="FSN11" s="537"/>
      <c r="FSO11" s="537"/>
      <c r="FSP11" s="537"/>
      <c r="FSQ11" s="537"/>
      <c r="FSR11" s="537"/>
      <c r="FSS11" s="537"/>
      <c r="FST11" s="537"/>
      <c r="FSU11" s="537"/>
      <c r="FSV11" s="537"/>
      <c r="FSW11" s="537"/>
      <c r="FSX11" s="537"/>
      <c r="FSY11" s="537"/>
      <c r="FSZ11" s="537"/>
      <c r="FTA11" s="537"/>
      <c r="FTB11" s="537"/>
      <c r="FTC11" s="537"/>
      <c r="FTD11" s="537"/>
      <c r="FTE11" s="537"/>
      <c r="FTF11" s="537"/>
      <c r="FTG11" s="537"/>
      <c r="FTH11" s="537"/>
      <c r="FTI11" s="537"/>
      <c r="FTJ11" s="537"/>
      <c r="FTK11" s="537"/>
      <c r="FTL11" s="537"/>
      <c r="FTM11" s="537"/>
      <c r="FTN11" s="537"/>
      <c r="FTO11" s="537"/>
      <c r="FTP11" s="537"/>
      <c r="FTQ11" s="537"/>
      <c r="FTR11" s="537"/>
      <c r="FTS11" s="537"/>
      <c r="FTT11" s="537"/>
      <c r="FTU11" s="537"/>
      <c r="FTV11" s="537"/>
      <c r="FTW11" s="537"/>
      <c r="FTX11" s="537"/>
      <c r="FTY11" s="537"/>
      <c r="FTZ11" s="537"/>
      <c r="FUA11" s="537"/>
      <c r="FUB11" s="537"/>
      <c r="FUC11" s="537"/>
      <c r="FUD11" s="537"/>
      <c r="FUE11" s="537"/>
      <c r="FUF11" s="537"/>
      <c r="FUG11" s="537"/>
      <c r="FUH11" s="537"/>
      <c r="FUI11" s="537"/>
      <c r="FUJ11" s="537"/>
      <c r="FUK11" s="537"/>
      <c r="FUL11" s="537"/>
      <c r="FUM11" s="537"/>
      <c r="FUN11" s="537"/>
      <c r="FUO11" s="537"/>
      <c r="FUP11" s="537"/>
      <c r="FUQ11" s="537"/>
      <c r="FUR11" s="537"/>
      <c r="FUS11" s="537"/>
      <c r="FUT11" s="537"/>
      <c r="FUU11" s="537"/>
      <c r="FUV11" s="537"/>
      <c r="FUW11" s="537"/>
      <c r="FUX11" s="537"/>
      <c r="FUY11" s="537"/>
      <c r="FUZ11" s="537"/>
      <c r="FVA11" s="537"/>
      <c r="FVB11" s="537"/>
      <c r="FVC11" s="537"/>
      <c r="FVD11" s="537"/>
      <c r="FVE11" s="537"/>
      <c r="FVF11" s="537"/>
      <c r="FVG11" s="537"/>
      <c r="FVH11" s="537"/>
      <c r="FVI11" s="537"/>
      <c r="FVJ11" s="537"/>
      <c r="FVK11" s="537"/>
      <c r="FVL11" s="537"/>
      <c r="FVM11" s="537"/>
      <c r="FVN11" s="537"/>
      <c r="FVO11" s="537"/>
      <c r="FVP11" s="537"/>
      <c r="FVQ11" s="537"/>
      <c r="FVR11" s="537"/>
      <c r="FVS11" s="537"/>
      <c r="FVT11" s="537"/>
      <c r="FVU11" s="537"/>
      <c r="FVV11" s="537"/>
      <c r="FVW11" s="537"/>
      <c r="FVX11" s="537"/>
      <c r="FVY11" s="537"/>
      <c r="FVZ11" s="537"/>
      <c r="FWA11" s="537"/>
      <c r="FWB11" s="537"/>
      <c r="FWC11" s="537"/>
      <c r="FWD11" s="537"/>
      <c r="FWE11" s="537"/>
      <c r="FWF11" s="537"/>
      <c r="FWG11" s="537"/>
      <c r="FWH11" s="537"/>
      <c r="FWI11" s="537"/>
      <c r="FWJ11" s="537"/>
      <c r="FWK11" s="537"/>
      <c r="FWL11" s="537"/>
      <c r="FWM11" s="537"/>
      <c r="FWN11" s="537"/>
      <c r="FWO11" s="537"/>
      <c r="FWP11" s="537"/>
      <c r="FWQ11" s="537"/>
      <c r="FWR11" s="537"/>
      <c r="FWS11" s="537"/>
      <c r="FWT11" s="537"/>
      <c r="FWU11" s="537"/>
      <c r="FWV11" s="537"/>
      <c r="FWW11" s="537"/>
      <c r="FWX11" s="537"/>
      <c r="FWY11" s="537"/>
      <c r="FWZ11" s="537"/>
      <c r="FXA11" s="537"/>
      <c r="FXB11" s="537"/>
      <c r="FXC11" s="537"/>
      <c r="FXD11" s="537"/>
      <c r="FXE11" s="537"/>
      <c r="FXF11" s="537"/>
      <c r="FXG11" s="537"/>
      <c r="FXH11" s="537"/>
      <c r="FXI11" s="537"/>
      <c r="FXJ11" s="537"/>
      <c r="FXK11" s="537"/>
      <c r="FXL11" s="537"/>
      <c r="FXM11" s="537"/>
      <c r="FXN11" s="537"/>
      <c r="FXO11" s="537"/>
      <c r="FXP11" s="537"/>
      <c r="FXQ11" s="537"/>
      <c r="FXR11" s="537"/>
      <c r="FXS11" s="537"/>
      <c r="FXT11" s="537"/>
      <c r="FXU11" s="537"/>
      <c r="FXV11" s="537"/>
      <c r="FXW11" s="537"/>
      <c r="FXX11" s="537"/>
      <c r="FXY11" s="537"/>
      <c r="FXZ11" s="537"/>
      <c r="FYA11" s="537"/>
      <c r="FYB11" s="537"/>
      <c r="FYC11" s="537"/>
      <c r="FYD11" s="537"/>
      <c r="FYE11" s="537"/>
      <c r="FYF11" s="537"/>
      <c r="FYG11" s="537"/>
      <c r="FYH11" s="537"/>
      <c r="FYI11" s="537"/>
      <c r="FYJ11" s="537"/>
      <c r="FYK11" s="537"/>
      <c r="FYL11" s="537"/>
      <c r="FYM11" s="537"/>
      <c r="FYN11" s="537"/>
      <c r="FYO11" s="537"/>
      <c r="FYP11" s="537"/>
      <c r="FYQ11" s="537"/>
      <c r="FYR11" s="537"/>
      <c r="FYS11" s="537"/>
      <c r="FYT11" s="537"/>
      <c r="FYU11" s="537"/>
      <c r="FYV11" s="537"/>
      <c r="FYW11" s="537"/>
      <c r="FYX11" s="537"/>
      <c r="FYY11" s="537"/>
      <c r="FYZ11" s="537"/>
      <c r="FZA11" s="537"/>
      <c r="FZB11" s="537"/>
      <c r="FZC11" s="537"/>
      <c r="FZD11" s="537"/>
      <c r="FZE11" s="537"/>
      <c r="FZF11" s="537"/>
      <c r="FZG11" s="537"/>
      <c r="FZH11" s="537"/>
      <c r="FZI11" s="537"/>
      <c r="FZJ11" s="537"/>
      <c r="FZK11" s="537"/>
      <c r="FZL11" s="537"/>
      <c r="FZM11" s="537"/>
      <c r="FZN11" s="537"/>
      <c r="FZO11" s="537"/>
      <c r="FZP11" s="537"/>
      <c r="FZQ11" s="537"/>
      <c r="FZR11" s="537"/>
      <c r="FZS11" s="537"/>
      <c r="FZT11" s="537"/>
      <c r="FZU11" s="537"/>
      <c r="FZV11" s="537"/>
      <c r="FZW11" s="537"/>
      <c r="FZX11" s="537"/>
      <c r="FZY11" s="537"/>
      <c r="FZZ11" s="537"/>
      <c r="GAA11" s="537"/>
      <c r="GAB11" s="537"/>
      <c r="GAC11" s="537"/>
      <c r="GAD11" s="537"/>
      <c r="GAE11" s="537"/>
      <c r="GAF11" s="537"/>
      <c r="GAG11" s="537"/>
      <c r="GAH11" s="537"/>
      <c r="GAI11" s="537"/>
      <c r="GAJ11" s="537"/>
      <c r="GAK11" s="537"/>
      <c r="GAL11" s="537"/>
      <c r="GAM11" s="537"/>
      <c r="GAN11" s="537"/>
      <c r="GAO11" s="537"/>
      <c r="GAP11" s="537"/>
      <c r="GAQ11" s="537"/>
      <c r="GAR11" s="537"/>
      <c r="GAS11" s="537"/>
      <c r="GAT11" s="537"/>
      <c r="GAU11" s="537"/>
      <c r="GAV11" s="537"/>
      <c r="GAW11" s="537"/>
      <c r="GAX11" s="537"/>
      <c r="GAY11" s="537"/>
      <c r="GAZ11" s="537"/>
      <c r="GBA11" s="537"/>
      <c r="GBB11" s="537"/>
      <c r="GBC11" s="537"/>
      <c r="GBD11" s="537"/>
      <c r="GBE11" s="537"/>
      <c r="GBF11" s="537"/>
      <c r="GBG11" s="537"/>
      <c r="GBH11" s="537"/>
      <c r="GBI11" s="537"/>
      <c r="GBJ11" s="537"/>
      <c r="GBK11" s="537"/>
      <c r="GBL11" s="537"/>
      <c r="GBM11" s="537"/>
      <c r="GBN11" s="537"/>
      <c r="GBO11" s="537"/>
      <c r="GBP11" s="537"/>
      <c r="GBQ11" s="537"/>
      <c r="GBR11" s="537"/>
      <c r="GBS11" s="537"/>
      <c r="GBT11" s="537"/>
      <c r="GBU11" s="537"/>
      <c r="GBV11" s="537"/>
      <c r="GBW11" s="537"/>
      <c r="GBX11" s="537"/>
      <c r="GBY11" s="537"/>
      <c r="GBZ11" s="537"/>
      <c r="GCA11" s="537"/>
      <c r="GCB11" s="537"/>
      <c r="GCC11" s="537"/>
      <c r="GCD11" s="537"/>
      <c r="GCE11" s="537"/>
      <c r="GCF11" s="537"/>
      <c r="GCG11" s="537"/>
      <c r="GCH11" s="537"/>
      <c r="GCI11" s="537"/>
      <c r="GCJ11" s="537"/>
      <c r="GCK11" s="537"/>
      <c r="GCL11" s="537"/>
      <c r="GCM11" s="537"/>
      <c r="GCN11" s="537"/>
      <c r="GCO11" s="537"/>
      <c r="GCP11" s="537"/>
      <c r="GCQ11" s="537"/>
      <c r="GCR11" s="537"/>
      <c r="GCS11" s="537"/>
      <c r="GCT11" s="537"/>
      <c r="GCU11" s="537"/>
      <c r="GCV11" s="537"/>
      <c r="GCW11" s="537"/>
      <c r="GCX11" s="537"/>
      <c r="GCY11" s="537"/>
      <c r="GCZ11" s="537"/>
      <c r="GDA11" s="537"/>
      <c r="GDB11" s="537"/>
      <c r="GDC11" s="537"/>
      <c r="GDD11" s="537"/>
      <c r="GDE11" s="537"/>
      <c r="GDF11" s="537"/>
      <c r="GDG11" s="537"/>
      <c r="GDH11" s="537"/>
      <c r="GDI11" s="537"/>
      <c r="GDJ11" s="537"/>
      <c r="GDK11" s="537"/>
      <c r="GDL11" s="537"/>
      <c r="GDM11" s="537"/>
      <c r="GDN11" s="537"/>
      <c r="GDO11" s="537"/>
      <c r="GDP11" s="537"/>
      <c r="GDQ11" s="537"/>
      <c r="GDR11" s="537"/>
      <c r="GDS11" s="537"/>
      <c r="GDT11" s="537"/>
      <c r="GDU11" s="537"/>
      <c r="GDV11" s="537"/>
      <c r="GDW11" s="537"/>
      <c r="GDX11" s="537"/>
      <c r="GDY11" s="537"/>
      <c r="GDZ11" s="537"/>
      <c r="GEA11" s="537"/>
      <c r="GEB11" s="537"/>
      <c r="GEC11" s="537"/>
      <c r="GED11" s="537"/>
      <c r="GEE11" s="537"/>
      <c r="GEF11" s="537"/>
      <c r="GEG11" s="537"/>
      <c r="GEH11" s="537"/>
      <c r="GEI11" s="537"/>
      <c r="GEJ11" s="537"/>
      <c r="GEK11" s="537"/>
      <c r="GEL11" s="537"/>
      <c r="GEM11" s="537"/>
      <c r="GEN11" s="537"/>
      <c r="GEO11" s="537"/>
      <c r="GEP11" s="537"/>
      <c r="GEQ11" s="537"/>
      <c r="GER11" s="537"/>
      <c r="GES11" s="537"/>
      <c r="GET11" s="537"/>
      <c r="GEU11" s="537"/>
      <c r="GEV11" s="537"/>
      <c r="GEW11" s="537"/>
      <c r="GEX11" s="537"/>
      <c r="GEY11" s="537"/>
      <c r="GEZ11" s="537"/>
      <c r="GFA11" s="537"/>
      <c r="GFB11" s="537"/>
      <c r="GFC11" s="537"/>
      <c r="GFD11" s="537"/>
      <c r="GFE11" s="537"/>
      <c r="GFF11" s="537"/>
      <c r="GFG11" s="537"/>
      <c r="GFH11" s="537"/>
      <c r="GFI11" s="537"/>
      <c r="GFJ11" s="537"/>
      <c r="GFK11" s="537"/>
      <c r="GFL11" s="537"/>
      <c r="GFM11" s="537"/>
      <c r="GFN11" s="537"/>
      <c r="GFO11" s="537"/>
      <c r="GFP11" s="537"/>
      <c r="GFQ11" s="537"/>
      <c r="GFR11" s="537"/>
      <c r="GFS11" s="537"/>
      <c r="GFT11" s="537"/>
      <c r="GFU11" s="537"/>
      <c r="GFV11" s="537"/>
      <c r="GFW11" s="537"/>
      <c r="GFX11" s="537"/>
      <c r="GFY11" s="537"/>
      <c r="GFZ11" s="537"/>
      <c r="GGA11" s="537"/>
      <c r="GGB11" s="537"/>
      <c r="GGC11" s="537"/>
      <c r="GGD11" s="537"/>
      <c r="GGE11" s="537"/>
      <c r="GGF11" s="537"/>
      <c r="GGG11" s="537"/>
      <c r="GGH11" s="537"/>
      <c r="GGI11" s="537"/>
      <c r="GGJ11" s="537"/>
      <c r="GGK11" s="537"/>
      <c r="GGL11" s="537"/>
      <c r="GGM11" s="537"/>
      <c r="GGN11" s="537"/>
      <c r="GGO11" s="537"/>
      <c r="GGP11" s="537"/>
      <c r="GGQ11" s="537"/>
      <c r="GGR11" s="537"/>
      <c r="GGS11" s="537"/>
      <c r="GGT11" s="537"/>
      <c r="GGU11" s="537"/>
      <c r="GGV11" s="537"/>
      <c r="GGW11" s="537"/>
      <c r="GGX11" s="537"/>
      <c r="GGY11" s="537"/>
      <c r="GGZ11" s="537"/>
      <c r="GHA11" s="537"/>
      <c r="GHB11" s="537"/>
      <c r="GHC11" s="537"/>
      <c r="GHD11" s="537"/>
      <c r="GHE11" s="537"/>
      <c r="GHF11" s="537"/>
      <c r="GHG11" s="537"/>
      <c r="GHH11" s="537"/>
      <c r="GHI11" s="537"/>
      <c r="GHJ11" s="537"/>
      <c r="GHK11" s="537"/>
      <c r="GHL11" s="537"/>
      <c r="GHM11" s="537"/>
      <c r="GHN11" s="537"/>
      <c r="GHO11" s="537"/>
      <c r="GHP11" s="537"/>
      <c r="GHQ11" s="537"/>
      <c r="GHR11" s="537"/>
      <c r="GHS11" s="537"/>
      <c r="GHT11" s="537"/>
      <c r="GHU11" s="537"/>
      <c r="GHV11" s="537"/>
      <c r="GHW11" s="537"/>
      <c r="GHX11" s="537"/>
      <c r="GHY11" s="537"/>
      <c r="GHZ11" s="537"/>
      <c r="GIA11" s="537"/>
      <c r="GIB11" s="537"/>
      <c r="GIC11" s="537"/>
      <c r="GID11" s="537"/>
      <c r="GIE11" s="537"/>
      <c r="GIF11" s="537"/>
      <c r="GIG11" s="537"/>
      <c r="GIH11" s="537"/>
      <c r="GII11" s="537"/>
      <c r="GIJ11" s="537"/>
      <c r="GIK11" s="537"/>
      <c r="GIL11" s="537"/>
      <c r="GIM11" s="537"/>
      <c r="GIN11" s="537"/>
      <c r="GIO11" s="537"/>
      <c r="GIP11" s="537"/>
      <c r="GIQ11" s="537"/>
      <c r="GIR11" s="537"/>
      <c r="GIS11" s="537"/>
      <c r="GIT11" s="537"/>
      <c r="GIU11" s="537"/>
      <c r="GIV11" s="537"/>
      <c r="GIW11" s="537"/>
      <c r="GIX11" s="537"/>
      <c r="GIY11" s="537"/>
      <c r="GIZ11" s="537"/>
      <c r="GJA11" s="537"/>
      <c r="GJB11" s="537"/>
      <c r="GJC11" s="537"/>
      <c r="GJD11" s="537"/>
      <c r="GJE11" s="537"/>
      <c r="GJF11" s="537"/>
      <c r="GJG11" s="537"/>
      <c r="GJH11" s="537"/>
      <c r="GJI11" s="537"/>
      <c r="GJJ11" s="537"/>
      <c r="GJK11" s="537"/>
      <c r="GJL11" s="537"/>
      <c r="GJM11" s="537"/>
      <c r="GJN11" s="537"/>
      <c r="GJO11" s="537"/>
      <c r="GJP11" s="537"/>
      <c r="GJQ11" s="537"/>
      <c r="GJR11" s="537"/>
      <c r="GJS11" s="537"/>
      <c r="GJT11" s="537"/>
      <c r="GJU11" s="537"/>
      <c r="GJV11" s="537"/>
      <c r="GJW11" s="537"/>
      <c r="GJX11" s="537"/>
      <c r="GJY11" s="537"/>
      <c r="GJZ11" s="537"/>
      <c r="GKA11" s="537"/>
      <c r="GKB11" s="537"/>
      <c r="GKC11" s="537"/>
      <c r="GKD11" s="537"/>
      <c r="GKE11" s="537"/>
      <c r="GKF11" s="537"/>
      <c r="GKG11" s="537"/>
      <c r="GKH11" s="537"/>
      <c r="GKI11" s="537"/>
      <c r="GKJ11" s="537"/>
      <c r="GKK11" s="537"/>
      <c r="GKL11" s="537"/>
      <c r="GKM11" s="537"/>
      <c r="GKN11" s="537"/>
      <c r="GKO11" s="537"/>
      <c r="GKP11" s="537"/>
      <c r="GKQ11" s="537"/>
      <c r="GKR11" s="537"/>
      <c r="GKS11" s="537"/>
      <c r="GKT11" s="537"/>
      <c r="GKU11" s="537"/>
      <c r="GKV11" s="537"/>
      <c r="GKW11" s="537"/>
      <c r="GKX11" s="537"/>
      <c r="GKY11" s="537"/>
      <c r="GKZ11" s="537"/>
      <c r="GLA11" s="537"/>
      <c r="GLB11" s="537"/>
      <c r="GLC11" s="537"/>
      <c r="GLD11" s="537"/>
      <c r="GLE11" s="537"/>
      <c r="GLF11" s="537"/>
      <c r="GLG11" s="537"/>
      <c r="GLH11" s="537"/>
      <c r="GLI11" s="537"/>
      <c r="GLJ11" s="537"/>
      <c r="GLK11" s="537"/>
      <c r="GLL11" s="537"/>
      <c r="GLM11" s="537"/>
      <c r="GLN11" s="537"/>
      <c r="GLO11" s="537"/>
      <c r="GLP11" s="537"/>
      <c r="GLQ11" s="537"/>
      <c r="GLR11" s="537"/>
      <c r="GLS11" s="537"/>
      <c r="GLT11" s="537"/>
      <c r="GLU11" s="537"/>
      <c r="GLV11" s="537"/>
      <c r="GLW11" s="537"/>
      <c r="GLX11" s="537"/>
      <c r="GLY11" s="537"/>
      <c r="GLZ11" s="537"/>
      <c r="GMA11" s="537"/>
      <c r="GMB11" s="537"/>
      <c r="GMC11" s="537"/>
      <c r="GMD11" s="537"/>
      <c r="GME11" s="537"/>
      <c r="GMF11" s="537"/>
      <c r="GMG11" s="537"/>
      <c r="GMH11" s="537"/>
      <c r="GMI11" s="537"/>
      <c r="GMJ11" s="537"/>
      <c r="GMK11" s="537"/>
      <c r="GML11" s="537"/>
      <c r="GMM11" s="537"/>
      <c r="GMN11" s="537"/>
      <c r="GMO11" s="537"/>
      <c r="GMP11" s="537"/>
      <c r="GMQ11" s="537"/>
      <c r="GMR11" s="537"/>
      <c r="GMS11" s="537"/>
      <c r="GMT11" s="537"/>
      <c r="GMU11" s="537"/>
      <c r="GMV11" s="537"/>
      <c r="GMW11" s="537"/>
      <c r="GMX11" s="537"/>
      <c r="GMY11" s="537"/>
      <c r="GMZ11" s="537"/>
      <c r="GNA11" s="537"/>
      <c r="GNB11" s="537"/>
      <c r="GNC11" s="537"/>
      <c r="GND11" s="537"/>
      <c r="GNE11" s="537"/>
      <c r="GNF11" s="537"/>
      <c r="GNG11" s="537"/>
      <c r="GNH11" s="537"/>
      <c r="GNI11" s="537"/>
      <c r="GNJ11" s="537"/>
      <c r="GNK11" s="537"/>
      <c r="GNL11" s="537"/>
      <c r="GNM11" s="537"/>
      <c r="GNN11" s="537"/>
      <c r="GNO11" s="537"/>
      <c r="GNP11" s="537"/>
      <c r="GNQ11" s="537"/>
      <c r="GNR11" s="537"/>
      <c r="GNS11" s="537"/>
      <c r="GNT11" s="537"/>
      <c r="GNU11" s="537"/>
      <c r="GNV11" s="537"/>
      <c r="GNW11" s="537"/>
      <c r="GNX11" s="537"/>
      <c r="GNY11" s="537"/>
      <c r="GNZ11" s="537"/>
      <c r="GOA11" s="537"/>
      <c r="GOB11" s="537"/>
      <c r="GOC11" s="537"/>
      <c r="GOD11" s="537"/>
      <c r="GOE11" s="537"/>
      <c r="GOF11" s="537"/>
      <c r="GOG11" s="537"/>
      <c r="GOH11" s="537"/>
      <c r="GOI11" s="537"/>
      <c r="GOJ11" s="537"/>
      <c r="GOK11" s="537"/>
      <c r="GOL11" s="537"/>
      <c r="GOM11" s="537"/>
      <c r="GON11" s="537"/>
      <c r="GOO11" s="537"/>
      <c r="GOP11" s="537"/>
      <c r="GOQ11" s="537"/>
      <c r="GOR11" s="537"/>
      <c r="GOS11" s="537"/>
      <c r="GOT11" s="537"/>
      <c r="GOU11" s="537"/>
      <c r="GOV11" s="537"/>
      <c r="GOW11" s="537"/>
      <c r="GOX11" s="537"/>
      <c r="GOY11" s="537"/>
      <c r="GOZ11" s="537"/>
      <c r="GPA11" s="537"/>
      <c r="GPB11" s="537"/>
      <c r="GPC11" s="537"/>
      <c r="GPD11" s="537"/>
      <c r="GPE11" s="537"/>
      <c r="GPF11" s="537"/>
      <c r="GPG11" s="537"/>
      <c r="GPH11" s="537"/>
      <c r="GPI11" s="537"/>
      <c r="GPJ11" s="537"/>
      <c r="GPK11" s="537"/>
      <c r="GPL11" s="537"/>
      <c r="GPM11" s="537"/>
      <c r="GPN11" s="537"/>
      <c r="GPO11" s="537"/>
      <c r="GPP11" s="537"/>
      <c r="GPQ11" s="537"/>
      <c r="GPR11" s="537"/>
      <c r="GPS11" s="537"/>
      <c r="GPT11" s="537"/>
      <c r="GPU11" s="537"/>
      <c r="GPV11" s="537"/>
      <c r="GPW11" s="537"/>
      <c r="GPX11" s="537"/>
      <c r="GPY11" s="537"/>
      <c r="GPZ11" s="537"/>
      <c r="GQA11" s="537"/>
      <c r="GQB11" s="537"/>
      <c r="GQC11" s="537"/>
      <c r="GQD11" s="537"/>
      <c r="GQE11" s="537"/>
      <c r="GQF11" s="537"/>
      <c r="GQG11" s="537"/>
      <c r="GQH11" s="537"/>
      <c r="GQI11" s="537"/>
      <c r="GQJ11" s="537"/>
      <c r="GQK11" s="537"/>
      <c r="GQL11" s="537"/>
      <c r="GQM11" s="537"/>
      <c r="GQN11" s="537"/>
      <c r="GQO11" s="537"/>
      <c r="GQP11" s="537"/>
      <c r="GQQ11" s="537"/>
      <c r="GQR11" s="537"/>
      <c r="GQS11" s="537"/>
      <c r="GQT11" s="537"/>
      <c r="GQU11" s="537"/>
      <c r="GQV11" s="537"/>
      <c r="GQW11" s="537"/>
      <c r="GQX11" s="537"/>
      <c r="GQY11" s="537"/>
      <c r="GQZ11" s="537"/>
      <c r="GRA11" s="537"/>
      <c r="GRB11" s="537"/>
      <c r="GRC11" s="537"/>
      <c r="GRD11" s="537"/>
      <c r="GRE11" s="537"/>
      <c r="GRF11" s="537"/>
      <c r="GRG11" s="537"/>
      <c r="GRH11" s="537"/>
      <c r="GRI11" s="537"/>
      <c r="GRJ11" s="537"/>
      <c r="GRK11" s="537"/>
      <c r="GRL11" s="537"/>
      <c r="GRM11" s="537"/>
      <c r="GRN11" s="537"/>
      <c r="GRO11" s="537"/>
      <c r="GRP11" s="537"/>
      <c r="GRQ11" s="537"/>
      <c r="GRR11" s="537"/>
      <c r="GRS11" s="537"/>
      <c r="GRT11" s="537"/>
      <c r="GRU11" s="537"/>
      <c r="GRV11" s="537"/>
      <c r="GRW11" s="537"/>
      <c r="GRX11" s="537"/>
      <c r="GRY11" s="537"/>
      <c r="GRZ11" s="537"/>
      <c r="GSA11" s="537"/>
      <c r="GSB11" s="537"/>
      <c r="GSC11" s="537"/>
      <c r="GSD11" s="537"/>
      <c r="GSE11" s="537"/>
      <c r="GSF11" s="537"/>
      <c r="GSG11" s="537"/>
      <c r="GSH11" s="537"/>
      <c r="GSI11" s="537"/>
      <c r="GSJ11" s="537"/>
      <c r="GSK11" s="537"/>
      <c r="GSL11" s="537"/>
      <c r="GSM11" s="537"/>
      <c r="GSN11" s="537"/>
      <c r="GSO11" s="537"/>
      <c r="GSP11" s="537"/>
      <c r="GSQ11" s="537"/>
      <c r="GSR11" s="537"/>
      <c r="GSS11" s="537"/>
      <c r="GST11" s="537"/>
      <c r="GSU11" s="537"/>
      <c r="GSV11" s="537"/>
      <c r="GSW11" s="537"/>
      <c r="GSX11" s="537"/>
      <c r="GSY11" s="537"/>
      <c r="GSZ11" s="537"/>
      <c r="GTA11" s="537"/>
      <c r="GTB11" s="537"/>
      <c r="GTC11" s="537"/>
      <c r="GTD11" s="537"/>
      <c r="GTE11" s="537"/>
      <c r="GTF11" s="537"/>
      <c r="GTG11" s="537"/>
      <c r="GTH11" s="537"/>
      <c r="GTI11" s="537"/>
      <c r="GTJ11" s="537"/>
      <c r="GTK11" s="537"/>
      <c r="GTL11" s="537"/>
      <c r="GTM11" s="537"/>
      <c r="GTN11" s="537"/>
      <c r="GTO11" s="537"/>
      <c r="GTP11" s="537"/>
      <c r="GTQ11" s="537"/>
      <c r="GTR11" s="537"/>
      <c r="GTS11" s="537"/>
      <c r="GTT11" s="537"/>
      <c r="GTU11" s="537"/>
      <c r="GTV11" s="537"/>
      <c r="GTW11" s="537"/>
      <c r="GTX11" s="537"/>
      <c r="GTY11" s="537"/>
      <c r="GTZ11" s="537"/>
      <c r="GUA11" s="537"/>
      <c r="GUB11" s="537"/>
      <c r="GUC11" s="537"/>
      <c r="GUD11" s="537"/>
      <c r="GUE11" s="537"/>
      <c r="GUF11" s="537"/>
      <c r="GUG11" s="537"/>
      <c r="GUH11" s="537"/>
      <c r="GUI11" s="537"/>
      <c r="GUJ11" s="537"/>
      <c r="GUK11" s="537"/>
      <c r="GUL11" s="537"/>
      <c r="GUM11" s="537"/>
      <c r="GUN11" s="537"/>
      <c r="GUO11" s="537"/>
      <c r="GUP11" s="537"/>
      <c r="GUQ11" s="537"/>
      <c r="GUR11" s="537"/>
      <c r="GUS11" s="537"/>
      <c r="GUT11" s="537"/>
      <c r="GUU11" s="537"/>
      <c r="GUV11" s="537"/>
      <c r="GUW11" s="537"/>
      <c r="GUX11" s="537"/>
      <c r="GUY11" s="537"/>
      <c r="GUZ11" s="537"/>
      <c r="GVA11" s="537"/>
      <c r="GVB11" s="537"/>
      <c r="GVC11" s="537"/>
      <c r="GVD11" s="537"/>
      <c r="GVE11" s="537"/>
      <c r="GVF11" s="537"/>
      <c r="GVG11" s="537"/>
      <c r="GVH11" s="537"/>
      <c r="GVI11" s="537"/>
      <c r="GVJ11" s="537"/>
      <c r="GVK11" s="537"/>
      <c r="GVL11" s="537"/>
      <c r="GVM11" s="537"/>
      <c r="GVN11" s="537"/>
      <c r="GVO11" s="537"/>
      <c r="GVP11" s="537"/>
      <c r="GVQ11" s="537"/>
      <c r="GVR11" s="537"/>
      <c r="GVS11" s="537"/>
      <c r="GVT11" s="537"/>
      <c r="GVU11" s="537"/>
      <c r="GVV11" s="537"/>
      <c r="GVW11" s="537"/>
      <c r="GVX11" s="537"/>
      <c r="GVY11" s="537"/>
      <c r="GVZ11" s="537"/>
      <c r="GWA11" s="537"/>
      <c r="GWB11" s="537"/>
      <c r="GWC11" s="537"/>
      <c r="GWD11" s="537"/>
      <c r="GWE11" s="537"/>
      <c r="GWF11" s="537"/>
      <c r="GWG11" s="537"/>
      <c r="GWH11" s="537"/>
      <c r="GWI11" s="537"/>
      <c r="GWJ11" s="537"/>
      <c r="GWK11" s="537"/>
      <c r="GWL11" s="537"/>
      <c r="GWM11" s="537"/>
      <c r="GWN11" s="537"/>
      <c r="GWO11" s="537"/>
      <c r="GWP11" s="537"/>
      <c r="GWQ11" s="537"/>
      <c r="GWR11" s="537"/>
      <c r="GWS11" s="537"/>
      <c r="GWT11" s="537"/>
      <c r="GWU11" s="537"/>
      <c r="GWV11" s="537"/>
      <c r="GWW11" s="537"/>
      <c r="GWX11" s="537"/>
      <c r="GWY11" s="537"/>
      <c r="GWZ11" s="537"/>
      <c r="GXA11" s="537"/>
      <c r="GXB11" s="537"/>
      <c r="GXC11" s="537"/>
      <c r="GXD11" s="537"/>
      <c r="GXE11" s="537"/>
      <c r="GXF11" s="537"/>
      <c r="GXG11" s="537"/>
      <c r="GXH11" s="537"/>
      <c r="GXI11" s="537"/>
      <c r="GXJ11" s="537"/>
      <c r="GXK11" s="537"/>
      <c r="GXL11" s="537"/>
      <c r="GXM11" s="537"/>
      <c r="GXN11" s="537"/>
      <c r="GXO11" s="537"/>
      <c r="GXP11" s="537"/>
      <c r="GXQ11" s="537"/>
      <c r="GXR11" s="537"/>
      <c r="GXS11" s="537"/>
      <c r="GXT11" s="537"/>
      <c r="GXU11" s="537"/>
      <c r="GXV11" s="537"/>
      <c r="GXW11" s="537"/>
      <c r="GXX11" s="537"/>
      <c r="GXY11" s="537"/>
      <c r="GXZ11" s="537"/>
      <c r="GYA11" s="537"/>
      <c r="GYB11" s="537"/>
      <c r="GYC11" s="537"/>
      <c r="GYD11" s="537"/>
      <c r="GYE11" s="537"/>
      <c r="GYF11" s="537"/>
      <c r="GYG11" s="537"/>
      <c r="GYH11" s="537"/>
      <c r="GYI11" s="537"/>
      <c r="GYJ11" s="537"/>
      <c r="GYK11" s="537"/>
      <c r="GYL11" s="537"/>
      <c r="GYM11" s="537"/>
      <c r="GYN11" s="537"/>
      <c r="GYO11" s="537"/>
      <c r="GYP11" s="537"/>
      <c r="GYQ11" s="537"/>
      <c r="GYR11" s="537"/>
      <c r="GYS11" s="537"/>
      <c r="GYT11" s="537"/>
      <c r="GYU11" s="537"/>
      <c r="GYV11" s="537"/>
      <c r="GYW11" s="537"/>
      <c r="GYX11" s="537"/>
      <c r="GYY11" s="537"/>
      <c r="GYZ11" s="537"/>
      <c r="GZA11" s="537"/>
      <c r="GZB11" s="537"/>
      <c r="GZC11" s="537"/>
      <c r="GZD11" s="537"/>
      <c r="GZE11" s="537"/>
      <c r="GZF11" s="537"/>
      <c r="GZG11" s="537"/>
      <c r="GZH11" s="537"/>
      <c r="GZI11" s="537"/>
      <c r="GZJ11" s="537"/>
      <c r="GZK11" s="537"/>
      <c r="GZL11" s="537"/>
      <c r="GZM11" s="537"/>
      <c r="GZN11" s="537"/>
      <c r="GZO11" s="537"/>
      <c r="GZP11" s="537"/>
      <c r="GZQ11" s="537"/>
      <c r="GZR11" s="537"/>
      <c r="GZS11" s="537"/>
      <c r="GZT11" s="537"/>
      <c r="GZU11" s="537"/>
      <c r="GZV11" s="537"/>
      <c r="GZW11" s="537"/>
      <c r="GZX11" s="537"/>
      <c r="GZY11" s="537"/>
      <c r="GZZ11" s="537"/>
      <c r="HAA11" s="537"/>
      <c r="HAB11" s="537"/>
      <c r="HAC11" s="537"/>
      <c r="HAD11" s="537"/>
      <c r="HAE11" s="537"/>
      <c r="HAF11" s="537"/>
      <c r="HAG11" s="537"/>
      <c r="HAH11" s="537"/>
      <c r="HAI11" s="537"/>
      <c r="HAJ11" s="537"/>
      <c r="HAK11" s="537"/>
      <c r="HAL11" s="537"/>
      <c r="HAM11" s="537"/>
      <c r="HAN11" s="537"/>
      <c r="HAO11" s="537"/>
      <c r="HAP11" s="537"/>
      <c r="HAQ11" s="537"/>
      <c r="HAR11" s="537"/>
      <c r="HAS11" s="537"/>
      <c r="HAT11" s="537"/>
      <c r="HAU11" s="537"/>
      <c r="HAV11" s="537"/>
      <c r="HAW11" s="537"/>
      <c r="HAX11" s="537"/>
      <c r="HAY11" s="537"/>
      <c r="HAZ11" s="537"/>
      <c r="HBA11" s="537"/>
      <c r="HBB11" s="537"/>
      <c r="HBC11" s="537"/>
      <c r="HBD11" s="537"/>
      <c r="HBE11" s="537"/>
      <c r="HBF11" s="537"/>
      <c r="HBG11" s="537"/>
      <c r="HBH11" s="537"/>
      <c r="HBI11" s="537"/>
      <c r="HBJ11" s="537"/>
      <c r="HBK11" s="537"/>
      <c r="HBL11" s="537"/>
      <c r="HBM11" s="537"/>
      <c r="HBN11" s="537"/>
      <c r="HBO11" s="537"/>
      <c r="HBP11" s="537"/>
      <c r="HBQ11" s="537"/>
      <c r="HBR11" s="537"/>
      <c r="HBS11" s="537"/>
      <c r="HBT11" s="537"/>
      <c r="HBU11" s="537"/>
      <c r="HBV11" s="537"/>
      <c r="HBW11" s="537"/>
      <c r="HBX11" s="537"/>
      <c r="HBY11" s="537"/>
      <c r="HBZ11" s="537"/>
      <c r="HCA11" s="537"/>
      <c r="HCB11" s="537"/>
      <c r="HCC11" s="537"/>
      <c r="HCD11" s="537"/>
      <c r="HCE11" s="537"/>
      <c r="HCF11" s="537"/>
      <c r="HCG11" s="537"/>
      <c r="HCH11" s="537"/>
      <c r="HCI11" s="537"/>
      <c r="HCJ11" s="537"/>
      <c r="HCK11" s="537"/>
      <c r="HCL11" s="537"/>
      <c r="HCM11" s="537"/>
      <c r="HCN11" s="537"/>
      <c r="HCO11" s="537"/>
      <c r="HCP11" s="537"/>
      <c r="HCQ11" s="537"/>
      <c r="HCR11" s="537"/>
      <c r="HCS11" s="537"/>
      <c r="HCT11" s="537"/>
      <c r="HCU11" s="537"/>
      <c r="HCV11" s="537"/>
      <c r="HCW11" s="537"/>
      <c r="HCX11" s="537"/>
      <c r="HCY11" s="537"/>
      <c r="HCZ11" s="537"/>
      <c r="HDA11" s="537"/>
      <c r="HDB11" s="537"/>
      <c r="HDC11" s="537"/>
      <c r="HDD11" s="537"/>
      <c r="HDE11" s="537"/>
      <c r="HDF11" s="537"/>
      <c r="HDG11" s="537"/>
      <c r="HDH11" s="537"/>
      <c r="HDI11" s="537"/>
      <c r="HDJ11" s="537"/>
      <c r="HDK11" s="537"/>
      <c r="HDL11" s="537"/>
      <c r="HDM11" s="537"/>
      <c r="HDN11" s="537"/>
      <c r="HDO11" s="537"/>
      <c r="HDP11" s="537"/>
      <c r="HDQ11" s="537"/>
      <c r="HDR11" s="537"/>
      <c r="HDS11" s="537"/>
      <c r="HDT11" s="537"/>
      <c r="HDU11" s="537"/>
      <c r="HDV11" s="537"/>
      <c r="HDW11" s="537"/>
      <c r="HDX11" s="537"/>
      <c r="HDY11" s="537"/>
      <c r="HDZ11" s="537"/>
      <c r="HEA11" s="537"/>
      <c r="HEB11" s="537"/>
      <c r="HEC11" s="537"/>
      <c r="HED11" s="537"/>
      <c r="HEE11" s="537"/>
      <c r="HEF11" s="537"/>
      <c r="HEG11" s="537"/>
      <c r="HEH11" s="537"/>
      <c r="HEI11" s="537"/>
      <c r="HEJ11" s="537"/>
      <c r="HEK11" s="537"/>
      <c r="HEL11" s="537"/>
      <c r="HEM11" s="537"/>
      <c r="HEN11" s="537"/>
      <c r="HEO11" s="537"/>
      <c r="HEP11" s="537"/>
      <c r="HEQ11" s="537"/>
      <c r="HER11" s="537"/>
      <c r="HES11" s="537"/>
      <c r="HET11" s="537"/>
      <c r="HEU11" s="537"/>
      <c r="HEV11" s="537"/>
      <c r="HEW11" s="537"/>
      <c r="HEX11" s="537"/>
      <c r="HEY11" s="537"/>
      <c r="HEZ11" s="537"/>
      <c r="HFA11" s="537"/>
      <c r="HFB11" s="537"/>
      <c r="HFC11" s="537"/>
      <c r="HFD11" s="537"/>
      <c r="HFE11" s="537"/>
      <c r="HFF11" s="537"/>
      <c r="HFG11" s="537"/>
      <c r="HFH11" s="537"/>
      <c r="HFI11" s="537"/>
      <c r="HFJ11" s="537"/>
      <c r="HFK11" s="537"/>
      <c r="HFL11" s="537"/>
      <c r="HFM11" s="537"/>
      <c r="HFN11" s="537"/>
      <c r="HFO11" s="537"/>
      <c r="HFP11" s="537"/>
      <c r="HFQ11" s="537"/>
      <c r="HFR11" s="537"/>
      <c r="HFS11" s="537"/>
      <c r="HFT11" s="537"/>
      <c r="HFU11" s="537"/>
      <c r="HFV11" s="537"/>
      <c r="HFW11" s="537"/>
      <c r="HFX11" s="537"/>
      <c r="HFY11" s="537"/>
      <c r="HFZ11" s="537"/>
      <c r="HGA11" s="537"/>
      <c r="HGB11" s="537"/>
      <c r="HGC11" s="537"/>
      <c r="HGD11" s="537"/>
      <c r="HGE11" s="537"/>
      <c r="HGF11" s="537"/>
      <c r="HGG11" s="537"/>
      <c r="HGH11" s="537"/>
      <c r="HGI11" s="537"/>
      <c r="HGJ11" s="537"/>
      <c r="HGK11" s="537"/>
      <c r="HGL11" s="537"/>
      <c r="HGM11" s="537"/>
      <c r="HGN11" s="537"/>
      <c r="HGO11" s="537"/>
      <c r="HGP11" s="537"/>
      <c r="HGQ11" s="537"/>
      <c r="HGR11" s="537"/>
      <c r="HGS11" s="537"/>
      <c r="HGT11" s="537"/>
      <c r="HGU11" s="537"/>
      <c r="HGV11" s="537"/>
      <c r="HGW11" s="537"/>
      <c r="HGX11" s="537"/>
      <c r="HGY11" s="537"/>
      <c r="HGZ11" s="537"/>
      <c r="HHA11" s="537"/>
      <c r="HHB11" s="537"/>
      <c r="HHC11" s="537"/>
      <c r="HHD11" s="537"/>
      <c r="HHE11" s="537"/>
      <c r="HHF11" s="537"/>
      <c r="HHG11" s="537"/>
      <c r="HHH11" s="537"/>
      <c r="HHI11" s="537"/>
      <c r="HHJ11" s="537"/>
      <c r="HHK11" s="537"/>
      <c r="HHL11" s="537"/>
      <c r="HHM11" s="537"/>
      <c r="HHN11" s="537"/>
      <c r="HHO11" s="537"/>
      <c r="HHP11" s="537"/>
      <c r="HHQ11" s="537"/>
      <c r="HHR11" s="537"/>
      <c r="HHS11" s="537"/>
      <c r="HHT11" s="537"/>
      <c r="HHU11" s="537"/>
      <c r="HHV11" s="537"/>
      <c r="HHW11" s="537"/>
      <c r="HHX11" s="537"/>
      <c r="HHY11" s="537"/>
      <c r="HHZ11" s="537"/>
      <c r="HIA11" s="537"/>
      <c r="HIB11" s="537"/>
      <c r="HIC11" s="537"/>
      <c r="HID11" s="537"/>
      <c r="HIE11" s="537"/>
      <c r="HIF11" s="537"/>
      <c r="HIG11" s="537"/>
      <c r="HIH11" s="537"/>
      <c r="HII11" s="537"/>
      <c r="HIJ11" s="537"/>
      <c r="HIK11" s="537"/>
      <c r="HIL11" s="537"/>
      <c r="HIM11" s="537"/>
      <c r="HIN11" s="537"/>
      <c r="HIO11" s="537"/>
      <c r="HIP11" s="537"/>
      <c r="HIQ11" s="537"/>
      <c r="HIR11" s="537"/>
      <c r="HIS11" s="537"/>
      <c r="HIT11" s="537"/>
      <c r="HIU11" s="537"/>
      <c r="HIV11" s="537"/>
      <c r="HIW11" s="537"/>
      <c r="HIX11" s="537"/>
      <c r="HIY11" s="537"/>
      <c r="HIZ11" s="537"/>
      <c r="HJA11" s="537"/>
      <c r="HJB11" s="537"/>
      <c r="HJC11" s="537"/>
      <c r="HJD11" s="537"/>
      <c r="HJE11" s="537"/>
      <c r="HJF11" s="537"/>
      <c r="HJG11" s="537"/>
      <c r="HJH11" s="537"/>
      <c r="HJI11" s="537"/>
      <c r="HJJ11" s="537"/>
      <c r="HJK11" s="537"/>
      <c r="HJL11" s="537"/>
      <c r="HJM11" s="537"/>
      <c r="HJN11" s="537"/>
      <c r="HJO11" s="537"/>
      <c r="HJP11" s="537"/>
      <c r="HJQ11" s="537"/>
      <c r="HJR11" s="537"/>
      <c r="HJS11" s="537"/>
      <c r="HJT11" s="537"/>
      <c r="HJU11" s="537"/>
      <c r="HJV11" s="537"/>
      <c r="HJW11" s="537"/>
      <c r="HJX11" s="537"/>
      <c r="HJY11" s="537"/>
      <c r="HJZ11" s="537"/>
      <c r="HKA11" s="537"/>
      <c r="HKB11" s="537"/>
      <c r="HKC11" s="537"/>
      <c r="HKD11" s="537"/>
      <c r="HKE11" s="537"/>
      <c r="HKF11" s="537"/>
      <c r="HKG11" s="537"/>
      <c r="HKH11" s="537"/>
      <c r="HKI11" s="537"/>
      <c r="HKJ11" s="537"/>
      <c r="HKK11" s="537"/>
      <c r="HKL11" s="537"/>
      <c r="HKM11" s="537"/>
      <c r="HKN11" s="537"/>
      <c r="HKO11" s="537"/>
      <c r="HKP11" s="537"/>
      <c r="HKQ11" s="537"/>
      <c r="HKR11" s="537"/>
      <c r="HKS11" s="537"/>
      <c r="HKT11" s="537"/>
      <c r="HKU11" s="537"/>
      <c r="HKV11" s="537"/>
      <c r="HKW11" s="537"/>
      <c r="HKX11" s="537"/>
      <c r="HKY11" s="537"/>
      <c r="HKZ11" s="537"/>
      <c r="HLA11" s="537"/>
      <c r="HLB11" s="537"/>
      <c r="HLC11" s="537"/>
      <c r="HLD11" s="537"/>
      <c r="HLE11" s="537"/>
      <c r="HLF11" s="537"/>
      <c r="HLG11" s="537"/>
      <c r="HLH11" s="537"/>
      <c r="HLI11" s="537"/>
      <c r="HLJ11" s="537"/>
      <c r="HLK11" s="537"/>
      <c r="HLL11" s="537"/>
      <c r="HLM11" s="537"/>
      <c r="HLN11" s="537"/>
      <c r="HLO11" s="537"/>
      <c r="HLP11" s="537"/>
      <c r="HLQ11" s="537"/>
      <c r="HLR11" s="537"/>
      <c r="HLS11" s="537"/>
      <c r="HLT11" s="537"/>
      <c r="HLU11" s="537"/>
      <c r="HLV11" s="537"/>
      <c r="HLW11" s="537"/>
      <c r="HLX11" s="537"/>
      <c r="HLY11" s="537"/>
      <c r="HLZ11" s="537"/>
      <c r="HMA11" s="537"/>
      <c r="HMB11" s="537"/>
      <c r="HMC11" s="537"/>
      <c r="HMD11" s="537"/>
      <c r="HME11" s="537"/>
      <c r="HMF11" s="537"/>
      <c r="HMG11" s="537"/>
      <c r="HMH11" s="537"/>
      <c r="HMI11" s="537"/>
      <c r="HMJ11" s="537"/>
      <c r="HMK11" s="537"/>
      <c r="HML11" s="537"/>
      <c r="HMM11" s="537"/>
      <c r="HMN11" s="537"/>
      <c r="HMO11" s="537"/>
      <c r="HMP11" s="537"/>
      <c r="HMQ11" s="537"/>
      <c r="HMR11" s="537"/>
      <c r="HMS11" s="537"/>
      <c r="HMT11" s="537"/>
      <c r="HMU11" s="537"/>
      <c r="HMV11" s="537"/>
      <c r="HMW11" s="537"/>
      <c r="HMX11" s="537"/>
      <c r="HMY11" s="537"/>
      <c r="HMZ11" s="537"/>
      <c r="HNA11" s="537"/>
      <c r="HNB11" s="537"/>
      <c r="HNC11" s="537"/>
      <c r="HND11" s="537"/>
      <c r="HNE11" s="537"/>
      <c r="HNF11" s="537"/>
      <c r="HNG11" s="537"/>
      <c r="HNH11" s="537"/>
      <c r="HNI11" s="537"/>
      <c r="HNJ11" s="537"/>
      <c r="HNK11" s="537"/>
      <c r="HNL11" s="537"/>
      <c r="HNM11" s="537"/>
      <c r="HNN11" s="537"/>
      <c r="HNO11" s="537"/>
      <c r="HNP11" s="537"/>
      <c r="HNQ11" s="537"/>
      <c r="HNR11" s="537"/>
      <c r="HNS11" s="537"/>
      <c r="HNT11" s="537"/>
      <c r="HNU11" s="537"/>
      <c r="HNV11" s="537"/>
      <c r="HNW11" s="537"/>
      <c r="HNX11" s="537"/>
      <c r="HNY11" s="537"/>
      <c r="HNZ11" s="537"/>
      <c r="HOA11" s="537"/>
      <c r="HOB11" s="537"/>
      <c r="HOC11" s="537"/>
      <c r="HOD11" s="537"/>
      <c r="HOE11" s="537"/>
      <c r="HOF11" s="537"/>
      <c r="HOG11" s="537"/>
      <c r="HOH11" s="537"/>
      <c r="HOI11" s="537"/>
      <c r="HOJ11" s="537"/>
      <c r="HOK11" s="537"/>
      <c r="HOL11" s="537"/>
      <c r="HOM11" s="537"/>
      <c r="HON11" s="537"/>
      <c r="HOO11" s="537"/>
      <c r="HOP11" s="537"/>
      <c r="HOQ11" s="537"/>
      <c r="HOR11" s="537"/>
      <c r="HOS11" s="537"/>
      <c r="HOT11" s="537"/>
      <c r="HOU11" s="537"/>
      <c r="HOV11" s="537"/>
      <c r="HOW11" s="537"/>
      <c r="HOX11" s="537"/>
      <c r="HOY11" s="537"/>
      <c r="HOZ11" s="537"/>
      <c r="HPA11" s="537"/>
      <c r="HPB11" s="537"/>
      <c r="HPC11" s="537"/>
      <c r="HPD11" s="537"/>
      <c r="HPE11" s="537"/>
      <c r="HPF11" s="537"/>
      <c r="HPG11" s="537"/>
      <c r="HPH11" s="537"/>
      <c r="HPI11" s="537"/>
      <c r="HPJ11" s="537"/>
      <c r="HPK11" s="537"/>
      <c r="HPL11" s="537"/>
      <c r="HPM11" s="537"/>
      <c r="HPN11" s="537"/>
      <c r="HPO11" s="537"/>
      <c r="HPP11" s="537"/>
      <c r="HPQ11" s="537"/>
      <c r="HPR11" s="537"/>
      <c r="HPS11" s="537"/>
      <c r="HPT11" s="537"/>
      <c r="HPU11" s="537"/>
      <c r="HPV11" s="537"/>
      <c r="HPW11" s="537"/>
      <c r="HPX11" s="537"/>
      <c r="HPY11" s="537"/>
      <c r="HPZ11" s="537"/>
      <c r="HQA11" s="537"/>
      <c r="HQB11" s="537"/>
      <c r="HQC11" s="537"/>
      <c r="HQD11" s="537"/>
      <c r="HQE11" s="537"/>
      <c r="HQF11" s="537"/>
      <c r="HQG11" s="537"/>
      <c r="HQH11" s="537"/>
      <c r="HQI11" s="537"/>
      <c r="HQJ11" s="537"/>
      <c r="HQK11" s="537"/>
      <c r="HQL11" s="537"/>
      <c r="HQM11" s="537"/>
      <c r="HQN11" s="537"/>
      <c r="HQO11" s="537"/>
      <c r="HQP11" s="537"/>
      <c r="HQQ11" s="537"/>
      <c r="HQR11" s="537"/>
      <c r="HQS11" s="537"/>
      <c r="HQT11" s="537"/>
      <c r="HQU11" s="537"/>
      <c r="HQV11" s="537"/>
      <c r="HQW11" s="537"/>
      <c r="HQX11" s="537"/>
      <c r="HQY11" s="537"/>
      <c r="HQZ11" s="537"/>
      <c r="HRA11" s="537"/>
      <c r="HRB11" s="537"/>
      <c r="HRC11" s="537"/>
      <c r="HRD11" s="537"/>
      <c r="HRE11" s="537"/>
      <c r="HRF11" s="537"/>
      <c r="HRG11" s="537"/>
      <c r="HRH11" s="537"/>
      <c r="HRI11" s="537"/>
      <c r="HRJ11" s="537"/>
      <c r="HRK11" s="537"/>
      <c r="HRL11" s="537"/>
      <c r="HRM11" s="537"/>
      <c r="HRN11" s="537"/>
      <c r="HRO11" s="537"/>
      <c r="HRP11" s="537"/>
      <c r="HRQ11" s="537"/>
      <c r="HRR11" s="537"/>
      <c r="HRS11" s="537"/>
      <c r="HRT11" s="537"/>
      <c r="HRU11" s="537"/>
      <c r="HRV11" s="537"/>
      <c r="HRW11" s="537"/>
      <c r="HRX11" s="537"/>
      <c r="HRY11" s="537"/>
      <c r="HRZ11" s="537"/>
      <c r="HSA11" s="537"/>
      <c r="HSB11" s="537"/>
      <c r="HSC11" s="537"/>
      <c r="HSD11" s="537"/>
      <c r="HSE11" s="537"/>
      <c r="HSF11" s="537"/>
      <c r="HSG11" s="537"/>
      <c r="HSH11" s="537"/>
      <c r="HSI11" s="537"/>
      <c r="HSJ11" s="537"/>
      <c r="HSK11" s="537"/>
      <c r="HSL11" s="537"/>
      <c r="HSM11" s="537"/>
      <c r="HSN11" s="537"/>
      <c r="HSO11" s="537"/>
      <c r="HSP11" s="537"/>
      <c r="HSQ11" s="537"/>
      <c r="HSR11" s="537"/>
      <c r="HSS11" s="537"/>
      <c r="HST11" s="537"/>
      <c r="HSU11" s="537"/>
      <c r="HSV11" s="537"/>
      <c r="HSW11" s="537"/>
      <c r="HSX11" s="537"/>
      <c r="HSY11" s="537"/>
      <c r="HSZ11" s="537"/>
      <c r="HTA11" s="537"/>
      <c r="HTB11" s="537"/>
      <c r="HTC11" s="537"/>
      <c r="HTD11" s="537"/>
      <c r="HTE11" s="537"/>
      <c r="HTF11" s="537"/>
      <c r="HTG11" s="537"/>
      <c r="HTH11" s="537"/>
      <c r="HTI11" s="537"/>
      <c r="HTJ11" s="537"/>
      <c r="HTK11" s="537"/>
      <c r="HTL11" s="537"/>
      <c r="HTM11" s="537"/>
      <c r="HTN11" s="537"/>
      <c r="HTO11" s="537"/>
      <c r="HTP11" s="537"/>
      <c r="HTQ11" s="537"/>
      <c r="HTR11" s="537"/>
      <c r="HTS11" s="537"/>
      <c r="HTT11" s="537"/>
      <c r="HTU11" s="537"/>
      <c r="HTV11" s="537"/>
      <c r="HTW11" s="537"/>
      <c r="HTX11" s="537"/>
      <c r="HTY11" s="537"/>
      <c r="HTZ11" s="537"/>
      <c r="HUA11" s="537"/>
      <c r="HUB11" s="537"/>
      <c r="HUC11" s="537"/>
      <c r="HUD11" s="537"/>
      <c r="HUE11" s="537"/>
      <c r="HUF11" s="537"/>
      <c r="HUG11" s="537"/>
      <c r="HUH11" s="537"/>
      <c r="HUI11" s="537"/>
      <c r="HUJ11" s="537"/>
      <c r="HUK11" s="537"/>
      <c r="HUL11" s="537"/>
      <c r="HUM11" s="537"/>
      <c r="HUN11" s="537"/>
      <c r="HUO11" s="537"/>
      <c r="HUP11" s="537"/>
      <c r="HUQ11" s="537"/>
      <c r="HUR11" s="537"/>
      <c r="HUS11" s="537"/>
      <c r="HUT11" s="537"/>
      <c r="HUU11" s="537"/>
      <c r="HUV11" s="537"/>
      <c r="HUW11" s="537"/>
      <c r="HUX11" s="537"/>
      <c r="HUY11" s="537"/>
      <c r="HUZ11" s="537"/>
      <c r="HVA11" s="537"/>
      <c r="HVB11" s="537"/>
      <c r="HVC11" s="537"/>
      <c r="HVD11" s="537"/>
      <c r="HVE11" s="537"/>
      <c r="HVF11" s="537"/>
      <c r="HVG11" s="537"/>
      <c r="HVH11" s="537"/>
      <c r="HVI11" s="537"/>
      <c r="HVJ11" s="537"/>
      <c r="HVK11" s="537"/>
      <c r="HVL11" s="537"/>
      <c r="HVM11" s="537"/>
      <c r="HVN11" s="537"/>
      <c r="HVO11" s="537"/>
      <c r="HVP11" s="537"/>
      <c r="HVQ11" s="537"/>
      <c r="HVR11" s="537"/>
      <c r="HVS11" s="537"/>
      <c r="HVT11" s="537"/>
      <c r="HVU11" s="537"/>
      <c r="HVV11" s="537"/>
      <c r="HVW11" s="537"/>
      <c r="HVX11" s="537"/>
      <c r="HVY11" s="537"/>
      <c r="HVZ11" s="537"/>
      <c r="HWA11" s="537"/>
      <c r="HWB11" s="537"/>
      <c r="HWC11" s="537"/>
      <c r="HWD11" s="537"/>
      <c r="HWE11" s="537"/>
      <c r="HWF11" s="537"/>
      <c r="HWG11" s="537"/>
      <c r="HWH11" s="537"/>
      <c r="HWI11" s="537"/>
      <c r="HWJ11" s="537"/>
      <c r="HWK11" s="537"/>
      <c r="HWL11" s="537"/>
      <c r="HWM11" s="537"/>
      <c r="HWN11" s="537"/>
      <c r="HWO11" s="537"/>
      <c r="HWP11" s="537"/>
      <c r="HWQ11" s="537"/>
      <c r="HWR11" s="537"/>
      <c r="HWS11" s="537"/>
      <c r="HWT11" s="537"/>
      <c r="HWU11" s="537"/>
      <c r="HWV11" s="537"/>
      <c r="HWW11" s="537"/>
      <c r="HWX11" s="537"/>
      <c r="HWY11" s="537"/>
      <c r="HWZ11" s="537"/>
      <c r="HXA11" s="537"/>
      <c r="HXB11" s="537"/>
      <c r="HXC11" s="537"/>
      <c r="HXD11" s="537"/>
      <c r="HXE11" s="537"/>
      <c r="HXF11" s="537"/>
      <c r="HXG11" s="537"/>
      <c r="HXH11" s="537"/>
      <c r="HXI11" s="537"/>
      <c r="HXJ11" s="537"/>
      <c r="HXK11" s="537"/>
      <c r="HXL11" s="537"/>
      <c r="HXM11" s="537"/>
      <c r="HXN11" s="537"/>
      <c r="HXO11" s="537"/>
      <c r="HXP11" s="537"/>
      <c r="HXQ11" s="537"/>
      <c r="HXR11" s="537"/>
      <c r="HXS11" s="537"/>
      <c r="HXT11" s="537"/>
      <c r="HXU11" s="537"/>
      <c r="HXV11" s="537"/>
      <c r="HXW11" s="537"/>
      <c r="HXX11" s="537"/>
      <c r="HXY11" s="537"/>
      <c r="HXZ11" s="537"/>
      <c r="HYA11" s="537"/>
      <c r="HYB11" s="537"/>
      <c r="HYC11" s="537"/>
      <c r="HYD11" s="537"/>
      <c r="HYE11" s="537"/>
      <c r="HYF11" s="537"/>
      <c r="HYG11" s="537"/>
      <c r="HYH11" s="537"/>
      <c r="HYI11" s="537"/>
      <c r="HYJ11" s="537"/>
      <c r="HYK11" s="537"/>
      <c r="HYL11" s="537"/>
      <c r="HYM11" s="537"/>
      <c r="HYN11" s="537"/>
      <c r="HYO11" s="537"/>
      <c r="HYP11" s="537"/>
      <c r="HYQ11" s="537"/>
      <c r="HYR11" s="537"/>
      <c r="HYS11" s="537"/>
      <c r="HYT11" s="537"/>
      <c r="HYU11" s="537"/>
      <c r="HYV11" s="537"/>
      <c r="HYW11" s="537"/>
      <c r="HYX11" s="537"/>
      <c r="HYY11" s="537"/>
      <c r="HYZ11" s="537"/>
      <c r="HZA11" s="537"/>
      <c r="HZB11" s="537"/>
      <c r="HZC11" s="537"/>
      <c r="HZD11" s="537"/>
      <c r="HZE11" s="537"/>
      <c r="HZF11" s="537"/>
      <c r="HZG11" s="537"/>
      <c r="HZH11" s="537"/>
      <c r="HZI11" s="537"/>
      <c r="HZJ11" s="537"/>
      <c r="HZK11" s="537"/>
      <c r="HZL11" s="537"/>
      <c r="HZM11" s="537"/>
      <c r="HZN11" s="537"/>
      <c r="HZO11" s="537"/>
      <c r="HZP11" s="537"/>
      <c r="HZQ11" s="537"/>
      <c r="HZR11" s="537"/>
      <c r="HZS11" s="537"/>
      <c r="HZT11" s="537"/>
      <c r="HZU11" s="537"/>
      <c r="HZV11" s="537"/>
      <c r="HZW11" s="537"/>
      <c r="HZX11" s="537"/>
      <c r="HZY11" s="537"/>
      <c r="HZZ11" s="537"/>
      <c r="IAA11" s="537"/>
      <c r="IAB11" s="537"/>
      <c r="IAC11" s="537"/>
      <c r="IAD11" s="537"/>
      <c r="IAE11" s="537"/>
      <c r="IAF11" s="537"/>
      <c r="IAG11" s="537"/>
      <c r="IAH11" s="537"/>
      <c r="IAI11" s="537"/>
      <c r="IAJ11" s="537"/>
      <c r="IAK11" s="537"/>
      <c r="IAL11" s="537"/>
      <c r="IAM11" s="537"/>
      <c r="IAN11" s="537"/>
      <c r="IAO11" s="537"/>
      <c r="IAP11" s="537"/>
      <c r="IAQ11" s="537"/>
      <c r="IAR11" s="537"/>
      <c r="IAS11" s="537"/>
      <c r="IAT11" s="537"/>
      <c r="IAU11" s="537"/>
      <c r="IAV11" s="537"/>
      <c r="IAW11" s="537"/>
      <c r="IAX11" s="537"/>
      <c r="IAY11" s="537"/>
      <c r="IAZ11" s="537"/>
      <c r="IBA11" s="537"/>
      <c r="IBB11" s="537"/>
      <c r="IBC11" s="537"/>
      <c r="IBD11" s="537"/>
      <c r="IBE11" s="537"/>
      <c r="IBF11" s="537"/>
      <c r="IBG11" s="537"/>
      <c r="IBH11" s="537"/>
      <c r="IBI11" s="537"/>
      <c r="IBJ11" s="537"/>
      <c r="IBK11" s="537"/>
      <c r="IBL11" s="537"/>
      <c r="IBM11" s="537"/>
      <c r="IBN11" s="537"/>
      <c r="IBO11" s="537"/>
      <c r="IBP11" s="537"/>
      <c r="IBQ11" s="537"/>
      <c r="IBR11" s="537"/>
      <c r="IBS11" s="537"/>
      <c r="IBT11" s="537"/>
      <c r="IBU11" s="537"/>
      <c r="IBV11" s="537"/>
      <c r="IBW11" s="537"/>
      <c r="IBX11" s="537"/>
      <c r="IBY11" s="537"/>
      <c r="IBZ11" s="537"/>
      <c r="ICA11" s="537"/>
      <c r="ICB11" s="537"/>
      <c r="ICC11" s="537"/>
      <c r="ICD11" s="537"/>
      <c r="ICE11" s="537"/>
      <c r="ICF11" s="537"/>
      <c r="ICG11" s="537"/>
      <c r="ICH11" s="537"/>
      <c r="ICI11" s="537"/>
      <c r="ICJ11" s="537"/>
      <c r="ICK11" s="537"/>
      <c r="ICL11" s="537"/>
      <c r="ICM11" s="537"/>
      <c r="ICN11" s="537"/>
      <c r="ICO11" s="537"/>
      <c r="ICP11" s="537"/>
      <c r="ICQ11" s="537"/>
      <c r="ICR11" s="537"/>
      <c r="ICS11" s="537"/>
      <c r="ICT11" s="537"/>
      <c r="ICU11" s="537"/>
      <c r="ICV11" s="537"/>
      <c r="ICW11" s="537"/>
      <c r="ICX11" s="537"/>
      <c r="ICY11" s="537"/>
      <c r="ICZ11" s="537"/>
      <c r="IDA11" s="537"/>
      <c r="IDB11" s="537"/>
      <c r="IDC11" s="537"/>
      <c r="IDD11" s="537"/>
      <c r="IDE11" s="537"/>
      <c r="IDF11" s="537"/>
      <c r="IDG11" s="537"/>
      <c r="IDH11" s="537"/>
      <c r="IDI11" s="537"/>
      <c r="IDJ11" s="537"/>
      <c r="IDK11" s="537"/>
      <c r="IDL11" s="537"/>
      <c r="IDM11" s="537"/>
      <c r="IDN11" s="537"/>
      <c r="IDO11" s="537"/>
      <c r="IDP11" s="537"/>
      <c r="IDQ11" s="537"/>
      <c r="IDR11" s="537"/>
      <c r="IDS11" s="537"/>
      <c r="IDT11" s="537"/>
      <c r="IDU11" s="537"/>
      <c r="IDV11" s="537"/>
      <c r="IDW11" s="537"/>
      <c r="IDX11" s="537"/>
      <c r="IDY11" s="537"/>
      <c r="IDZ11" s="537"/>
      <c r="IEA11" s="537"/>
      <c r="IEB11" s="537"/>
      <c r="IEC11" s="537"/>
      <c r="IED11" s="537"/>
      <c r="IEE11" s="537"/>
      <c r="IEF11" s="537"/>
      <c r="IEG11" s="537"/>
      <c r="IEH11" s="537"/>
      <c r="IEI11" s="537"/>
      <c r="IEJ11" s="537"/>
      <c r="IEK11" s="537"/>
      <c r="IEL11" s="537"/>
      <c r="IEM11" s="537"/>
      <c r="IEN11" s="537"/>
      <c r="IEO11" s="537"/>
      <c r="IEP11" s="537"/>
      <c r="IEQ11" s="537"/>
      <c r="IER11" s="537"/>
      <c r="IES11" s="537"/>
      <c r="IET11" s="537"/>
      <c r="IEU11" s="537"/>
      <c r="IEV11" s="537"/>
      <c r="IEW11" s="537"/>
      <c r="IEX11" s="537"/>
      <c r="IEY11" s="537"/>
      <c r="IEZ11" s="537"/>
      <c r="IFA11" s="537"/>
      <c r="IFB11" s="537"/>
      <c r="IFC11" s="537"/>
      <c r="IFD11" s="537"/>
      <c r="IFE11" s="537"/>
      <c r="IFF11" s="537"/>
      <c r="IFG11" s="537"/>
      <c r="IFH11" s="537"/>
      <c r="IFI11" s="537"/>
      <c r="IFJ11" s="537"/>
      <c r="IFK11" s="537"/>
      <c r="IFL11" s="537"/>
      <c r="IFM11" s="537"/>
      <c r="IFN11" s="537"/>
      <c r="IFO11" s="537"/>
      <c r="IFP11" s="537"/>
      <c r="IFQ11" s="537"/>
      <c r="IFR11" s="537"/>
      <c r="IFS11" s="537"/>
      <c r="IFT11" s="537"/>
      <c r="IFU11" s="537"/>
      <c r="IFV11" s="537"/>
      <c r="IFW11" s="537"/>
      <c r="IFX11" s="537"/>
      <c r="IFY11" s="537"/>
      <c r="IFZ11" s="537"/>
      <c r="IGA11" s="537"/>
      <c r="IGB11" s="537"/>
      <c r="IGC11" s="537"/>
      <c r="IGD11" s="537"/>
      <c r="IGE11" s="537"/>
      <c r="IGF11" s="537"/>
      <c r="IGG11" s="537"/>
      <c r="IGH11" s="537"/>
      <c r="IGI11" s="537"/>
      <c r="IGJ11" s="537"/>
      <c r="IGK11" s="537"/>
      <c r="IGL11" s="537"/>
      <c r="IGM11" s="537"/>
      <c r="IGN11" s="537"/>
      <c r="IGO11" s="537"/>
      <c r="IGP11" s="537"/>
      <c r="IGQ11" s="537"/>
      <c r="IGR11" s="537"/>
      <c r="IGS11" s="537"/>
      <c r="IGT11" s="537"/>
      <c r="IGU11" s="537"/>
      <c r="IGV11" s="537"/>
      <c r="IGW11" s="537"/>
      <c r="IGX11" s="537"/>
      <c r="IGY11" s="537"/>
      <c r="IGZ11" s="537"/>
      <c r="IHA11" s="537"/>
      <c r="IHB11" s="537"/>
      <c r="IHC11" s="537"/>
      <c r="IHD11" s="537"/>
      <c r="IHE11" s="537"/>
      <c r="IHF11" s="537"/>
      <c r="IHG11" s="537"/>
      <c r="IHH11" s="537"/>
      <c r="IHI11" s="537"/>
      <c r="IHJ11" s="537"/>
      <c r="IHK11" s="537"/>
      <c r="IHL11" s="537"/>
      <c r="IHM11" s="537"/>
      <c r="IHN11" s="537"/>
      <c r="IHO11" s="537"/>
      <c r="IHP11" s="537"/>
      <c r="IHQ11" s="537"/>
      <c r="IHR11" s="537"/>
      <c r="IHS11" s="537"/>
      <c r="IHT11" s="537"/>
      <c r="IHU11" s="537"/>
      <c r="IHV11" s="537"/>
      <c r="IHW11" s="537"/>
      <c r="IHX11" s="537"/>
      <c r="IHY11" s="537"/>
      <c r="IHZ11" s="537"/>
      <c r="IIA11" s="537"/>
      <c r="IIB11" s="537"/>
      <c r="IIC11" s="537"/>
      <c r="IID11" s="537"/>
      <c r="IIE11" s="537"/>
      <c r="IIF11" s="537"/>
      <c r="IIG11" s="537"/>
      <c r="IIH11" s="537"/>
      <c r="III11" s="537"/>
      <c r="IIJ11" s="537"/>
      <c r="IIK11" s="537"/>
      <c r="IIL11" s="537"/>
      <c r="IIM11" s="537"/>
      <c r="IIN11" s="537"/>
      <c r="IIO11" s="537"/>
      <c r="IIP11" s="537"/>
      <c r="IIQ11" s="537"/>
      <c r="IIR11" s="537"/>
      <c r="IIS11" s="537"/>
      <c r="IIT11" s="537"/>
      <c r="IIU11" s="537"/>
      <c r="IIV11" s="537"/>
      <c r="IIW11" s="537"/>
      <c r="IIX11" s="537"/>
      <c r="IIY11" s="537"/>
      <c r="IIZ11" s="537"/>
      <c r="IJA11" s="537"/>
      <c r="IJB11" s="537"/>
      <c r="IJC11" s="537"/>
      <c r="IJD11" s="537"/>
      <c r="IJE11" s="537"/>
      <c r="IJF11" s="537"/>
      <c r="IJG11" s="537"/>
      <c r="IJH11" s="537"/>
      <c r="IJI11" s="537"/>
      <c r="IJJ11" s="537"/>
      <c r="IJK11" s="537"/>
      <c r="IJL11" s="537"/>
      <c r="IJM11" s="537"/>
      <c r="IJN11" s="537"/>
      <c r="IJO11" s="537"/>
      <c r="IJP11" s="537"/>
      <c r="IJQ11" s="537"/>
      <c r="IJR11" s="537"/>
      <c r="IJS11" s="537"/>
      <c r="IJT11" s="537"/>
      <c r="IJU11" s="537"/>
      <c r="IJV11" s="537"/>
      <c r="IJW11" s="537"/>
      <c r="IJX11" s="537"/>
      <c r="IJY11" s="537"/>
      <c r="IJZ11" s="537"/>
      <c r="IKA11" s="537"/>
      <c r="IKB11" s="537"/>
      <c r="IKC11" s="537"/>
      <c r="IKD11" s="537"/>
      <c r="IKE11" s="537"/>
      <c r="IKF11" s="537"/>
      <c r="IKG11" s="537"/>
      <c r="IKH11" s="537"/>
      <c r="IKI11" s="537"/>
      <c r="IKJ11" s="537"/>
      <c r="IKK11" s="537"/>
      <c r="IKL11" s="537"/>
      <c r="IKM11" s="537"/>
      <c r="IKN11" s="537"/>
      <c r="IKO11" s="537"/>
      <c r="IKP11" s="537"/>
      <c r="IKQ11" s="537"/>
      <c r="IKR11" s="537"/>
      <c r="IKS11" s="537"/>
      <c r="IKT11" s="537"/>
      <c r="IKU11" s="537"/>
      <c r="IKV11" s="537"/>
      <c r="IKW11" s="537"/>
      <c r="IKX11" s="537"/>
      <c r="IKY11" s="537"/>
      <c r="IKZ11" s="537"/>
      <c r="ILA11" s="537"/>
      <c r="ILB11" s="537"/>
      <c r="ILC11" s="537"/>
      <c r="ILD11" s="537"/>
      <c r="ILE11" s="537"/>
      <c r="ILF11" s="537"/>
      <c r="ILG11" s="537"/>
      <c r="ILH11" s="537"/>
      <c r="ILI11" s="537"/>
      <c r="ILJ11" s="537"/>
      <c r="ILK11" s="537"/>
      <c r="ILL11" s="537"/>
      <c r="ILM11" s="537"/>
      <c r="ILN11" s="537"/>
      <c r="ILO11" s="537"/>
      <c r="ILP11" s="537"/>
      <c r="ILQ11" s="537"/>
      <c r="ILR11" s="537"/>
      <c r="ILS11" s="537"/>
      <c r="ILT11" s="537"/>
      <c r="ILU11" s="537"/>
      <c r="ILV11" s="537"/>
      <c r="ILW11" s="537"/>
      <c r="ILX11" s="537"/>
      <c r="ILY11" s="537"/>
      <c r="ILZ11" s="537"/>
      <c r="IMA11" s="537"/>
      <c r="IMB11" s="537"/>
      <c r="IMC11" s="537"/>
      <c r="IMD11" s="537"/>
      <c r="IME11" s="537"/>
      <c r="IMF11" s="537"/>
      <c r="IMG11" s="537"/>
      <c r="IMH11" s="537"/>
      <c r="IMI11" s="537"/>
      <c r="IMJ11" s="537"/>
      <c r="IMK11" s="537"/>
      <c r="IML11" s="537"/>
      <c r="IMM11" s="537"/>
      <c r="IMN11" s="537"/>
      <c r="IMO11" s="537"/>
      <c r="IMP11" s="537"/>
      <c r="IMQ11" s="537"/>
      <c r="IMR11" s="537"/>
      <c r="IMS11" s="537"/>
      <c r="IMT11" s="537"/>
      <c r="IMU11" s="537"/>
      <c r="IMV11" s="537"/>
      <c r="IMW11" s="537"/>
      <c r="IMX11" s="537"/>
      <c r="IMY11" s="537"/>
      <c r="IMZ11" s="537"/>
      <c r="INA11" s="537"/>
      <c r="INB11" s="537"/>
      <c r="INC11" s="537"/>
      <c r="IND11" s="537"/>
      <c r="INE11" s="537"/>
      <c r="INF11" s="537"/>
      <c r="ING11" s="537"/>
      <c r="INH11" s="537"/>
      <c r="INI11" s="537"/>
      <c r="INJ11" s="537"/>
      <c r="INK11" s="537"/>
      <c r="INL11" s="537"/>
      <c r="INM11" s="537"/>
      <c r="INN11" s="537"/>
      <c r="INO11" s="537"/>
      <c r="INP11" s="537"/>
      <c r="INQ11" s="537"/>
      <c r="INR11" s="537"/>
      <c r="INS11" s="537"/>
      <c r="INT11" s="537"/>
      <c r="INU11" s="537"/>
      <c r="INV11" s="537"/>
      <c r="INW11" s="537"/>
      <c r="INX11" s="537"/>
      <c r="INY11" s="537"/>
      <c r="INZ11" s="537"/>
      <c r="IOA11" s="537"/>
      <c r="IOB11" s="537"/>
      <c r="IOC11" s="537"/>
      <c r="IOD11" s="537"/>
      <c r="IOE11" s="537"/>
      <c r="IOF11" s="537"/>
      <c r="IOG11" s="537"/>
      <c r="IOH11" s="537"/>
      <c r="IOI11" s="537"/>
      <c r="IOJ11" s="537"/>
      <c r="IOK11" s="537"/>
      <c r="IOL11" s="537"/>
      <c r="IOM11" s="537"/>
      <c r="ION11" s="537"/>
      <c r="IOO11" s="537"/>
      <c r="IOP11" s="537"/>
      <c r="IOQ11" s="537"/>
      <c r="IOR11" s="537"/>
      <c r="IOS11" s="537"/>
      <c r="IOT11" s="537"/>
      <c r="IOU11" s="537"/>
      <c r="IOV11" s="537"/>
      <c r="IOW11" s="537"/>
      <c r="IOX11" s="537"/>
      <c r="IOY11" s="537"/>
      <c r="IOZ11" s="537"/>
      <c r="IPA11" s="537"/>
      <c r="IPB11" s="537"/>
      <c r="IPC11" s="537"/>
      <c r="IPD11" s="537"/>
      <c r="IPE11" s="537"/>
      <c r="IPF11" s="537"/>
      <c r="IPG11" s="537"/>
      <c r="IPH11" s="537"/>
      <c r="IPI11" s="537"/>
      <c r="IPJ11" s="537"/>
      <c r="IPK11" s="537"/>
      <c r="IPL11" s="537"/>
      <c r="IPM11" s="537"/>
      <c r="IPN11" s="537"/>
      <c r="IPO11" s="537"/>
      <c r="IPP11" s="537"/>
      <c r="IPQ11" s="537"/>
      <c r="IPR11" s="537"/>
      <c r="IPS11" s="537"/>
      <c r="IPT11" s="537"/>
      <c r="IPU11" s="537"/>
      <c r="IPV11" s="537"/>
      <c r="IPW11" s="537"/>
      <c r="IPX11" s="537"/>
      <c r="IPY11" s="537"/>
      <c r="IPZ11" s="537"/>
      <c r="IQA11" s="537"/>
      <c r="IQB11" s="537"/>
      <c r="IQC11" s="537"/>
      <c r="IQD11" s="537"/>
      <c r="IQE11" s="537"/>
      <c r="IQF11" s="537"/>
      <c r="IQG11" s="537"/>
      <c r="IQH11" s="537"/>
      <c r="IQI11" s="537"/>
      <c r="IQJ11" s="537"/>
      <c r="IQK11" s="537"/>
      <c r="IQL11" s="537"/>
      <c r="IQM11" s="537"/>
      <c r="IQN11" s="537"/>
      <c r="IQO11" s="537"/>
      <c r="IQP11" s="537"/>
      <c r="IQQ11" s="537"/>
      <c r="IQR11" s="537"/>
      <c r="IQS11" s="537"/>
      <c r="IQT11" s="537"/>
      <c r="IQU11" s="537"/>
      <c r="IQV11" s="537"/>
      <c r="IQW11" s="537"/>
      <c r="IQX11" s="537"/>
      <c r="IQY11" s="537"/>
      <c r="IQZ11" s="537"/>
      <c r="IRA11" s="537"/>
      <c r="IRB11" s="537"/>
      <c r="IRC11" s="537"/>
      <c r="IRD11" s="537"/>
      <c r="IRE11" s="537"/>
      <c r="IRF11" s="537"/>
      <c r="IRG11" s="537"/>
      <c r="IRH11" s="537"/>
      <c r="IRI11" s="537"/>
      <c r="IRJ11" s="537"/>
      <c r="IRK11" s="537"/>
      <c r="IRL11" s="537"/>
      <c r="IRM11" s="537"/>
      <c r="IRN11" s="537"/>
      <c r="IRO11" s="537"/>
      <c r="IRP11" s="537"/>
      <c r="IRQ11" s="537"/>
      <c r="IRR11" s="537"/>
      <c r="IRS11" s="537"/>
      <c r="IRT11" s="537"/>
      <c r="IRU11" s="537"/>
      <c r="IRV11" s="537"/>
      <c r="IRW11" s="537"/>
      <c r="IRX11" s="537"/>
      <c r="IRY11" s="537"/>
      <c r="IRZ11" s="537"/>
      <c r="ISA11" s="537"/>
      <c r="ISB11" s="537"/>
      <c r="ISC11" s="537"/>
      <c r="ISD11" s="537"/>
      <c r="ISE11" s="537"/>
      <c r="ISF11" s="537"/>
      <c r="ISG11" s="537"/>
      <c r="ISH11" s="537"/>
      <c r="ISI11" s="537"/>
      <c r="ISJ11" s="537"/>
      <c r="ISK11" s="537"/>
      <c r="ISL11" s="537"/>
      <c r="ISM11" s="537"/>
      <c r="ISN11" s="537"/>
      <c r="ISO11" s="537"/>
      <c r="ISP11" s="537"/>
      <c r="ISQ11" s="537"/>
      <c r="ISR11" s="537"/>
      <c r="ISS11" s="537"/>
      <c r="IST11" s="537"/>
      <c r="ISU11" s="537"/>
      <c r="ISV11" s="537"/>
      <c r="ISW11" s="537"/>
      <c r="ISX11" s="537"/>
      <c r="ISY11" s="537"/>
      <c r="ISZ11" s="537"/>
      <c r="ITA11" s="537"/>
      <c r="ITB11" s="537"/>
      <c r="ITC11" s="537"/>
      <c r="ITD11" s="537"/>
      <c r="ITE11" s="537"/>
      <c r="ITF11" s="537"/>
      <c r="ITG11" s="537"/>
      <c r="ITH11" s="537"/>
      <c r="ITI11" s="537"/>
      <c r="ITJ11" s="537"/>
      <c r="ITK11" s="537"/>
      <c r="ITL11" s="537"/>
      <c r="ITM11" s="537"/>
      <c r="ITN11" s="537"/>
      <c r="ITO11" s="537"/>
      <c r="ITP11" s="537"/>
      <c r="ITQ11" s="537"/>
      <c r="ITR11" s="537"/>
      <c r="ITS11" s="537"/>
      <c r="ITT11" s="537"/>
      <c r="ITU11" s="537"/>
      <c r="ITV11" s="537"/>
      <c r="ITW11" s="537"/>
      <c r="ITX11" s="537"/>
      <c r="ITY11" s="537"/>
      <c r="ITZ11" s="537"/>
      <c r="IUA11" s="537"/>
      <c r="IUB11" s="537"/>
      <c r="IUC11" s="537"/>
      <c r="IUD11" s="537"/>
      <c r="IUE11" s="537"/>
      <c r="IUF11" s="537"/>
      <c r="IUG11" s="537"/>
      <c r="IUH11" s="537"/>
      <c r="IUI11" s="537"/>
      <c r="IUJ11" s="537"/>
      <c r="IUK11" s="537"/>
      <c r="IUL11" s="537"/>
      <c r="IUM11" s="537"/>
      <c r="IUN11" s="537"/>
      <c r="IUO11" s="537"/>
      <c r="IUP11" s="537"/>
      <c r="IUQ11" s="537"/>
      <c r="IUR11" s="537"/>
      <c r="IUS11" s="537"/>
      <c r="IUT11" s="537"/>
      <c r="IUU11" s="537"/>
      <c r="IUV11" s="537"/>
      <c r="IUW11" s="537"/>
      <c r="IUX11" s="537"/>
      <c r="IUY11" s="537"/>
      <c r="IUZ11" s="537"/>
      <c r="IVA11" s="537"/>
      <c r="IVB11" s="537"/>
      <c r="IVC11" s="537"/>
      <c r="IVD11" s="537"/>
      <c r="IVE11" s="537"/>
      <c r="IVF11" s="537"/>
      <c r="IVG11" s="537"/>
      <c r="IVH11" s="537"/>
      <c r="IVI11" s="537"/>
      <c r="IVJ11" s="537"/>
      <c r="IVK11" s="537"/>
      <c r="IVL11" s="537"/>
      <c r="IVM11" s="537"/>
      <c r="IVN11" s="537"/>
      <c r="IVO11" s="537"/>
      <c r="IVP11" s="537"/>
      <c r="IVQ11" s="537"/>
      <c r="IVR11" s="537"/>
      <c r="IVS11" s="537"/>
      <c r="IVT11" s="537"/>
      <c r="IVU11" s="537"/>
      <c r="IVV11" s="537"/>
      <c r="IVW11" s="537"/>
      <c r="IVX11" s="537"/>
      <c r="IVY11" s="537"/>
      <c r="IVZ11" s="537"/>
      <c r="IWA11" s="537"/>
      <c r="IWB11" s="537"/>
      <c r="IWC11" s="537"/>
      <c r="IWD11" s="537"/>
      <c r="IWE11" s="537"/>
      <c r="IWF11" s="537"/>
      <c r="IWG11" s="537"/>
      <c r="IWH11" s="537"/>
      <c r="IWI11" s="537"/>
      <c r="IWJ11" s="537"/>
      <c r="IWK11" s="537"/>
      <c r="IWL11" s="537"/>
      <c r="IWM11" s="537"/>
      <c r="IWN11" s="537"/>
      <c r="IWO11" s="537"/>
      <c r="IWP11" s="537"/>
      <c r="IWQ11" s="537"/>
      <c r="IWR11" s="537"/>
      <c r="IWS11" s="537"/>
      <c r="IWT11" s="537"/>
      <c r="IWU11" s="537"/>
      <c r="IWV11" s="537"/>
      <c r="IWW11" s="537"/>
      <c r="IWX11" s="537"/>
      <c r="IWY11" s="537"/>
      <c r="IWZ11" s="537"/>
      <c r="IXA11" s="537"/>
      <c r="IXB11" s="537"/>
      <c r="IXC11" s="537"/>
      <c r="IXD11" s="537"/>
      <c r="IXE11" s="537"/>
      <c r="IXF11" s="537"/>
      <c r="IXG11" s="537"/>
      <c r="IXH11" s="537"/>
      <c r="IXI11" s="537"/>
      <c r="IXJ11" s="537"/>
      <c r="IXK11" s="537"/>
      <c r="IXL11" s="537"/>
      <c r="IXM11" s="537"/>
      <c r="IXN11" s="537"/>
      <c r="IXO11" s="537"/>
      <c r="IXP11" s="537"/>
      <c r="IXQ11" s="537"/>
      <c r="IXR11" s="537"/>
      <c r="IXS11" s="537"/>
      <c r="IXT11" s="537"/>
      <c r="IXU11" s="537"/>
      <c r="IXV11" s="537"/>
      <c r="IXW11" s="537"/>
      <c r="IXX11" s="537"/>
      <c r="IXY11" s="537"/>
      <c r="IXZ11" s="537"/>
      <c r="IYA11" s="537"/>
      <c r="IYB11" s="537"/>
      <c r="IYC11" s="537"/>
      <c r="IYD11" s="537"/>
      <c r="IYE11" s="537"/>
      <c r="IYF11" s="537"/>
      <c r="IYG11" s="537"/>
      <c r="IYH11" s="537"/>
      <c r="IYI11" s="537"/>
      <c r="IYJ11" s="537"/>
      <c r="IYK11" s="537"/>
      <c r="IYL11" s="537"/>
      <c r="IYM11" s="537"/>
      <c r="IYN11" s="537"/>
      <c r="IYO11" s="537"/>
      <c r="IYP11" s="537"/>
      <c r="IYQ11" s="537"/>
      <c r="IYR11" s="537"/>
      <c r="IYS11" s="537"/>
      <c r="IYT11" s="537"/>
      <c r="IYU11" s="537"/>
      <c r="IYV11" s="537"/>
      <c r="IYW11" s="537"/>
      <c r="IYX11" s="537"/>
      <c r="IYY11" s="537"/>
      <c r="IYZ11" s="537"/>
      <c r="IZA11" s="537"/>
      <c r="IZB11" s="537"/>
      <c r="IZC11" s="537"/>
      <c r="IZD11" s="537"/>
      <c r="IZE11" s="537"/>
      <c r="IZF11" s="537"/>
      <c r="IZG11" s="537"/>
      <c r="IZH11" s="537"/>
      <c r="IZI11" s="537"/>
      <c r="IZJ11" s="537"/>
      <c r="IZK11" s="537"/>
      <c r="IZL11" s="537"/>
      <c r="IZM11" s="537"/>
      <c r="IZN11" s="537"/>
      <c r="IZO11" s="537"/>
      <c r="IZP11" s="537"/>
      <c r="IZQ11" s="537"/>
      <c r="IZR11" s="537"/>
      <c r="IZS11" s="537"/>
      <c r="IZT11" s="537"/>
      <c r="IZU11" s="537"/>
      <c r="IZV11" s="537"/>
      <c r="IZW11" s="537"/>
      <c r="IZX11" s="537"/>
      <c r="IZY11" s="537"/>
      <c r="IZZ11" s="537"/>
      <c r="JAA11" s="537"/>
      <c r="JAB11" s="537"/>
      <c r="JAC11" s="537"/>
      <c r="JAD11" s="537"/>
      <c r="JAE11" s="537"/>
      <c r="JAF11" s="537"/>
      <c r="JAG11" s="537"/>
      <c r="JAH11" s="537"/>
      <c r="JAI11" s="537"/>
      <c r="JAJ11" s="537"/>
      <c r="JAK11" s="537"/>
      <c r="JAL11" s="537"/>
      <c r="JAM11" s="537"/>
      <c r="JAN11" s="537"/>
      <c r="JAO11" s="537"/>
      <c r="JAP11" s="537"/>
      <c r="JAQ11" s="537"/>
      <c r="JAR11" s="537"/>
      <c r="JAS11" s="537"/>
      <c r="JAT11" s="537"/>
      <c r="JAU11" s="537"/>
      <c r="JAV11" s="537"/>
      <c r="JAW11" s="537"/>
      <c r="JAX11" s="537"/>
      <c r="JAY11" s="537"/>
      <c r="JAZ11" s="537"/>
      <c r="JBA11" s="537"/>
      <c r="JBB11" s="537"/>
      <c r="JBC11" s="537"/>
      <c r="JBD11" s="537"/>
      <c r="JBE11" s="537"/>
      <c r="JBF11" s="537"/>
      <c r="JBG11" s="537"/>
      <c r="JBH11" s="537"/>
      <c r="JBI11" s="537"/>
      <c r="JBJ11" s="537"/>
      <c r="JBK11" s="537"/>
      <c r="JBL11" s="537"/>
      <c r="JBM11" s="537"/>
      <c r="JBN11" s="537"/>
      <c r="JBO11" s="537"/>
      <c r="JBP11" s="537"/>
      <c r="JBQ11" s="537"/>
      <c r="JBR11" s="537"/>
      <c r="JBS11" s="537"/>
      <c r="JBT11" s="537"/>
      <c r="JBU11" s="537"/>
      <c r="JBV11" s="537"/>
      <c r="JBW11" s="537"/>
      <c r="JBX11" s="537"/>
      <c r="JBY11" s="537"/>
      <c r="JBZ11" s="537"/>
      <c r="JCA11" s="537"/>
      <c r="JCB11" s="537"/>
      <c r="JCC11" s="537"/>
      <c r="JCD11" s="537"/>
      <c r="JCE11" s="537"/>
      <c r="JCF11" s="537"/>
      <c r="JCG11" s="537"/>
      <c r="JCH11" s="537"/>
      <c r="JCI11" s="537"/>
      <c r="JCJ11" s="537"/>
      <c r="JCK11" s="537"/>
      <c r="JCL11" s="537"/>
      <c r="JCM11" s="537"/>
      <c r="JCN11" s="537"/>
      <c r="JCO11" s="537"/>
      <c r="JCP11" s="537"/>
      <c r="JCQ11" s="537"/>
      <c r="JCR11" s="537"/>
      <c r="JCS11" s="537"/>
      <c r="JCT11" s="537"/>
      <c r="JCU11" s="537"/>
      <c r="JCV11" s="537"/>
      <c r="JCW11" s="537"/>
      <c r="JCX11" s="537"/>
      <c r="JCY11" s="537"/>
      <c r="JCZ11" s="537"/>
      <c r="JDA11" s="537"/>
      <c r="JDB11" s="537"/>
      <c r="JDC11" s="537"/>
      <c r="JDD11" s="537"/>
      <c r="JDE11" s="537"/>
      <c r="JDF11" s="537"/>
      <c r="JDG11" s="537"/>
      <c r="JDH11" s="537"/>
      <c r="JDI11" s="537"/>
      <c r="JDJ11" s="537"/>
      <c r="JDK11" s="537"/>
      <c r="JDL11" s="537"/>
      <c r="JDM11" s="537"/>
      <c r="JDN11" s="537"/>
      <c r="JDO11" s="537"/>
      <c r="JDP11" s="537"/>
      <c r="JDQ11" s="537"/>
      <c r="JDR11" s="537"/>
      <c r="JDS11" s="537"/>
      <c r="JDT11" s="537"/>
      <c r="JDU11" s="537"/>
      <c r="JDV11" s="537"/>
      <c r="JDW11" s="537"/>
      <c r="JDX11" s="537"/>
      <c r="JDY11" s="537"/>
      <c r="JDZ11" s="537"/>
      <c r="JEA11" s="537"/>
      <c r="JEB11" s="537"/>
      <c r="JEC11" s="537"/>
      <c r="JED11" s="537"/>
      <c r="JEE11" s="537"/>
      <c r="JEF11" s="537"/>
      <c r="JEG11" s="537"/>
      <c r="JEH11" s="537"/>
      <c r="JEI11" s="537"/>
      <c r="JEJ11" s="537"/>
      <c r="JEK11" s="537"/>
      <c r="JEL11" s="537"/>
      <c r="JEM11" s="537"/>
      <c r="JEN11" s="537"/>
      <c r="JEO11" s="537"/>
      <c r="JEP11" s="537"/>
      <c r="JEQ11" s="537"/>
      <c r="JER11" s="537"/>
      <c r="JES11" s="537"/>
      <c r="JET11" s="537"/>
      <c r="JEU11" s="537"/>
      <c r="JEV11" s="537"/>
      <c r="JEW11" s="537"/>
      <c r="JEX11" s="537"/>
      <c r="JEY11" s="537"/>
      <c r="JEZ11" s="537"/>
      <c r="JFA11" s="537"/>
      <c r="JFB11" s="537"/>
      <c r="JFC11" s="537"/>
      <c r="JFD11" s="537"/>
      <c r="JFE11" s="537"/>
      <c r="JFF11" s="537"/>
      <c r="JFG11" s="537"/>
      <c r="JFH11" s="537"/>
      <c r="JFI11" s="537"/>
      <c r="JFJ11" s="537"/>
      <c r="JFK11" s="537"/>
      <c r="JFL11" s="537"/>
      <c r="JFM11" s="537"/>
      <c r="JFN11" s="537"/>
      <c r="JFO11" s="537"/>
      <c r="JFP11" s="537"/>
      <c r="JFQ11" s="537"/>
      <c r="JFR11" s="537"/>
      <c r="JFS11" s="537"/>
      <c r="JFT11" s="537"/>
      <c r="JFU11" s="537"/>
      <c r="JFV11" s="537"/>
      <c r="JFW11" s="537"/>
      <c r="JFX11" s="537"/>
      <c r="JFY11" s="537"/>
      <c r="JFZ11" s="537"/>
      <c r="JGA11" s="537"/>
      <c r="JGB11" s="537"/>
      <c r="JGC11" s="537"/>
      <c r="JGD11" s="537"/>
      <c r="JGE11" s="537"/>
      <c r="JGF11" s="537"/>
      <c r="JGG11" s="537"/>
      <c r="JGH11" s="537"/>
      <c r="JGI11" s="537"/>
      <c r="JGJ11" s="537"/>
      <c r="JGK11" s="537"/>
      <c r="JGL11" s="537"/>
      <c r="JGM11" s="537"/>
      <c r="JGN11" s="537"/>
      <c r="JGO11" s="537"/>
      <c r="JGP11" s="537"/>
      <c r="JGQ11" s="537"/>
      <c r="JGR11" s="537"/>
      <c r="JGS11" s="537"/>
      <c r="JGT11" s="537"/>
      <c r="JGU11" s="537"/>
      <c r="JGV11" s="537"/>
      <c r="JGW11" s="537"/>
      <c r="JGX11" s="537"/>
      <c r="JGY11" s="537"/>
      <c r="JGZ11" s="537"/>
      <c r="JHA11" s="537"/>
      <c r="JHB11" s="537"/>
      <c r="JHC11" s="537"/>
      <c r="JHD11" s="537"/>
      <c r="JHE11" s="537"/>
      <c r="JHF11" s="537"/>
      <c r="JHG11" s="537"/>
      <c r="JHH11" s="537"/>
      <c r="JHI11" s="537"/>
      <c r="JHJ11" s="537"/>
      <c r="JHK11" s="537"/>
      <c r="JHL11" s="537"/>
      <c r="JHM11" s="537"/>
      <c r="JHN11" s="537"/>
      <c r="JHO11" s="537"/>
      <c r="JHP11" s="537"/>
      <c r="JHQ11" s="537"/>
      <c r="JHR11" s="537"/>
      <c r="JHS11" s="537"/>
      <c r="JHT11" s="537"/>
      <c r="JHU11" s="537"/>
      <c r="JHV11" s="537"/>
      <c r="JHW11" s="537"/>
      <c r="JHX11" s="537"/>
      <c r="JHY11" s="537"/>
      <c r="JHZ11" s="537"/>
      <c r="JIA11" s="537"/>
      <c r="JIB11" s="537"/>
      <c r="JIC11" s="537"/>
      <c r="JID11" s="537"/>
      <c r="JIE11" s="537"/>
      <c r="JIF11" s="537"/>
      <c r="JIG11" s="537"/>
      <c r="JIH11" s="537"/>
      <c r="JII11" s="537"/>
      <c r="JIJ11" s="537"/>
      <c r="JIK11" s="537"/>
      <c r="JIL11" s="537"/>
      <c r="JIM11" s="537"/>
      <c r="JIN11" s="537"/>
      <c r="JIO11" s="537"/>
      <c r="JIP11" s="537"/>
      <c r="JIQ11" s="537"/>
      <c r="JIR11" s="537"/>
      <c r="JIS11" s="537"/>
      <c r="JIT11" s="537"/>
      <c r="JIU11" s="537"/>
      <c r="JIV11" s="537"/>
      <c r="JIW11" s="537"/>
      <c r="JIX11" s="537"/>
      <c r="JIY11" s="537"/>
      <c r="JIZ11" s="537"/>
      <c r="JJA11" s="537"/>
      <c r="JJB11" s="537"/>
      <c r="JJC11" s="537"/>
      <c r="JJD11" s="537"/>
      <c r="JJE11" s="537"/>
      <c r="JJF11" s="537"/>
      <c r="JJG11" s="537"/>
      <c r="JJH11" s="537"/>
      <c r="JJI11" s="537"/>
      <c r="JJJ11" s="537"/>
      <c r="JJK11" s="537"/>
      <c r="JJL11" s="537"/>
      <c r="JJM11" s="537"/>
      <c r="JJN11" s="537"/>
      <c r="JJO11" s="537"/>
      <c r="JJP11" s="537"/>
      <c r="JJQ11" s="537"/>
      <c r="JJR11" s="537"/>
      <c r="JJS11" s="537"/>
      <c r="JJT11" s="537"/>
      <c r="JJU11" s="537"/>
      <c r="JJV11" s="537"/>
      <c r="JJW11" s="537"/>
      <c r="JJX11" s="537"/>
      <c r="JJY11" s="537"/>
      <c r="JJZ11" s="537"/>
      <c r="JKA11" s="537"/>
      <c r="JKB11" s="537"/>
      <c r="JKC11" s="537"/>
      <c r="JKD11" s="537"/>
      <c r="JKE11" s="537"/>
      <c r="JKF11" s="537"/>
      <c r="JKG11" s="537"/>
      <c r="JKH11" s="537"/>
      <c r="JKI11" s="537"/>
      <c r="JKJ11" s="537"/>
      <c r="JKK11" s="537"/>
      <c r="JKL11" s="537"/>
      <c r="JKM11" s="537"/>
      <c r="JKN11" s="537"/>
      <c r="JKO11" s="537"/>
      <c r="JKP11" s="537"/>
      <c r="JKQ11" s="537"/>
      <c r="JKR11" s="537"/>
      <c r="JKS11" s="537"/>
      <c r="JKT11" s="537"/>
      <c r="JKU11" s="537"/>
      <c r="JKV11" s="537"/>
      <c r="JKW11" s="537"/>
      <c r="JKX11" s="537"/>
      <c r="JKY11" s="537"/>
      <c r="JKZ11" s="537"/>
      <c r="JLA11" s="537"/>
      <c r="JLB11" s="537"/>
      <c r="JLC11" s="537"/>
      <c r="JLD11" s="537"/>
      <c r="JLE11" s="537"/>
      <c r="JLF11" s="537"/>
      <c r="JLG11" s="537"/>
      <c r="JLH11" s="537"/>
      <c r="JLI11" s="537"/>
      <c r="JLJ11" s="537"/>
      <c r="JLK11" s="537"/>
      <c r="JLL11" s="537"/>
      <c r="JLM11" s="537"/>
      <c r="JLN11" s="537"/>
      <c r="JLO11" s="537"/>
      <c r="JLP11" s="537"/>
      <c r="JLQ11" s="537"/>
      <c r="JLR11" s="537"/>
      <c r="JLS11" s="537"/>
      <c r="JLT11" s="537"/>
      <c r="JLU11" s="537"/>
      <c r="JLV11" s="537"/>
      <c r="JLW11" s="537"/>
      <c r="JLX11" s="537"/>
      <c r="JLY11" s="537"/>
      <c r="JLZ11" s="537"/>
      <c r="JMA11" s="537"/>
      <c r="JMB11" s="537"/>
      <c r="JMC11" s="537"/>
      <c r="JMD11" s="537"/>
      <c r="JME11" s="537"/>
      <c r="JMF11" s="537"/>
      <c r="JMG11" s="537"/>
      <c r="JMH11" s="537"/>
      <c r="JMI11" s="537"/>
      <c r="JMJ11" s="537"/>
      <c r="JMK11" s="537"/>
      <c r="JML11" s="537"/>
      <c r="JMM11" s="537"/>
      <c r="JMN11" s="537"/>
      <c r="JMO11" s="537"/>
      <c r="JMP11" s="537"/>
      <c r="JMQ11" s="537"/>
      <c r="JMR11" s="537"/>
      <c r="JMS11" s="537"/>
      <c r="JMT11" s="537"/>
      <c r="JMU11" s="537"/>
      <c r="JMV11" s="537"/>
      <c r="JMW11" s="537"/>
      <c r="JMX11" s="537"/>
      <c r="JMY11" s="537"/>
      <c r="JMZ11" s="537"/>
      <c r="JNA11" s="537"/>
      <c r="JNB11" s="537"/>
      <c r="JNC11" s="537"/>
      <c r="JND11" s="537"/>
      <c r="JNE11" s="537"/>
      <c r="JNF11" s="537"/>
      <c r="JNG11" s="537"/>
      <c r="JNH11" s="537"/>
      <c r="JNI11" s="537"/>
      <c r="JNJ11" s="537"/>
      <c r="JNK11" s="537"/>
      <c r="JNL11" s="537"/>
      <c r="JNM11" s="537"/>
      <c r="JNN11" s="537"/>
      <c r="JNO11" s="537"/>
      <c r="JNP11" s="537"/>
      <c r="JNQ11" s="537"/>
      <c r="JNR11" s="537"/>
      <c r="JNS11" s="537"/>
      <c r="JNT11" s="537"/>
      <c r="JNU11" s="537"/>
      <c r="JNV11" s="537"/>
      <c r="JNW11" s="537"/>
      <c r="JNX11" s="537"/>
      <c r="JNY11" s="537"/>
      <c r="JNZ11" s="537"/>
      <c r="JOA11" s="537"/>
      <c r="JOB11" s="537"/>
      <c r="JOC11" s="537"/>
      <c r="JOD11" s="537"/>
      <c r="JOE11" s="537"/>
      <c r="JOF11" s="537"/>
      <c r="JOG11" s="537"/>
      <c r="JOH11" s="537"/>
      <c r="JOI11" s="537"/>
      <c r="JOJ11" s="537"/>
      <c r="JOK11" s="537"/>
      <c r="JOL11" s="537"/>
      <c r="JOM11" s="537"/>
      <c r="JON11" s="537"/>
      <c r="JOO11" s="537"/>
      <c r="JOP11" s="537"/>
      <c r="JOQ11" s="537"/>
      <c r="JOR11" s="537"/>
      <c r="JOS11" s="537"/>
      <c r="JOT11" s="537"/>
      <c r="JOU11" s="537"/>
      <c r="JOV11" s="537"/>
      <c r="JOW11" s="537"/>
      <c r="JOX11" s="537"/>
      <c r="JOY11" s="537"/>
      <c r="JOZ11" s="537"/>
      <c r="JPA11" s="537"/>
      <c r="JPB11" s="537"/>
      <c r="JPC11" s="537"/>
      <c r="JPD11" s="537"/>
      <c r="JPE11" s="537"/>
      <c r="JPF11" s="537"/>
      <c r="JPG11" s="537"/>
      <c r="JPH11" s="537"/>
      <c r="JPI11" s="537"/>
      <c r="JPJ11" s="537"/>
      <c r="JPK11" s="537"/>
      <c r="JPL11" s="537"/>
      <c r="JPM11" s="537"/>
      <c r="JPN11" s="537"/>
      <c r="JPO11" s="537"/>
      <c r="JPP11" s="537"/>
      <c r="JPQ11" s="537"/>
      <c r="JPR11" s="537"/>
      <c r="JPS11" s="537"/>
      <c r="JPT11" s="537"/>
      <c r="JPU11" s="537"/>
      <c r="JPV11" s="537"/>
      <c r="JPW11" s="537"/>
      <c r="JPX11" s="537"/>
      <c r="JPY11" s="537"/>
      <c r="JPZ11" s="537"/>
      <c r="JQA11" s="537"/>
      <c r="JQB11" s="537"/>
      <c r="JQC11" s="537"/>
      <c r="JQD11" s="537"/>
      <c r="JQE11" s="537"/>
      <c r="JQF11" s="537"/>
      <c r="JQG11" s="537"/>
      <c r="JQH11" s="537"/>
      <c r="JQI11" s="537"/>
      <c r="JQJ11" s="537"/>
      <c r="JQK11" s="537"/>
      <c r="JQL11" s="537"/>
      <c r="JQM11" s="537"/>
      <c r="JQN11" s="537"/>
      <c r="JQO11" s="537"/>
      <c r="JQP11" s="537"/>
      <c r="JQQ11" s="537"/>
      <c r="JQR11" s="537"/>
      <c r="JQS11" s="537"/>
      <c r="JQT11" s="537"/>
      <c r="JQU11" s="537"/>
      <c r="JQV11" s="537"/>
      <c r="JQW11" s="537"/>
      <c r="JQX11" s="537"/>
      <c r="JQY11" s="537"/>
      <c r="JQZ11" s="537"/>
      <c r="JRA11" s="537"/>
      <c r="JRB11" s="537"/>
      <c r="JRC11" s="537"/>
      <c r="JRD11" s="537"/>
      <c r="JRE11" s="537"/>
      <c r="JRF11" s="537"/>
      <c r="JRG11" s="537"/>
      <c r="JRH11" s="537"/>
      <c r="JRI11" s="537"/>
      <c r="JRJ11" s="537"/>
      <c r="JRK11" s="537"/>
      <c r="JRL11" s="537"/>
      <c r="JRM11" s="537"/>
      <c r="JRN11" s="537"/>
      <c r="JRO11" s="537"/>
      <c r="JRP11" s="537"/>
      <c r="JRQ11" s="537"/>
      <c r="JRR11" s="537"/>
      <c r="JRS11" s="537"/>
      <c r="JRT11" s="537"/>
      <c r="JRU11" s="537"/>
      <c r="JRV11" s="537"/>
      <c r="JRW11" s="537"/>
      <c r="JRX11" s="537"/>
      <c r="JRY11" s="537"/>
      <c r="JRZ11" s="537"/>
      <c r="JSA11" s="537"/>
      <c r="JSB11" s="537"/>
      <c r="JSC11" s="537"/>
      <c r="JSD11" s="537"/>
      <c r="JSE11" s="537"/>
      <c r="JSF11" s="537"/>
      <c r="JSG11" s="537"/>
      <c r="JSH11" s="537"/>
      <c r="JSI11" s="537"/>
      <c r="JSJ11" s="537"/>
      <c r="JSK11" s="537"/>
      <c r="JSL11" s="537"/>
      <c r="JSM11" s="537"/>
      <c r="JSN11" s="537"/>
      <c r="JSO11" s="537"/>
      <c r="JSP11" s="537"/>
      <c r="JSQ11" s="537"/>
      <c r="JSR11" s="537"/>
      <c r="JSS11" s="537"/>
      <c r="JST11" s="537"/>
      <c r="JSU11" s="537"/>
      <c r="JSV11" s="537"/>
      <c r="JSW11" s="537"/>
      <c r="JSX11" s="537"/>
      <c r="JSY11" s="537"/>
      <c r="JSZ11" s="537"/>
      <c r="JTA11" s="537"/>
      <c r="JTB11" s="537"/>
      <c r="JTC11" s="537"/>
      <c r="JTD11" s="537"/>
      <c r="JTE11" s="537"/>
      <c r="JTF11" s="537"/>
      <c r="JTG11" s="537"/>
      <c r="JTH11" s="537"/>
      <c r="JTI11" s="537"/>
      <c r="JTJ11" s="537"/>
      <c r="JTK11" s="537"/>
      <c r="JTL11" s="537"/>
      <c r="JTM11" s="537"/>
      <c r="JTN11" s="537"/>
      <c r="JTO11" s="537"/>
      <c r="JTP11" s="537"/>
      <c r="JTQ11" s="537"/>
      <c r="JTR11" s="537"/>
      <c r="JTS11" s="537"/>
      <c r="JTT11" s="537"/>
      <c r="JTU11" s="537"/>
      <c r="JTV11" s="537"/>
      <c r="JTW11" s="537"/>
      <c r="JTX11" s="537"/>
      <c r="JTY11" s="537"/>
      <c r="JTZ11" s="537"/>
      <c r="JUA11" s="537"/>
      <c r="JUB11" s="537"/>
      <c r="JUC11" s="537"/>
      <c r="JUD11" s="537"/>
      <c r="JUE11" s="537"/>
      <c r="JUF11" s="537"/>
      <c r="JUG11" s="537"/>
      <c r="JUH11" s="537"/>
      <c r="JUI11" s="537"/>
      <c r="JUJ11" s="537"/>
      <c r="JUK11" s="537"/>
      <c r="JUL11" s="537"/>
      <c r="JUM11" s="537"/>
      <c r="JUN11" s="537"/>
      <c r="JUO11" s="537"/>
      <c r="JUP11" s="537"/>
      <c r="JUQ11" s="537"/>
      <c r="JUR11" s="537"/>
      <c r="JUS11" s="537"/>
      <c r="JUT11" s="537"/>
      <c r="JUU11" s="537"/>
      <c r="JUV11" s="537"/>
      <c r="JUW11" s="537"/>
      <c r="JUX11" s="537"/>
      <c r="JUY11" s="537"/>
      <c r="JUZ11" s="537"/>
      <c r="JVA11" s="537"/>
      <c r="JVB11" s="537"/>
      <c r="JVC11" s="537"/>
      <c r="JVD11" s="537"/>
      <c r="JVE11" s="537"/>
      <c r="JVF11" s="537"/>
      <c r="JVG11" s="537"/>
      <c r="JVH11" s="537"/>
      <c r="JVI11" s="537"/>
      <c r="JVJ11" s="537"/>
      <c r="JVK11" s="537"/>
      <c r="JVL11" s="537"/>
      <c r="JVM11" s="537"/>
      <c r="JVN11" s="537"/>
      <c r="JVO11" s="537"/>
      <c r="JVP11" s="537"/>
      <c r="JVQ11" s="537"/>
      <c r="JVR11" s="537"/>
      <c r="JVS11" s="537"/>
      <c r="JVT11" s="537"/>
      <c r="JVU11" s="537"/>
      <c r="JVV11" s="537"/>
      <c r="JVW11" s="537"/>
      <c r="JVX11" s="537"/>
      <c r="JVY11" s="537"/>
      <c r="JVZ11" s="537"/>
      <c r="JWA11" s="537"/>
      <c r="JWB11" s="537"/>
      <c r="JWC11" s="537"/>
      <c r="JWD11" s="537"/>
      <c r="JWE11" s="537"/>
      <c r="JWF11" s="537"/>
      <c r="JWG11" s="537"/>
      <c r="JWH11" s="537"/>
      <c r="JWI11" s="537"/>
      <c r="JWJ11" s="537"/>
      <c r="JWK11" s="537"/>
      <c r="JWL11" s="537"/>
      <c r="JWM11" s="537"/>
      <c r="JWN11" s="537"/>
      <c r="JWO11" s="537"/>
      <c r="JWP11" s="537"/>
      <c r="JWQ11" s="537"/>
      <c r="JWR11" s="537"/>
      <c r="JWS11" s="537"/>
      <c r="JWT11" s="537"/>
      <c r="JWU11" s="537"/>
      <c r="JWV11" s="537"/>
      <c r="JWW11" s="537"/>
      <c r="JWX11" s="537"/>
      <c r="JWY11" s="537"/>
      <c r="JWZ11" s="537"/>
      <c r="JXA11" s="537"/>
      <c r="JXB11" s="537"/>
      <c r="JXC11" s="537"/>
      <c r="JXD11" s="537"/>
      <c r="JXE11" s="537"/>
      <c r="JXF11" s="537"/>
      <c r="JXG11" s="537"/>
      <c r="JXH11" s="537"/>
      <c r="JXI11" s="537"/>
      <c r="JXJ11" s="537"/>
      <c r="JXK11" s="537"/>
      <c r="JXL11" s="537"/>
      <c r="JXM11" s="537"/>
      <c r="JXN11" s="537"/>
      <c r="JXO11" s="537"/>
      <c r="JXP11" s="537"/>
      <c r="JXQ11" s="537"/>
      <c r="JXR11" s="537"/>
      <c r="JXS11" s="537"/>
      <c r="JXT11" s="537"/>
      <c r="JXU11" s="537"/>
      <c r="JXV11" s="537"/>
      <c r="JXW11" s="537"/>
      <c r="JXX11" s="537"/>
      <c r="JXY11" s="537"/>
      <c r="JXZ11" s="537"/>
      <c r="JYA11" s="537"/>
      <c r="JYB11" s="537"/>
      <c r="JYC11" s="537"/>
      <c r="JYD11" s="537"/>
      <c r="JYE11" s="537"/>
      <c r="JYF11" s="537"/>
      <c r="JYG11" s="537"/>
      <c r="JYH11" s="537"/>
      <c r="JYI11" s="537"/>
      <c r="JYJ11" s="537"/>
      <c r="JYK11" s="537"/>
      <c r="JYL11" s="537"/>
      <c r="JYM11" s="537"/>
      <c r="JYN11" s="537"/>
      <c r="JYO11" s="537"/>
      <c r="JYP11" s="537"/>
      <c r="JYQ11" s="537"/>
      <c r="JYR11" s="537"/>
      <c r="JYS11" s="537"/>
      <c r="JYT11" s="537"/>
      <c r="JYU11" s="537"/>
      <c r="JYV11" s="537"/>
      <c r="JYW11" s="537"/>
      <c r="JYX11" s="537"/>
      <c r="JYY11" s="537"/>
      <c r="JYZ11" s="537"/>
      <c r="JZA11" s="537"/>
      <c r="JZB11" s="537"/>
      <c r="JZC11" s="537"/>
      <c r="JZD11" s="537"/>
      <c r="JZE11" s="537"/>
      <c r="JZF11" s="537"/>
      <c r="JZG11" s="537"/>
      <c r="JZH11" s="537"/>
      <c r="JZI11" s="537"/>
      <c r="JZJ11" s="537"/>
      <c r="JZK11" s="537"/>
      <c r="JZL11" s="537"/>
      <c r="JZM11" s="537"/>
      <c r="JZN11" s="537"/>
      <c r="JZO11" s="537"/>
      <c r="JZP11" s="537"/>
      <c r="JZQ11" s="537"/>
      <c r="JZR11" s="537"/>
      <c r="JZS11" s="537"/>
      <c r="JZT11" s="537"/>
      <c r="JZU11" s="537"/>
      <c r="JZV11" s="537"/>
      <c r="JZW11" s="537"/>
      <c r="JZX11" s="537"/>
      <c r="JZY11" s="537"/>
      <c r="JZZ11" s="537"/>
      <c r="KAA11" s="537"/>
      <c r="KAB11" s="537"/>
      <c r="KAC11" s="537"/>
      <c r="KAD11" s="537"/>
      <c r="KAE11" s="537"/>
      <c r="KAF11" s="537"/>
      <c r="KAG11" s="537"/>
      <c r="KAH11" s="537"/>
      <c r="KAI11" s="537"/>
      <c r="KAJ11" s="537"/>
      <c r="KAK11" s="537"/>
      <c r="KAL11" s="537"/>
      <c r="KAM11" s="537"/>
      <c r="KAN11" s="537"/>
      <c r="KAO11" s="537"/>
      <c r="KAP11" s="537"/>
      <c r="KAQ11" s="537"/>
      <c r="KAR11" s="537"/>
      <c r="KAS11" s="537"/>
      <c r="KAT11" s="537"/>
      <c r="KAU11" s="537"/>
      <c r="KAV11" s="537"/>
      <c r="KAW11" s="537"/>
      <c r="KAX11" s="537"/>
      <c r="KAY11" s="537"/>
      <c r="KAZ11" s="537"/>
      <c r="KBA11" s="537"/>
      <c r="KBB11" s="537"/>
      <c r="KBC11" s="537"/>
      <c r="KBD11" s="537"/>
      <c r="KBE11" s="537"/>
      <c r="KBF11" s="537"/>
      <c r="KBG11" s="537"/>
      <c r="KBH11" s="537"/>
      <c r="KBI11" s="537"/>
      <c r="KBJ11" s="537"/>
      <c r="KBK11" s="537"/>
      <c r="KBL11" s="537"/>
      <c r="KBM11" s="537"/>
      <c r="KBN11" s="537"/>
      <c r="KBO11" s="537"/>
      <c r="KBP11" s="537"/>
      <c r="KBQ11" s="537"/>
      <c r="KBR11" s="537"/>
      <c r="KBS11" s="537"/>
      <c r="KBT11" s="537"/>
      <c r="KBU11" s="537"/>
      <c r="KBV11" s="537"/>
      <c r="KBW11" s="537"/>
      <c r="KBX11" s="537"/>
      <c r="KBY11" s="537"/>
      <c r="KBZ11" s="537"/>
      <c r="KCA11" s="537"/>
      <c r="KCB11" s="537"/>
      <c r="KCC11" s="537"/>
      <c r="KCD11" s="537"/>
      <c r="KCE11" s="537"/>
      <c r="KCF11" s="537"/>
      <c r="KCG11" s="537"/>
      <c r="KCH11" s="537"/>
      <c r="KCI11" s="537"/>
      <c r="KCJ11" s="537"/>
      <c r="KCK11" s="537"/>
      <c r="KCL11" s="537"/>
      <c r="KCM11" s="537"/>
      <c r="KCN11" s="537"/>
      <c r="KCO11" s="537"/>
      <c r="KCP11" s="537"/>
      <c r="KCQ11" s="537"/>
      <c r="KCR11" s="537"/>
      <c r="KCS11" s="537"/>
      <c r="KCT11" s="537"/>
      <c r="KCU11" s="537"/>
      <c r="KCV11" s="537"/>
      <c r="KCW11" s="537"/>
      <c r="KCX11" s="537"/>
      <c r="KCY11" s="537"/>
      <c r="KCZ11" s="537"/>
      <c r="KDA11" s="537"/>
      <c r="KDB11" s="537"/>
      <c r="KDC11" s="537"/>
      <c r="KDD11" s="537"/>
      <c r="KDE11" s="537"/>
      <c r="KDF11" s="537"/>
      <c r="KDG11" s="537"/>
      <c r="KDH11" s="537"/>
      <c r="KDI11" s="537"/>
      <c r="KDJ11" s="537"/>
      <c r="KDK11" s="537"/>
      <c r="KDL11" s="537"/>
      <c r="KDM11" s="537"/>
      <c r="KDN11" s="537"/>
      <c r="KDO11" s="537"/>
      <c r="KDP11" s="537"/>
      <c r="KDQ11" s="537"/>
      <c r="KDR11" s="537"/>
      <c r="KDS11" s="537"/>
      <c r="KDT11" s="537"/>
      <c r="KDU11" s="537"/>
      <c r="KDV11" s="537"/>
      <c r="KDW11" s="537"/>
      <c r="KDX11" s="537"/>
      <c r="KDY11" s="537"/>
      <c r="KDZ11" s="537"/>
      <c r="KEA11" s="537"/>
      <c r="KEB11" s="537"/>
      <c r="KEC11" s="537"/>
      <c r="KED11" s="537"/>
      <c r="KEE11" s="537"/>
      <c r="KEF11" s="537"/>
      <c r="KEG11" s="537"/>
      <c r="KEH11" s="537"/>
      <c r="KEI11" s="537"/>
      <c r="KEJ11" s="537"/>
      <c r="KEK11" s="537"/>
      <c r="KEL11" s="537"/>
      <c r="KEM11" s="537"/>
      <c r="KEN11" s="537"/>
      <c r="KEO11" s="537"/>
      <c r="KEP11" s="537"/>
      <c r="KEQ11" s="537"/>
      <c r="KER11" s="537"/>
      <c r="KES11" s="537"/>
      <c r="KET11" s="537"/>
      <c r="KEU11" s="537"/>
      <c r="KEV11" s="537"/>
      <c r="KEW11" s="537"/>
      <c r="KEX11" s="537"/>
      <c r="KEY11" s="537"/>
      <c r="KEZ11" s="537"/>
      <c r="KFA11" s="537"/>
      <c r="KFB11" s="537"/>
      <c r="KFC11" s="537"/>
      <c r="KFD11" s="537"/>
      <c r="KFE11" s="537"/>
      <c r="KFF11" s="537"/>
      <c r="KFG11" s="537"/>
      <c r="KFH11" s="537"/>
      <c r="KFI11" s="537"/>
      <c r="KFJ11" s="537"/>
      <c r="KFK11" s="537"/>
      <c r="KFL11" s="537"/>
      <c r="KFM11" s="537"/>
      <c r="KFN11" s="537"/>
      <c r="KFO11" s="537"/>
      <c r="KFP11" s="537"/>
      <c r="KFQ11" s="537"/>
      <c r="KFR11" s="537"/>
      <c r="KFS11" s="537"/>
      <c r="KFT11" s="537"/>
      <c r="KFU11" s="537"/>
      <c r="KFV11" s="537"/>
      <c r="KFW11" s="537"/>
      <c r="KFX11" s="537"/>
      <c r="KFY11" s="537"/>
      <c r="KFZ11" s="537"/>
      <c r="KGA11" s="537"/>
      <c r="KGB11" s="537"/>
      <c r="KGC11" s="537"/>
      <c r="KGD11" s="537"/>
      <c r="KGE11" s="537"/>
      <c r="KGF11" s="537"/>
      <c r="KGG11" s="537"/>
      <c r="KGH11" s="537"/>
      <c r="KGI11" s="537"/>
      <c r="KGJ11" s="537"/>
      <c r="KGK11" s="537"/>
      <c r="KGL11" s="537"/>
      <c r="KGM11" s="537"/>
      <c r="KGN11" s="537"/>
      <c r="KGO11" s="537"/>
      <c r="KGP11" s="537"/>
      <c r="KGQ11" s="537"/>
      <c r="KGR11" s="537"/>
      <c r="KGS11" s="537"/>
      <c r="KGT11" s="537"/>
      <c r="KGU11" s="537"/>
      <c r="KGV11" s="537"/>
      <c r="KGW11" s="537"/>
      <c r="KGX11" s="537"/>
      <c r="KGY11" s="537"/>
      <c r="KGZ11" s="537"/>
      <c r="KHA11" s="537"/>
      <c r="KHB11" s="537"/>
      <c r="KHC11" s="537"/>
      <c r="KHD11" s="537"/>
      <c r="KHE11" s="537"/>
      <c r="KHF11" s="537"/>
      <c r="KHG11" s="537"/>
      <c r="KHH11" s="537"/>
      <c r="KHI11" s="537"/>
      <c r="KHJ11" s="537"/>
      <c r="KHK11" s="537"/>
      <c r="KHL11" s="537"/>
      <c r="KHM11" s="537"/>
      <c r="KHN11" s="537"/>
      <c r="KHO11" s="537"/>
      <c r="KHP11" s="537"/>
      <c r="KHQ11" s="537"/>
      <c r="KHR11" s="537"/>
      <c r="KHS11" s="537"/>
      <c r="KHT11" s="537"/>
      <c r="KHU11" s="537"/>
      <c r="KHV11" s="537"/>
      <c r="KHW11" s="537"/>
      <c r="KHX11" s="537"/>
      <c r="KHY11" s="537"/>
      <c r="KHZ11" s="537"/>
      <c r="KIA11" s="537"/>
      <c r="KIB11" s="537"/>
      <c r="KIC11" s="537"/>
      <c r="KID11" s="537"/>
      <c r="KIE11" s="537"/>
      <c r="KIF11" s="537"/>
      <c r="KIG11" s="537"/>
      <c r="KIH11" s="537"/>
      <c r="KII11" s="537"/>
      <c r="KIJ11" s="537"/>
      <c r="KIK11" s="537"/>
      <c r="KIL11" s="537"/>
      <c r="KIM11" s="537"/>
      <c r="KIN11" s="537"/>
      <c r="KIO11" s="537"/>
      <c r="KIP11" s="537"/>
      <c r="KIQ11" s="537"/>
      <c r="KIR11" s="537"/>
      <c r="KIS11" s="537"/>
      <c r="KIT11" s="537"/>
      <c r="KIU11" s="537"/>
      <c r="KIV11" s="537"/>
      <c r="KIW11" s="537"/>
      <c r="KIX11" s="537"/>
      <c r="KIY11" s="537"/>
      <c r="KIZ11" s="537"/>
      <c r="KJA11" s="537"/>
      <c r="KJB11" s="537"/>
      <c r="KJC11" s="537"/>
      <c r="KJD11" s="537"/>
      <c r="KJE11" s="537"/>
      <c r="KJF11" s="537"/>
      <c r="KJG11" s="537"/>
      <c r="KJH11" s="537"/>
      <c r="KJI11" s="537"/>
      <c r="KJJ11" s="537"/>
      <c r="KJK11" s="537"/>
      <c r="KJL11" s="537"/>
      <c r="KJM11" s="537"/>
      <c r="KJN11" s="537"/>
      <c r="KJO11" s="537"/>
      <c r="KJP11" s="537"/>
      <c r="KJQ11" s="537"/>
      <c r="KJR11" s="537"/>
      <c r="KJS11" s="537"/>
      <c r="KJT11" s="537"/>
      <c r="KJU11" s="537"/>
      <c r="KJV11" s="537"/>
      <c r="KJW11" s="537"/>
      <c r="KJX11" s="537"/>
      <c r="KJY11" s="537"/>
      <c r="KJZ11" s="537"/>
      <c r="KKA11" s="537"/>
      <c r="KKB11" s="537"/>
      <c r="KKC11" s="537"/>
      <c r="KKD11" s="537"/>
      <c r="KKE11" s="537"/>
      <c r="KKF11" s="537"/>
      <c r="KKG11" s="537"/>
      <c r="KKH11" s="537"/>
      <c r="KKI11" s="537"/>
      <c r="KKJ11" s="537"/>
      <c r="KKK11" s="537"/>
      <c r="KKL11" s="537"/>
      <c r="KKM11" s="537"/>
      <c r="KKN11" s="537"/>
      <c r="KKO11" s="537"/>
      <c r="KKP11" s="537"/>
      <c r="KKQ11" s="537"/>
      <c r="KKR11" s="537"/>
      <c r="KKS11" s="537"/>
      <c r="KKT11" s="537"/>
      <c r="KKU11" s="537"/>
      <c r="KKV11" s="537"/>
      <c r="KKW11" s="537"/>
      <c r="KKX11" s="537"/>
      <c r="KKY11" s="537"/>
      <c r="KKZ11" s="537"/>
      <c r="KLA11" s="537"/>
      <c r="KLB11" s="537"/>
      <c r="KLC11" s="537"/>
      <c r="KLD11" s="537"/>
      <c r="KLE11" s="537"/>
      <c r="KLF11" s="537"/>
      <c r="KLG11" s="537"/>
      <c r="KLH11" s="537"/>
      <c r="KLI11" s="537"/>
      <c r="KLJ11" s="537"/>
      <c r="KLK11" s="537"/>
      <c r="KLL11" s="537"/>
      <c r="KLM11" s="537"/>
      <c r="KLN11" s="537"/>
      <c r="KLO11" s="537"/>
      <c r="KLP11" s="537"/>
      <c r="KLQ11" s="537"/>
      <c r="KLR11" s="537"/>
      <c r="KLS11" s="537"/>
      <c r="KLT11" s="537"/>
      <c r="KLU11" s="537"/>
      <c r="KLV11" s="537"/>
      <c r="KLW11" s="537"/>
      <c r="KLX11" s="537"/>
      <c r="KLY11" s="537"/>
      <c r="KLZ11" s="537"/>
      <c r="KMA11" s="537"/>
      <c r="KMB11" s="537"/>
      <c r="KMC11" s="537"/>
      <c r="KMD11" s="537"/>
      <c r="KME11" s="537"/>
      <c r="KMF11" s="537"/>
      <c r="KMG11" s="537"/>
      <c r="KMH11" s="537"/>
      <c r="KMI11" s="537"/>
      <c r="KMJ11" s="537"/>
      <c r="KMK11" s="537"/>
      <c r="KML11" s="537"/>
      <c r="KMM11" s="537"/>
      <c r="KMN11" s="537"/>
      <c r="KMO11" s="537"/>
      <c r="KMP11" s="537"/>
      <c r="KMQ11" s="537"/>
      <c r="KMR11" s="537"/>
      <c r="KMS11" s="537"/>
      <c r="KMT11" s="537"/>
      <c r="KMU11" s="537"/>
      <c r="KMV11" s="537"/>
      <c r="KMW11" s="537"/>
      <c r="KMX11" s="537"/>
      <c r="KMY11" s="537"/>
      <c r="KMZ11" s="537"/>
      <c r="KNA11" s="537"/>
      <c r="KNB11" s="537"/>
      <c r="KNC11" s="537"/>
      <c r="KND11" s="537"/>
      <c r="KNE11" s="537"/>
      <c r="KNF11" s="537"/>
      <c r="KNG11" s="537"/>
      <c r="KNH11" s="537"/>
      <c r="KNI11" s="537"/>
      <c r="KNJ11" s="537"/>
      <c r="KNK11" s="537"/>
      <c r="KNL11" s="537"/>
      <c r="KNM11" s="537"/>
      <c r="KNN11" s="537"/>
      <c r="KNO11" s="537"/>
      <c r="KNP11" s="537"/>
      <c r="KNQ11" s="537"/>
      <c r="KNR11" s="537"/>
      <c r="KNS11" s="537"/>
      <c r="KNT11" s="537"/>
      <c r="KNU11" s="537"/>
      <c r="KNV11" s="537"/>
      <c r="KNW11" s="537"/>
      <c r="KNX11" s="537"/>
      <c r="KNY11" s="537"/>
      <c r="KNZ11" s="537"/>
      <c r="KOA11" s="537"/>
      <c r="KOB11" s="537"/>
      <c r="KOC11" s="537"/>
      <c r="KOD11" s="537"/>
      <c r="KOE11" s="537"/>
      <c r="KOF11" s="537"/>
      <c r="KOG11" s="537"/>
      <c r="KOH11" s="537"/>
      <c r="KOI11" s="537"/>
      <c r="KOJ11" s="537"/>
      <c r="KOK11" s="537"/>
      <c r="KOL11" s="537"/>
      <c r="KOM11" s="537"/>
      <c r="KON11" s="537"/>
      <c r="KOO11" s="537"/>
      <c r="KOP11" s="537"/>
      <c r="KOQ11" s="537"/>
      <c r="KOR11" s="537"/>
      <c r="KOS11" s="537"/>
      <c r="KOT11" s="537"/>
      <c r="KOU11" s="537"/>
      <c r="KOV11" s="537"/>
      <c r="KOW11" s="537"/>
      <c r="KOX11" s="537"/>
      <c r="KOY11" s="537"/>
      <c r="KOZ11" s="537"/>
      <c r="KPA11" s="537"/>
      <c r="KPB11" s="537"/>
      <c r="KPC11" s="537"/>
      <c r="KPD11" s="537"/>
      <c r="KPE11" s="537"/>
      <c r="KPF11" s="537"/>
      <c r="KPG11" s="537"/>
      <c r="KPH11" s="537"/>
      <c r="KPI11" s="537"/>
      <c r="KPJ11" s="537"/>
      <c r="KPK11" s="537"/>
      <c r="KPL11" s="537"/>
      <c r="KPM11" s="537"/>
      <c r="KPN11" s="537"/>
      <c r="KPO11" s="537"/>
      <c r="KPP11" s="537"/>
      <c r="KPQ11" s="537"/>
      <c r="KPR11" s="537"/>
      <c r="KPS11" s="537"/>
      <c r="KPT11" s="537"/>
      <c r="KPU11" s="537"/>
      <c r="KPV11" s="537"/>
      <c r="KPW11" s="537"/>
      <c r="KPX11" s="537"/>
      <c r="KPY11" s="537"/>
      <c r="KPZ11" s="537"/>
      <c r="KQA11" s="537"/>
      <c r="KQB11" s="537"/>
      <c r="KQC11" s="537"/>
      <c r="KQD11" s="537"/>
      <c r="KQE11" s="537"/>
      <c r="KQF11" s="537"/>
      <c r="KQG11" s="537"/>
      <c r="KQH11" s="537"/>
      <c r="KQI11" s="537"/>
      <c r="KQJ11" s="537"/>
      <c r="KQK11" s="537"/>
      <c r="KQL11" s="537"/>
      <c r="KQM11" s="537"/>
      <c r="KQN11" s="537"/>
      <c r="KQO11" s="537"/>
      <c r="KQP11" s="537"/>
      <c r="KQQ11" s="537"/>
      <c r="KQR11" s="537"/>
      <c r="KQS11" s="537"/>
      <c r="KQT11" s="537"/>
      <c r="KQU11" s="537"/>
      <c r="KQV11" s="537"/>
      <c r="KQW11" s="537"/>
      <c r="KQX11" s="537"/>
      <c r="KQY11" s="537"/>
      <c r="KQZ11" s="537"/>
      <c r="KRA11" s="537"/>
      <c r="KRB11" s="537"/>
      <c r="KRC11" s="537"/>
      <c r="KRD11" s="537"/>
      <c r="KRE11" s="537"/>
      <c r="KRF11" s="537"/>
      <c r="KRG11" s="537"/>
      <c r="KRH11" s="537"/>
      <c r="KRI11" s="537"/>
      <c r="KRJ11" s="537"/>
      <c r="KRK11" s="537"/>
      <c r="KRL11" s="537"/>
      <c r="KRM11" s="537"/>
      <c r="KRN11" s="537"/>
      <c r="KRO11" s="537"/>
      <c r="KRP11" s="537"/>
      <c r="KRQ11" s="537"/>
      <c r="KRR11" s="537"/>
      <c r="KRS11" s="537"/>
      <c r="KRT11" s="537"/>
      <c r="KRU11" s="537"/>
      <c r="KRV11" s="537"/>
      <c r="KRW11" s="537"/>
      <c r="KRX11" s="537"/>
      <c r="KRY11" s="537"/>
      <c r="KRZ11" s="537"/>
      <c r="KSA11" s="537"/>
      <c r="KSB11" s="537"/>
      <c r="KSC11" s="537"/>
      <c r="KSD11" s="537"/>
      <c r="KSE11" s="537"/>
      <c r="KSF11" s="537"/>
      <c r="KSG11" s="537"/>
      <c r="KSH11" s="537"/>
      <c r="KSI11" s="537"/>
      <c r="KSJ11" s="537"/>
      <c r="KSK11" s="537"/>
      <c r="KSL11" s="537"/>
      <c r="KSM11" s="537"/>
      <c r="KSN11" s="537"/>
      <c r="KSO11" s="537"/>
      <c r="KSP11" s="537"/>
      <c r="KSQ11" s="537"/>
      <c r="KSR11" s="537"/>
      <c r="KSS11" s="537"/>
      <c r="KST11" s="537"/>
      <c r="KSU11" s="537"/>
      <c r="KSV11" s="537"/>
      <c r="KSW11" s="537"/>
      <c r="KSX11" s="537"/>
      <c r="KSY11" s="537"/>
      <c r="KSZ11" s="537"/>
      <c r="KTA11" s="537"/>
      <c r="KTB11" s="537"/>
      <c r="KTC11" s="537"/>
      <c r="KTD11" s="537"/>
      <c r="KTE11" s="537"/>
      <c r="KTF11" s="537"/>
      <c r="KTG11" s="537"/>
      <c r="KTH11" s="537"/>
      <c r="KTI11" s="537"/>
      <c r="KTJ11" s="537"/>
      <c r="KTK11" s="537"/>
      <c r="KTL11" s="537"/>
      <c r="KTM11" s="537"/>
      <c r="KTN11" s="537"/>
      <c r="KTO11" s="537"/>
      <c r="KTP11" s="537"/>
      <c r="KTQ11" s="537"/>
      <c r="KTR11" s="537"/>
      <c r="KTS11" s="537"/>
      <c r="KTT11" s="537"/>
      <c r="KTU11" s="537"/>
      <c r="KTV11" s="537"/>
      <c r="KTW11" s="537"/>
      <c r="KTX11" s="537"/>
      <c r="KTY11" s="537"/>
      <c r="KTZ11" s="537"/>
      <c r="KUA11" s="537"/>
      <c r="KUB11" s="537"/>
      <c r="KUC11" s="537"/>
      <c r="KUD11" s="537"/>
      <c r="KUE11" s="537"/>
      <c r="KUF11" s="537"/>
      <c r="KUG11" s="537"/>
      <c r="KUH11" s="537"/>
      <c r="KUI11" s="537"/>
      <c r="KUJ11" s="537"/>
      <c r="KUK11" s="537"/>
      <c r="KUL11" s="537"/>
      <c r="KUM11" s="537"/>
      <c r="KUN11" s="537"/>
      <c r="KUO11" s="537"/>
      <c r="KUP11" s="537"/>
      <c r="KUQ11" s="537"/>
      <c r="KUR11" s="537"/>
      <c r="KUS11" s="537"/>
      <c r="KUT11" s="537"/>
      <c r="KUU11" s="537"/>
      <c r="KUV11" s="537"/>
      <c r="KUW11" s="537"/>
      <c r="KUX11" s="537"/>
      <c r="KUY11" s="537"/>
      <c r="KUZ11" s="537"/>
      <c r="KVA11" s="537"/>
      <c r="KVB11" s="537"/>
      <c r="KVC11" s="537"/>
      <c r="KVD11" s="537"/>
      <c r="KVE11" s="537"/>
      <c r="KVF11" s="537"/>
      <c r="KVG11" s="537"/>
      <c r="KVH11" s="537"/>
      <c r="KVI11" s="537"/>
      <c r="KVJ11" s="537"/>
      <c r="KVK11" s="537"/>
      <c r="KVL11" s="537"/>
      <c r="KVM11" s="537"/>
      <c r="KVN11" s="537"/>
      <c r="KVO11" s="537"/>
      <c r="KVP11" s="537"/>
      <c r="KVQ11" s="537"/>
      <c r="KVR11" s="537"/>
      <c r="KVS11" s="537"/>
      <c r="KVT11" s="537"/>
      <c r="KVU11" s="537"/>
      <c r="KVV11" s="537"/>
      <c r="KVW11" s="537"/>
      <c r="KVX11" s="537"/>
      <c r="KVY11" s="537"/>
      <c r="KVZ11" s="537"/>
      <c r="KWA11" s="537"/>
      <c r="KWB11" s="537"/>
      <c r="KWC11" s="537"/>
      <c r="KWD11" s="537"/>
      <c r="KWE11" s="537"/>
      <c r="KWF11" s="537"/>
      <c r="KWG11" s="537"/>
      <c r="KWH11" s="537"/>
      <c r="KWI11" s="537"/>
      <c r="KWJ11" s="537"/>
      <c r="KWK11" s="537"/>
      <c r="KWL11" s="537"/>
      <c r="KWM11" s="537"/>
      <c r="KWN11" s="537"/>
      <c r="KWO11" s="537"/>
      <c r="KWP11" s="537"/>
      <c r="KWQ11" s="537"/>
      <c r="KWR11" s="537"/>
      <c r="KWS11" s="537"/>
      <c r="KWT11" s="537"/>
      <c r="KWU11" s="537"/>
      <c r="KWV11" s="537"/>
      <c r="KWW11" s="537"/>
      <c r="KWX11" s="537"/>
      <c r="KWY11" s="537"/>
      <c r="KWZ11" s="537"/>
      <c r="KXA11" s="537"/>
      <c r="KXB11" s="537"/>
      <c r="KXC11" s="537"/>
      <c r="KXD11" s="537"/>
      <c r="KXE11" s="537"/>
      <c r="KXF11" s="537"/>
      <c r="KXG11" s="537"/>
      <c r="KXH11" s="537"/>
      <c r="KXI11" s="537"/>
      <c r="KXJ11" s="537"/>
      <c r="KXK11" s="537"/>
      <c r="KXL11" s="537"/>
      <c r="KXM11" s="537"/>
      <c r="KXN11" s="537"/>
      <c r="KXO11" s="537"/>
      <c r="KXP11" s="537"/>
      <c r="KXQ11" s="537"/>
      <c r="KXR11" s="537"/>
      <c r="KXS11" s="537"/>
      <c r="KXT11" s="537"/>
      <c r="KXU11" s="537"/>
      <c r="KXV11" s="537"/>
      <c r="KXW11" s="537"/>
      <c r="KXX11" s="537"/>
      <c r="KXY11" s="537"/>
      <c r="KXZ11" s="537"/>
      <c r="KYA11" s="537"/>
      <c r="KYB11" s="537"/>
      <c r="KYC11" s="537"/>
      <c r="KYD11" s="537"/>
      <c r="KYE11" s="537"/>
      <c r="KYF11" s="537"/>
      <c r="KYG11" s="537"/>
      <c r="KYH11" s="537"/>
      <c r="KYI11" s="537"/>
      <c r="KYJ11" s="537"/>
      <c r="KYK11" s="537"/>
      <c r="KYL11" s="537"/>
      <c r="KYM11" s="537"/>
      <c r="KYN11" s="537"/>
      <c r="KYO11" s="537"/>
      <c r="KYP11" s="537"/>
      <c r="KYQ11" s="537"/>
      <c r="KYR11" s="537"/>
      <c r="KYS11" s="537"/>
      <c r="KYT11" s="537"/>
      <c r="KYU11" s="537"/>
      <c r="KYV11" s="537"/>
      <c r="KYW11" s="537"/>
      <c r="KYX11" s="537"/>
      <c r="KYY11" s="537"/>
      <c r="KYZ11" s="537"/>
      <c r="KZA11" s="537"/>
      <c r="KZB11" s="537"/>
      <c r="KZC11" s="537"/>
      <c r="KZD11" s="537"/>
      <c r="KZE11" s="537"/>
      <c r="KZF11" s="537"/>
      <c r="KZG11" s="537"/>
      <c r="KZH11" s="537"/>
      <c r="KZI11" s="537"/>
      <c r="KZJ11" s="537"/>
      <c r="KZK11" s="537"/>
      <c r="KZL11" s="537"/>
      <c r="KZM11" s="537"/>
      <c r="KZN11" s="537"/>
      <c r="KZO11" s="537"/>
      <c r="KZP11" s="537"/>
      <c r="KZQ11" s="537"/>
      <c r="KZR11" s="537"/>
      <c r="KZS11" s="537"/>
      <c r="KZT11" s="537"/>
      <c r="KZU11" s="537"/>
      <c r="KZV11" s="537"/>
      <c r="KZW11" s="537"/>
      <c r="KZX11" s="537"/>
      <c r="KZY11" s="537"/>
      <c r="KZZ11" s="537"/>
      <c r="LAA11" s="537"/>
      <c r="LAB11" s="537"/>
      <c r="LAC11" s="537"/>
      <c r="LAD11" s="537"/>
      <c r="LAE11" s="537"/>
      <c r="LAF11" s="537"/>
      <c r="LAG11" s="537"/>
      <c r="LAH11" s="537"/>
      <c r="LAI11" s="537"/>
      <c r="LAJ11" s="537"/>
      <c r="LAK11" s="537"/>
      <c r="LAL11" s="537"/>
      <c r="LAM11" s="537"/>
      <c r="LAN11" s="537"/>
      <c r="LAO11" s="537"/>
      <c r="LAP11" s="537"/>
      <c r="LAQ11" s="537"/>
      <c r="LAR11" s="537"/>
      <c r="LAS11" s="537"/>
      <c r="LAT11" s="537"/>
      <c r="LAU11" s="537"/>
      <c r="LAV11" s="537"/>
      <c r="LAW11" s="537"/>
      <c r="LAX11" s="537"/>
      <c r="LAY11" s="537"/>
      <c r="LAZ11" s="537"/>
      <c r="LBA11" s="537"/>
      <c r="LBB11" s="537"/>
      <c r="LBC11" s="537"/>
      <c r="LBD11" s="537"/>
      <c r="LBE11" s="537"/>
      <c r="LBF11" s="537"/>
      <c r="LBG11" s="537"/>
      <c r="LBH11" s="537"/>
      <c r="LBI11" s="537"/>
      <c r="LBJ11" s="537"/>
      <c r="LBK11" s="537"/>
      <c r="LBL11" s="537"/>
      <c r="LBM11" s="537"/>
      <c r="LBN11" s="537"/>
      <c r="LBO11" s="537"/>
      <c r="LBP11" s="537"/>
      <c r="LBQ11" s="537"/>
      <c r="LBR11" s="537"/>
      <c r="LBS11" s="537"/>
      <c r="LBT11" s="537"/>
      <c r="LBU11" s="537"/>
      <c r="LBV11" s="537"/>
      <c r="LBW11" s="537"/>
      <c r="LBX11" s="537"/>
      <c r="LBY11" s="537"/>
      <c r="LBZ11" s="537"/>
      <c r="LCA11" s="537"/>
      <c r="LCB11" s="537"/>
      <c r="LCC11" s="537"/>
      <c r="LCD11" s="537"/>
      <c r="LCE11" s="537"/>
      <c r="LCF11" s="537"/>
      <c r="LCG11" s="537"/>
      <c r="LCH11" s="537"/>
      <c r="LCI11" s="537"/>
      <c r="LCJ11" s="537"/>
      <c r="LCK11" s="537"/>
      <c r="LCL11" s="537"/>
      <c r="LCM11" s="537"/>
      <c r="LCN11" s="537"/>
      <c r="LCO11" s="537"/>
      <c r="LCP11" s="537"/>
      <c r="LCQ11" s="537"/>
      <c r="LCR11" s="537"/>
      <c r="LCS11" s="537"/>
      <c r="LCT11" s="537"/>
      <c r="LCU11" s="537"/>
      <c r="LCV11" s="537"/>
      <c r="LCW11" s="537"/>
      <c r="LCX11" s="537"/>
      <c r="LCY11" s="537"/>
      <c r="LCZ11" s="537"/>
      <c r="LDA11" s="537"/>
      <c r="LDB11" s="537"/>
      <c r="LDC11" s="537"/>
      <c r="LDD11" s="537"/>
      <c r="LDE11" s="537"/>
      <c r="LDF11" s="537"/>
      <c r="LDG11" s="537"/>
      <c r="LDH11" s="537"/>
      <c r="LDI11" s="537"/>
      <c r="LDJ11" s="537"/>
      <c r="LDK11" s="537"/>
      <c r="LDL11" s="537"/>
      <c r="LDM11" s="537"/>
      <c r="LDN11" s="537"/>
      <c r="LDO11" s="537"/>
      <c r="LDP11" s="537"/>
      <c r="LDQ11" s="537"/>
      <c r="LDR11" s="537"/>
      <c r="LDS11" s="537"/>
      <c r="LDT11" s="537"/>
      <c r="LDU11" s="537"/>
      <c r="LDV11" s="537"/>
      <c r="LDW11" s="537"/>
      <c r="LDX11" s="537"/>
      <c r="LDY11" s="537"/>
      <c r="LDZ11" s="537"/>
      <c r="LEA11" s="537"/>
      <c r="LEB11" s="537"/>
      <c r="LEC11" s="537"/>
      <c r="LED11" s="537"/>
      <c r="LEE11" s="537"/>
      <c r="LEF11" s="537"/>
      <c r="LEG11" s="537"/>
      <c r="LEH11" s="537"/>
      <c r="LEI11" s="537"/>
      <c r="LEJ11" s="537"/>
      <c r="LEK11" s="537"/>
      <c r="LEL11" s="537"/>
      <c r="LEM11" s="537"/>
      <c r="LEN11" s="537"/>
      <c r="LEO11" s="537"/>
      <c r="LEP11" s="537"/>
      <c r="LEQ11" s="537"/>
      <c r="LER11" s="537"/>
      <c r="LES11" s="537"/>
      <c r="LET11" s="537"/>
      <c r="LEU11" s="537"/>
      <c r="LEV11" s="537"/>
      <c r="LEW11" s="537"/>
      <c r="LEX11" s="537"/>
      <c r="LEY11" s="537"/>
      <c r="LEZ11" s="537"/>
      <c r="LFA11" s="537"/>
      <c r="LFB11" s="537"/>
      <c r="LFC11" s="537"/>
      <c r="LFD11" s="537"/>
      <c r="LFE11" s="537"/>
      <c r="LFF11" s="537"/>
      <c r="LFG11" s="537"/>
      <c r="LFH11" s="537"/>
      <c r="LFI11" s="537"/>
      <c r="LFJ11" s="537"/>
      <c r="LFK11" s="537"/>
      <c r="LFL11" s="537"/>
      <c r="LFM11" s="537"/>
      <c r="LFN11" s="537"/>
      <c r="LFO11" s="537"/>
      <c r="LFP11" s="537"/>
      <c r="LFQ11" s="537"/>
      <c r="LFR11" s="537"/>
      <c r="LFS11" s="537"/>
      <c r="LFT11" s="537"/>
      <c r="LFU11" s="537"/>
      <c r="LFV11" s="537"/>
      <c r="LFW11" s="537"/>
      <c r="LFX11" s="537"/>
      <c r="LFY11" s="537"/>
      <c r="LFZ11" s="537"/>
      <c r="LGA11" s="537"/>
      <c r="LGB11" s="537"/>
      <c r="LGC11" s="537"/>
      <c r="LGD11" s="537"/>
      <c r="LGE11" s="537"/>
      <c r="LGF11" s="537"/>
      <c r="LGG11" s="537"/>
      <c r="LGH11" s="537"/>
      <c r="LGI11" s="537"/>
      <c r="LGJ11" s="537"/>
      <c r="LGK11" s="537"/>
      <c r="LGL11" s="537"/>
      <c r="LGM11" s="537"/>
      <c r="LGN11" s="537"/>
      <c r="LGO11" s="537"/>
      <c r="LGP11" s="537"/>
      <c r="LGQ11" s="537"/>
      <c r="LGR11" s="537"/>
      <c r="LGS11" s="537"/>
      <c r="LGT11" s="537"/>
      <c r="LGU11" s="537"/>
      <c r="LGV11" s="537"/>
      <c r="LGW11" s="537"/>
      <c r="LGX11" s="537"/>
      <c r="LGY11" s="537"/>
      <c r="LGZ11" s="537"/>
      <c r="LHA11" s="537"/>
      <c r="LHB11" s="537"/>
      <c r="LHC11" s="537"/>
      <c r="LHD11" s="537"/>
      <c r="LHE11" s="537"/>
      <c r="LHF11" s="537"/>
      <c r="LHG11" s="537"/>
      <c r="LHH11" s="537"/>
      <c r="LHI11" s="537"/>
      <c r="LHJ11" s="537"/>
      <c r="LHK11" s="537"/>
      <c r="LHL11" s="537"/>
      <c r="LHM11" s="537"/>
      <c r="LHN11" s="537"/>
      <c r="LHO11" s="537"/>
      <c r="LHP11" s="537"/>
      <c r="LHQ11" s="537"/>
      <c r="LHR11" s="537"/>
      <c r="LHS11" s="537"/>
      <c r="LHT11" s="537"/>
      <c r="LHU11" s="537"/>
      <c r="LHV11" s="537"/>
      <c r="LHW11" s="537"/>
      <c r="LHX11" s="537"/>
      <c r="LHY11" s="537"/>
      <c r="LHZ11" s="537"/>
      <c r="LIA11" s="537"/>
      <c r="LIB11" s="537"/>
      <c r="LIC11" s="537"/>
      <c r="LID11" s="537"/>
      <c r="LIE11" s="537"/>
      <c r="LIF11" s="537"/>
      <c r="LIG11" s="537"/>
      <c r="LIH11" s="537"/>
      <c r="LII11" s="537"/>
      <c r="LIJ11" s="537"/>
      <c r="LIK11" s="537"/>
      <c r="LIL11" s="537"/>
      <c r="LIM11" s="537"/>
      <c r="LIN11" s="537"/>
      <c r="LIO11" s="537"/>
      <c r="LIP11" s="537"/>
      <c r="LIQ11" s="537"/>
      <c r="LIR11" s="537"/>
      <c r="LIS11" s="537"/>
      <c r="LIT11" s="537"/>
      <c r="LIU11" s="537"/>
      <c r="LIV11" s="537"/>
      <c r="LIW11" s="537"/>
      <c r="LIX11" s="537"/>
      <c r="LIY11" s="537"/>
      <c r="LIZ11" s="537"/>
      <c r="LJA11" s="537"/>
      <c r="LJB11" s="537"/>
      <c r="LJC11" s="537"/>
      <c r="LJD11" s="537"/>
      <c r="LJE11" s="537"/>
      <c r="LJF11" s="537"/>
      <c r="LJG11" s="537"/>
      <c r="LJH11" s="537"/>
      <c r="LJI11" s="537"/>
      <c r="LJJ11" s="537"/>
      <c r="LJK11" s="537"/>
      <c r="LJL11" s="537"/>
      <c r="LJM11" s="537"/>
      <c r="LJN11" s="537"/>
      <c r="LJO11" s="537"/>
      <c r="LJP11" s="537"/>
      <c r="LJQ11" s="537"/>
      <c r="LJR11" s="537"/>
      <c r="LJS11" s="537"/>
      <c r="LJT11" s="537"/>
      <c r="LJU11" s="537"/>
      <c r="LJV11" s="537"/>
      <c r="LJW11" s="537"/>
      <c r="LJX11" s="537"/>
      <c r="LJY11" s="537"/>
      <c r="LJZ11" s="537"/>
      <c r="LKA11" s="537"/>
      <c r="LKB11" s="537"/>
      <c r="LKC11" s="537"/>
      <c r="LKD11" s="537"/>
      <c r="LKE11" s="537"/>
      <c r="LKF11" s="537"/>
      <c r="LKG11" s="537"/>
      <c r="LKH11" s="537"/>
      <c r="LKI11" s="537"/>
      <c r="LKJ11" s="537"/>
      <c r="LKK11" s="537"/>
      <c r="LKL11" s="537"/>
      <c r="LKM11" s="537"/>
      <c r="LKN11" s="537"/>
      <c r="LKO11" s="537"/>
      <c r="LKP11" s="537"/>
      <c r="LKQ11" s="537"/>
      <c r="LKR11" s="537"/>
      <c r="LKS11" s="537"/>
      <c r="LKT11" s="537"/>
      <c r="LKU11" s="537"/>
      <c r="LKV11" s="537"/>
      <c r="LKW11" s="537"/>
      <c r="LKX11" s="537"/>
      <c r="LKY11" s="537"/>
      <c r="LKZ11" s="537"/>
      <c r="LLA11" s="537"/>
      <c r="LLB11" s="537"/>
      <c r="LLC11" s="537"/>
      <c r="LLD11" s="537"/>
      <c r="LLE11" s="537"/>
      <c r="LLF11" s="537"/>
      <c r="LLG11" s="537"/>
      <c r="LLH11" s="537"/>
      <c r="LLI11" s="537"/>
      <c r="LLJ11" s="537"/>
      <c r="LLK11" s="537"/>
      <c r="LLL11" s="537"/>
      <c r="LLM11" s="537"/>
      <c r="LLN11" s="537"/>
      <c r="LLO11" s="537"/>
      <c r="LLP11" s="537"/>
      <c r="LLQ11" s="537"/>
      <c r="LLR11" s="537"/>
      <c r="LLS11" s="537"/>
      <c r="LLT11" s="537"/>
      <c r="LLU11" s="537"/>
      <c r="LLV11" s="537"/>
      <c r="LLW11" s="537"/>
      <c r="LLX11" s="537"/>
      <c r="LLY11" s="537"/>
      <c r="LLZ11" s="537"/>
      <c r="LMA11" s="537"/>
      <c r="LMB11" s="537"/>
      <c r="LMC11" s="537"/>
      <c r="LMD11" s="537"/>
      <c r="LME11" s="537"/>
      <c r="LMF11" s="537"/>
      <c r="LMG11" s="537"/>
      <c r="LMH11" s="537"/>
      <c r="LMI11" s="537"/>
      <c r="LMJ11" s="537"/>
      <c r="LMK11" s="537"/>
      <c r="LML11" s="537"/>
      <c r="LMM11" s="537"/>
      <c r="LMN11" s="537"/>
      <c r="LMO11" s="537"/>
      <c r="LMP11" s="537"/>
      <c r="LMQ11" s="537"/>
      <c r="LMR11" s="537"/>
      <c r="LMS11" s="537"/>
      <c r="LMT11" s="537"/>
      <c r="LMU11" s="537"/>
      <c r="LMV11" s="537"/>
      <c r="LMW11" s="537"/>
      <c r="LMX11" s="537"/>
      <c r="LMY11" s="537"/>
      <c r="LMZ11" s="537"/>
      <c r="LNA11" s="537"/>
      <c r="LNB11" s="537"/>
      <c r="LNC11" s="537"/>
      <c r="LND11" s="537"/>
      <c r="LNE11" s="537"/>
      <c r="LNF11" s="537"/>
      <c r="LNG11" s="537"/>
      <c r="LNH11" s="537"/>
      <c r="LNI11" s="537"/>
      <c r="LNJ11" s="537"/>
      <c r="LNK11" s="537"/>
      <c r="LNL11" s="537"/>
      <c r="LNM11" s="537"/>
      <c r="LNN11" s="537"/>
      <c r="LNO11" s="537"/>
      <c r="LNP11" s="537"/>
      <c r="LNQ11" s="537"/>
      <c r="LNR11" s="537"/>
      <c r="LNS11" s="537"/>
      <c r="LNT11" s="537"/>
      <c r="LNU11" s="537"/>
      <c r="LNV11" s="537"/>
      <c r="LNW11" s="537"/>
      <c r="LNX11" s="537"/>
      <c r="LNY11" s="537"/>
      <c r="LNZ11" s="537"/>
      <c r="LOA11" s="537"/>
      <c r="LOB11" s="537"/>
      <c r="LOC11" s="537"/>
      <c r="LOD11" s="537"/>
      <c r="LOE11" s="537"/>
      <c r="LOF11" s="537"/>
      <c r="LOG11" s="537"/>
      <c r="LOH11" s="537"/>
      <c r="LOI11" s="537"/>
      <c r="LOJ11" s="537"/>
      <c r="LOK11" s="537"/>
      <c r="LOL11" s="537"/>
      <c r="LOM11" s="537"/>
      <c r="LON11" s="537"/>
      <c r="LOO11" s="537"/>
      <c r="LOP11" s="537"/>
      <c r="LOQ11" s="537"/>
      <c r="LOR11" s="537"/>
      <c r="LOS11" s="537"/>
      <c r="LOT11" s="537"/>
      <c r="LOU11" s="537"/>
      <c r="LOV11" s="537"/>
      <c r="LOW11" s="537"/>
      <c r="LOX11" s="537"/>
      <c r="LOY11" s="537"/>
      <c r="LOZ11" s="537"/>
      <c r="LPA11" s="537"/>
      <c r="LPB11" s="537"/>
      <c r="LPC11" s="537"/>
      <c r="LPD11" s="537"/>
      <c r="LPE11" s="537"/>
      <c r="LPF11" s="537"/>
      <c r="LPG11" s="537"/>
      <c r="LPH11" s="537"/>
      <c r="LPI11" s="537"/>
      <c r="LPJ11" s="537"/>
      <c r="LPK11" s="537"/>
      <c r="LPL11" s="537"/>
      <c r="LPM11" s="537"/>
      <c r="LPN11" s="537"/>
      <c r="LPO11" s="537"/>
      <c r="LPP11" s="537"/>
      <c r="LPQ11" s="537"/>
      <c r="LPR11" s="537"/>
      <c r="LPS11" s="537"/>
      <c r="LPT11" s="537"/>
      <c r="LPU11" s="537"/>
      <c r="LPV11" s="537"/>
      <c r="LPW11" s="537"/>
      <c r="LPX11" s="537"/>
      <c r="LPY11" s="537"/>
      <c r="LPZ11" s="537"/>
      <c r="LQA11" s="537"/>
      <c r="LQB11" s="537"/>
      <c r="LQC11" s="537"/>
      <c r="LQD11" s="537"/>
      <c r="LQE11" s="537"/>
      <c r="LQF11" s="537"/>
      <c r="LQG11" s="537"/>
      <c r="LQH11" s="537"/>
      <c r="LQI11" s="537"/>
      <c r="LQJ11" s="537"/>
      <c r="LQK11" s="537"/>
      <c r="LQL11" s="537"/>
      <c r="LQM11" s="537"/>
      <c r="LQN11" s="537"/>
      <c r="LQO11" s="537"/>
      <c r="LQP11" s="537"/>
      <c r="LQQ11" s="537"/>
      <c r="LQR11" s="537"/>
      <c r="LQS11" s="537"/>
      <c r="LQT11" s="537"/>
      <c r="LQU11" s="537"/>
      <c r="LQV11" s="537"/>
      <c r="LQW11" s="537"/>
      <c r="LQX11" s="537"/>
      <c r="LQY11" s="537"/>
      <c r="LQZ11" s="537"/>
      <c r="LRA11" s="537"/>
      <c r="LRB11" s="537"/>
      <c r="LRC11" s="537"/>
      <c r="LRD11" s="537"/>
      <c r="LRE11" s="537"/>
      <c r="LRF11" s="537"/>
      <c r="LRG11" s="537"/>
      <c r="LRH11" s="537"/>
      <c r="LRI11" s="537"/>
      <c r="LRJ11" s="537"/>
      <c r="LRK11" s="537"/>
      <c r="LRL11" s="537"/>
      <c r="LRM11" s="537"/>
      <c r="LRN11" s="537"/>
      <c r="LRO11" s="537"/>
      <c r="LRP11" s="537"/>
      <c r="LRQ11" s="537"/>
      <c r="LRR11" s="537"/>
      <c r="LRS11" s="537"/>
      <c r="LRT11" s="537"/>
      <c r="LRU11" s="537"/>
      <c r="LRV11" s="537"/>
      <c r="LRW11" s="537"/>
      <c r="LRX11" s="537"/>
      <c r="LRY11" s="537"/>
      <c r="LRZ11" s="537"/>
      <c r="LSA11" s="537"/>
      <c r="LSB11" s="537"/>
      <c r="LSC11" s="537"/>
      <c r="LSD11" s="537"/>
      <c r="LSE11" s="537"/>
      <c r="LSF11" s="537"/>
      <c r="LSG11" s="537"/>
      <c r="LSH11" s="537"/>
      <c r="LSI11" s="537"/>
      <c r="LSJ11" s="537"/>
      <c r="LSK11" s="537"/>
      <c r="LSL11" s="537"/>
      <c r="LSM11" s="537"/>
      <c r="LSN11" s="537"/>
      <c r="LSO11" s="537"/>
      <c r="LSP11" s="537"/>
      <c r="LSQ11" s="537"/>
      <c r="LSR11" s="537"/>
      <c r="LSS11" s="537"/>
      <c r="LST11" s="537"/>
      <c r="LSU11" s="537"/>
      <c r="LSV11" s="537"/>
      <c r="LSW11" s="537"/>
      <c r="LSX11" s="537"/>
      <c r="LSY11" s="537"/>
      <c r="LSZ11" s="537"/>
      <c r="LTA11" s="537"/>
      <c r="LTB11" s="537"/>
      <c r="LTC11" s="537"/>
      <c r="LTD11" s="537"/>
      <c r="LTE11" s="537"/>
      <c r="LTF11" s="537"/>
      <c r="LTG11" s="537"/>
      <c r="LTH11" s="537"/>
      <c r="LTI11" s="537"/>
      <c r="LTJ11" s="537"/>
      <c r="LTK11" s="537"/>
      <c r="LTL11" s="537"/>
      <c r="LTM11" s="537"/>
      <c r="LTN11" s="537"/>
      <c r="LTO11" s="537"/>
      <c r="LTP11" s="537"/>
      <c r="LTQ11" s="537"/>
      <c r="LTR11" s="537"/>
      <c r="LTS11" s="537"/>
      <c r="LTT11" s="537"/>
      <c r="LTU11" s="537"/>
      <c r="LTV11" s="537"/>
      <c r="LTW11" s="537"/>
      <c r="LTX11" s="537"/>
      <c r="LTY11" s="537"/>
      <c r="LTZ11" s="537"/>
      <c r="LUA11" s="537"/>
      <c r="LUB11" s="537"/>
      <c r="LUC11" s="537"/>
      <c r="LUD11" s="537"/>
      <c r="LUE11" s="537"/>
      <c r="LUF11" s="537"/>
      <c r="LUG11" s="537"/>
      <c r="LUH11" s="537"/>
      <c r="LUI11" s="537"/>
      <c r="LUJ11" s="537"/>
      <c r="LUK11" s="537"/>
      <c r="LUL11" s="537"/>
      <c r="LUM11" s="537"/>
      <c r="LUN11" s="537"/>
      <c r="LUO11" s="537"/>
      <c r="LUP11" s="537"/>
      <c r="LUQ11" s="537"/>
      <c r="LUR11" s="537"/>
      <c r="LUS11" s="537"/>
      <c r="LUT11" s="537"/>
      <c r="LUU11" s="537"/>
      <c r="LUV11" s="537"/>
      <c r="LUW11" s="537"/>
      <c r="LUX11" s="537"/>
      <c r="LUY11" s="537"/>
      <c r="LUZ11" s="537"/>
      <c r="LVA11" s="537"/>
      <c r="LVB11" s="537"/>
      <c r="LVC11" s="537"/>
      <c r="LVD11" s="537"/>
      <c r="LVE11" s="537"/>
      <c r="LVF11" s="537"/>
      <c r="LVG11" s="537"/>
      <c r="LVH11" s="537"/>
      <c r="LVI11" s="537"/>
      <c r="LVJ11" s="537"/>
      <c r="LVK11" s="537"/>
      <c r="LVL11" s="537"/>
      <c r="LVM11" s="537"/>
      <c r="LVN11" s="537"/>
      <c r="LVO11" s="537"/>
      <c r="LVP11" s="537"/>
      <c r="LVQ11" s="537"/>
      <c r="LVR11" s="537"/>
      <c r="LVS11" s="537"/>
      <c r="LVT11" s="537"/>
      <c r="LVU11" s="537"/>
      <c r="LVV11" s="537"/>
      <c r="LVW11" s="537"/>
      <c r="LVX11" s="537"/>
      <c r="LVY11" s="537"/>
      <c r="LVZ11" s="537"/>
      <c r="LWA11" s="537"/>
      <c r="LWB11" s="537"/>
      <c r="LWC11" s="537"/>
      <c r="LWD11" s="537"/>
      <c r="LWE11" s="537"/>
      <c r="LWF11" s="537"/>
      <c r="LWG11" s="537"/>
      <c r="LWH11" s="537"/>
      <c r="LWI11" s="537"/>
      <c r="LWJ11" s="537"/>
      <c r="LWK11" s="537"/>
      <c r="LWL11" s="537"/>
      <c r="LWM11" s="537"/>
      <c r="LWN11" s="537"/>
      <c r="LWO11" s="537"/>
      <c r="LWP11" s="537"/>
      <c r="LWQ11" s="537"/>
      <c r="LWR11" s="537"/>
      <c r="LWS11" s="537"/>
      <c r="LWT11" s="537"/>
      <c r="LWU11" s="537"/>
      <c r="LWV11" s="537"/>
      <c r="LWW11" s="537"/>
      <c r="LWX11" s="537"/>
      <c r="LWY11" s="537"/>
      <c r="LWZ11" s="537"/>
      <c r="LXA11" s="537"/>
      <c r="LXB11" s="537"/>
      <c r="LXC11" s="537"/>
      <c r="LXD11" s="537"/>
      <c r="LXE11" s="537"/>
      <c r="LXF11" s="537"/>
      <c r="LXG11" s="537"/>
      <c r="LXH11" s="537"/>
      <c r="LXI11" s="537"/>
      <c r="LXJ11" s="537"/>
      <c r="LXK11" s="537"/>
      <c r="LXL11" s="537"/>
      <c r="LXM11" s="537"/>
      <c r="LXN11" s="537"/>
      <c r="LXO11" s="537"/>
      <c r="LXP11" s="537"/>
      <c r="LXQ11" s="537"/>
      <c r="LXR11" s="537"/>
      <c r="LXS11" s="537"/>
      <c r="LXT11" s="537"/>
      <c r="LXU11" s="537"/>
      <c r="LXV11" s="537"/>
      <c r="LXW11" s="537"/>
      <c r="LXX11" s="537"/>
      <c r="LXY11" s="537"/>
      <c r="LXZ11" s="537"/>
      <c r="LYA11" s="537"/>
      <c r="LYB11" s="537"/>
      <c r="LYC11" s="537"/>
      <c r="LYD11" s="537"/>
      <c r="LYE11" s="537"/>
      <c r="LYF11" s="537"/>
      <c r="LYG11" s="537"/>
      <c r="LYH11" s="537"/>
      <c r="LYI11" s="537"/>
      <c r="LYJ11" s="537"/>
      <c r="LYK11" s="537"/>
      <c r="LYL11" s="537"/>
      <c r="LYM11" s="537"/>
      <c r="LYN11" s="537"/>
      <c r="LYO11" s="537"/>
      <c r="LYP11" s="537"/>
      <c r="LYQ11" s="537"/>
      <c r="LYR11" s="537"/>
      <c r="LYS11" s="537"/>
      <c r="LYT11" s="537"/>
      <c r="LYU11" s="537"/>
      <c r="LYV11" s="537"/>
      <c r="LYW11" s="537"/>
      <c r="LYX11" s="537"/>
      <c r="LYY11" s="537"/>
      <c r="LYZ11" s="537"/>
      <c r="LZA11" s="537"/>
      <c r="LZB11" s="537"/>
      <c r="LZC11" s="537"/>
      <c r="LZD11" s="537"/>
      <c r="LZE11" s="537"/>
      <c r="LZF11" s="537"/>
      <c r="LZG11" s="537"/>
      <c r="LZH11" s="537"/>
      <c r="LZI11" s="537"/>
      <c r="LZJ11" s="537"/>
      <c r="LZK11" s="537"/>
      <c r="LZL11" s="537"/>
      <c r="LZM11" s="537"/>
      <c r="LZN11" s="537"/>
      <c r="LZO11" s="537"/>
      <c r="LZP11" s="537"/>
      <c r="LZQ11" s="537"/>
      <c r="LZR11" s="537"/>
      <c r="LZS11" s="537"/>
      <c r="LZT11" s="537"/>
      <c r="LZU11" s="537"/>
      <c r="LZV11" s="537"/>
      <c r="LZW11" s="537"/>
      <c r="LZX11" s="537"/>
      <c r="LZY11" s="537"/>
      <c r="LZZ11" s="537"/>
      <c r="MAA11" s="537"/>
      <c r="MAB11" s="537"/>
      <c r="MAC11" s="537"/>
      <c r="MAD11" s="537"/>
      <c r="MAE11" s="537"/>
      <c r="MAF11" s="537"/>
      <c r="MAG11" s="537"/>
      <c r="MAH11" s="537"/>
      <c r="MAI11" s="537"/>
      <c r="MAJ11" s="537"/>
      <c r="MAK11" s="537"/>
      <c r="MAL11" s="537"/>
      <c r="MAM11" s="537"/>
      <c r="MAN11" s="537"/>
      <c r="MAO11" s="537"/>
      <c r="MAP11" s="537"/>
      <c r="MAQ11" s="537"/>
      <c r="MAR11" s="537"/>
      <c r="MAS11" s="537"/>
      <c r="MAT11" s="537"/>
      <c r="MAU11" s="537"/>
      <c r="MAV11" s="537"/>
      <c r="MAW11" s="537"/>
      <c r="MAX11" s="537"/>
      <c r="MAY11" s="537"/>
      <c r="MAZ11" s="537"/>
      <c r="MBA11" s="537"/>
      <c r="MBB11" s="537"/>
      <c r="MBC11" s="537"/>
      <c r="MBD11" s="537"/>
      <c r="MBE11" s="537"/>
      <c r="MBF11" s="537"/>
      <c r="MBG11" s="537"/>
      <c r="MBH11" s="537"/>
      <c r="MBI11" s="537"/>
      <c r="MBJ11" s="537"/>
      <c r="MBK11" s="537"/>
      <c r="MBL11" s="537"/>
      <c r="MBM11" s="537"/>
      <c r="MBN11" s="537"/>
      <c r="MBO11" s="537"/>
      <c r="MBP11" s="537"/>
      <c r="MBQ11" s="537"/>
      <c r="MBR11" s="537"/>
      <c r="MBS11" s="537"/>
      <c r="MBT11" s="537"/>
      <c r="MBU11" s="537"/>
      <c r="MBV11" s="537"/>
      <c r="MBW11" s="537"/>
      <c r="MBX11" s="537"/>
      <c r="MBY11" s="537"/>
      <c r="MBZ11" s="537"/>
      <c r="MCA11" s="537"/>
      <c r="MCB11" s="537"/>
      <c r="MCC11" s="537"/>
      <c r="MCD11" s="537"/>
      <c r="MCE11" s="537"/>
      <c r="MCF11" s="537"/>
      <c r="MCG11" s="537"/>
      <c r="MCH11" s="537"/>
      <c r="MCI11" s="537"/>
      <c r="MCJ11" s="537"/>
      <c r="MCK11" s="537"/>
      <c r="MCL11" s="537"/>
      <c r="MCM11" s="537"/>
      <c r="MCN11" s="537"/>
      <c r="MCO11" s="537"/>
      <c r="MCP11" s="537"/>
      <c r="MCQ11" s="537"/>
      <c r="MCR11" s="537"/>
      <c r="MCS11" s="537"/>
      <c r="MCT11" s="537"/>
      <c r="MCU11" s="537"/>
      <c r="MCV11" s="537"/>
      <c r="MCW11" s="537"/>
      <c r="MCX11" s="537"/>
      <c r="MCY11" s="537"/>
      <c r="MCZ11" s="537"/>
      <c r="MDA11" s="537"/>
      <c r="MDB11" s="537"/>
      <c r="MDC11" s="537"/>
      <c r="MDD11" s="537"/>
      <c r="MDE11" s="537"/>
      <c r="MDF11" s="537"/>
      <c r="MDG11" s="537"/>
      <c r="MDH11" s="537"/>
      <c r="MDI11" s="537"/>
      <c r="MDJ11" s="537"/>
      <c r="MDK11" s="537"/>
      <c r="MDL11" s="537"/>
      <c r="MDM11" s="537"/>
      <c r="MDN11" s="537"/>
      <c r="MDO11" s="537"/>
      <c r="MDP11" s="537"/>
      <c r="MDQ11" s="537"/>
      <c r="MDR11" s="537"/>
      <c r="MDS11" s="537"/>
      <c r="MDT11" s="537"/>
      <c r="MDU11" s="537"/>
      <c r="MDV11" s="537"/>
      <c r="MDW11" s="537"/>
      <c r="MDX11" s="537"/>
      <c r="MDY11" s="537"/>
      <c r="MDZ11" s="537"/>
      <c r="MEA11" s="537"/>
      <c r="MEB11" s="537"/>
      <c r="MEC11" s="537"/>
      <c r="MED11" s="537"/>
      <c r="MEE11" s="537"/>
      <c r="MEF11" s="537"/>
      <c r="MEG11" s="537"/>
      <c r="MEH11" s="537"/>
      <c r="MEI11" s="537"/>
      <c r="MEJ11" s="537"/>
      <c r="MEK11" s="537"/>
      <c r="MEL11" s="537"/>
      <c r="MEM11" s="537"/>
      <c r="MEN11" s="537"/>
      <c r="MEO11" s="537"/>
      <c r="MEP11" s="537"/>
      <c r="MEQ11" s="537"/>
      <c r="MER11" s="537"/>
      <c r="MES11" s="537"/>
      <c r="MET11" s="537"/>
      <c r="MEU11" s="537"/>
      <c r="MEV11" s="537"/>
      <c r="MEW11" s="537"/>
      <c r="MEX11" s="537"/>
      <c r="MEY11" s="537"/>
      <c r="MEZ11" s="537"/>
      <c r="MFA11" s="537"/>
      <c r="MFB11" s="537"/>
      <c r="MFC11" s="537"/>
      <c r="MFD11" s="537"/>
      <c r="MFE11" s="537"/>
      <c r="MFF11" s="537"/>
      <c r="MFG11" s="537"/>
      <c r="MFH11" s="537"/>
      <c r="MFI11" s="537"/>
      <c r="MFJ11" s="537"/>
      <c r="MFK11" s="537"/>
      <c r="MFL11" s="537"/>
      <c r="MFM11" s="537"/>
      <c r="MFN11" s="537"/>
      <c r="MFO11" s="537"/>
      <c r="MFP11" s="537"/>
      <c r="MFQ11" s="537"/>
      <c r="MFR11" s="537"/>
      <c r="MFS11" s="537"/>
      <c r="MFT11" s="537"/>
      <c r="MFU11" s="537"/>
      <c r="MFV11" s="537"/>
      <c r="MFW11" s="537"/>
      <c r="MFX11" s="537"/>
      <c r="MFY11" s="537"/>
      <c r="MFZ11" s="537"/>
      <c r="MGA11" s="537"/>
      <c r="MGB11" s="537"/>
      <c r="MGC11" s="537"/>
      <c r="MGD11" s="537"/>
      <c r="MGE11" s="537"/>
      <c r="MGF11" s="537"/>
      <c r="MGG11" s="537"/>
      <c r="MGH11" s="537"/>
      <c r="MGI11" s="537"/>
      <c r="MGJ11" s="537"/>
      <c r="MGK11" s="537"/>
      <c r="MGL11" s="537"/>
      <c r="MGM11" s="537"/>
      <c r="MGN11" s="537"/>
      <c r="MGO11" s="537"/>
      <c r="MGP11" s="537"/>
      <c r="MGQ11" s="537"/>
      <c r="MGR11" s="537"/>
      <c r="MGS11" s="537"/>
      <c r="MGT11" s="537"/>
      <c r="MGU11" s="537"/>
      <c r="MGV11" s="537"/>
      <c r="MGW11" s="537"/>
      <c r="MGX11" s="537"/>
      <c r="MGY11" s="537"/>
      <c r="MGZ11" s="537"/>
      <c r="MHA11" s="537"/>
      <c r="MHB11" s="537"/>
      <c r="MHC11" s="537"/>
      <c r="MHD11" s="537"/>
      <c r="MHE11" s="537"/>
      <c r="MHF11" s="537"/>
      <c r="MHG11" s="537"/>
      <c r="MHH11" s="537"/>
      <c r="MHI11" s="537"/>
      <c r="MHJ11" s="537"/>
      <c r="MHK11" s="537"/>
      <c r="MHL11" s="537"/>
      <c r="MHM11" s="537"/>
      <c r="MHN11" s="537"/>
      <c r="MHO11" s="537"/>
      <c r="MHP11" s="537"/>
      <c r="MHQ11" s="537"/>
      <c r="MHR11" s="537"/>
      <c r="MHS11" s="537"/>
      <c r="MHT11" s="537"/>
      <c r="MHU11" s="537"/>
      <c r="MHV11" s="537"/>
      <c r="MHW11" s="537"/>
      <c r="MHX11" s="537"/>
      <c r="MHY11" s="537"/>
      <c r="MHZ11" s="537"/>
      <c r="MIA11" s="537"/>
      <c r="MIB11" s="537"/>
      <c r="MIC11" s="537"/>
      <c r="MID11" s="537"/>
      <c r="MIE11" s="537"/>
      <c r="MIF11" s="537"/>
      <c r="MIG11" s="537"/>
      <c r="MIH11" s="537"/>
      <c r="MII11" s="537"/>
      <c r="MIJ11" s="537"/>
      <c r="MIK11" s="537"/>
      <c r="MIL11" s="537"/>
      <c r="MIM11" s="537"/>
      <c r="MIN11" s="537"/>
      <c r="MIO11" s="537"/>
      <c r="MIP11" s="537"/>
      <c r="MIQ11" s="537"/>
      <c r="MIR11" s="537"/>
      <c r="MIS11" s="537"/>
      <c r="MIT11" s="537"/>
      <c r="MIU11" s="537"/>
      <c r="MIV11" s="537"/>
      <c r="MIW11" s="537"/>
      <c r="MIX11" s="537"/>
      <c r="MIY11" s="537"/>
      <c r="MIZ11" s="537"/>
      <c r="MJA11" s="537"/>
      <c r="MJB11" s="537"/>
      <c r="MJC11" s="537"/>
      <c r="MJD11" s="537"/>
      <c r="MJE11" s="537"/>
      <c r="MJF11" s="537"/>
      <c r="MJG11" s="537"/>
      <c r="MJH11" s="537"/>
      <c r="MJI11" s="537"/>
      <c r="MJJ11" s="537"/>
      <c r="MJK11" s="537"/>
      <c r="MJL11" s="537"/>
      <c r="MJM11" s="537"/>
      <c r="MJN11" s="537"/>
      <c r="MJO11" s="537"/>
      <c r="MJP11" s="537"/>
      <c r="MJQ11" s="537"/>
      <c r="MJR11" s="537"/>
      <c r="MJS11" s="537"/>
      <c r="MJT11" s="537"/>
      <c r="MJU11" s="537"/>
      <c r="MJV11" s="537"/>
      <c r="MJW11" s="537"/>
      <c r="MJX11" s="537"/>
      <c r="MJY11" s="537"/>
      <c r="MJZ11" s="537"/>
      <c r="MKA11" s="537"/>
      <c r="MKB11" s="537"/>
      <c r="MKC11" s="537"/>
      <c r="MKD11" s="537"/>
      <c r="MKE11" s="537"/>
      <c r="MKF11" s="537"/>
      <c r="MKG11" s="537"/>
      <c r="MKH11" s="537"/>
      <c r="MKI11" s="537"/>
      <c r="MKJ11" s="537"/>
      <c r="MKK11" s="537"/>
      <c r="MKL11" s="537"/>
      <c r="MKM11" s="537"/>
      <c r="MKN11" s="537"/>
      <c r="MKO11" s="537"/>
      <c r="MKP11" s="537"/>
      <c r="MKQ11" s="537"/>
      <c r="MKR11" s="537"/>
      <c r="MKS11" s="537"/>
      <c r="MKT11" s="537"/>
      <c r="MKU11" s="537"/>
      <c r="MKV11" s="537"/>
      <c r="MKW11" s="537"/>
      <c r="MKX11" s="537"/>
      <c r="MKY11" s="537"/>
      <c r="MKZ11" s="537"/>
      <c r="MLA11" s="537"/>
      <c r="MLB11" s="537"/>
      <c r="MLC11" s="537"/>
      <c r="MLD11" s="537"/>
      <c r="MLE11" s="537"/>
      <c r="MLF11" s="537"/>
      <c r="MLG11" s="537"/>
      <c r="MLH11" s="537"/>
      <c r="MLI11" s="537"/>
      <c r="MLJ11" s="537"/>
      <c r="MLK11" s="537"/>
      <c r="MLL11" s="537"/>
      <c r="MLM11" s="537"/>
      <c r="MLN11" s="537"/>
      <c r="MLO11" s="537"/>
      <c r="MLP11" s="537"/>
      <c r="MLQ11" s="537"/>
      <c r="MLR11" s="537"/>
      <c r="MLS11" s="537"/>
      <c r="MLT11" s="537"/>
      <c r="MLU11" s="537"/>
      <c r="MLV11" s="537"/>
      <c r="MLW11" s="537"/>
      <c r="MLX11" s="537"/>
      <c r="MLY11" s="537"/>
      <c r="MLZ11" s="537"/>
      <c r="MMA11" s="537"/>
      <c r="MMB11" s="537"/>
      <c r="MMC11" s="537"/>
      <c r="MMD11" s="537"/>
      <c r="MME11" s="537"/>
      <c r="MMF11" s="537"/>
      <c r="MMG11" s="537"/>
      <c r="MMH11" s="537"/>
      <c r="MMI11" s="537"/>
      <c r="MMJ11" s="537"/>
      <c r="MMK11" s="537"/>
      <c r="MML11" s="537"/>
      <c r="MMM11" s="537"/>
      <c r="MMN11" s="537"/>
      <c r="MMO11" s="537"/>
      <c r="MMP11" s="537"/>
      <c r="MMQ11" s="537"/>
      <c r="MMR11" s="537"/>
      <c r="MMS11" s="537"/>
      <c r="MMT11" s="537"/>
      <c r="MMU11" s="537"/>
      <c r="MMV11" s="537"/>
      <c r="MMW11" s="537"/>
      <c r="MMX11" s="537"/>
      <c r="MMY11" s="537"/>
      <c r="MMZ11" s="537"/>
      <c r="MNA11" s="537"/>
      <c r="MNB11" s="537"/>
      <c r="MNC11" s="537"/>
      <c r="MND11" s="537"/>
      <c r="MNE11" s="537"/>
      <c r="MNF11" s="537"/>
      <c r="MNG11" s="537"/>
      <c r="MNH11" s="537"/>
      <c r="MNI11" s="537"/>
      <c r="MNJ11" s="537"/>
      <c r="MNK11" s="537"/>
      <c r="MNL11" s="537"/>
      <c r="MNM11" s="537"/>
      <c r="MNN11" s="537"/>
      <c r="MNO11" s="537"/>
      <c r="MNP11" s="537"/>
      <c r="MNQ11" s="537"/>
      <c r="MNR11" s="537"/>
      <c r="MNS11" s="537"/>
      <c r="MNT11" s="537"/>
      <c r="MNU11" s="537"/>
      <c r="MNV11" s="537"/>
      <c r="MNW11" s="537"/>
      <c r="MNX11" s="537"/>
      <c r="MNY11" s="537"/>
      <c r="MNZ11" s="537"/>
      <c r="MOA11" s="537"/>
      <c r="MOB11" s="537"/>
      <c r="MOC11" s="537"/>
      <c r="MOD11" s="537"/>
      <c r="MOE11" s="537"/>
      <c r="MOF11" s="537"/>
      <c r="MOG11" s="537"/>
      <c r="MOH11" s="537"/>
      <c r="MOI11" s="537"/>
      <c r="MOJ11" s="537"/>
      <c r="MOK11" s="537"/>
      <c r="MOL11" s="537"/>
      <c r="MOM11" s="537"/>
      <c r="MON11" s="537"/>
      <c r="MOO11" s="537"/>
      <c r="MOP11" s="537"/>
      <c r="MOQ11" s="537"/>
      <c r="MOR11" s="537"/>
      <c r="MOS11" s="537"/>
      <c r="MOT11" s="537"/>
      <c r="MOU11" s="537"/>
      <c r="MOV11" s="537"/>
      <c r="MOW11" s="537"/>
      <c r="MOX11" s="537"/>
      <c r="MOY11" s="537"/>
      <c r="MOZ11" s="537"/>
      <c r="MPA11" s="537"/>
      <c r="MPB11" s="537"/>
      <c r="MPC11" s="537"/>
      <c r="MPD11" s="537"/>
      <c r="MPE11" s="537"/>
      <c r="MPF11" s="537"/>
      <c r="MPG11" s="537"/>
      <c r="MPH11" s="537"/>
      <c r="MPI11" s="537"/>
      <c r="MPJ11" s="537"/>
      <c r="MPK11" s="537"/>
      <c r="MPL11" s="537"/>
      <c r="MPM11" s="537"/>
      <c r="MPN11" s="537"/>
      <c r="MPO11" s="537"/>
      <c r="MPP11" s="537"/>
      <c r="MPQ11" s="537"/>
      <c r="MPR11" s="537"/>
      <c r="MPS11" s="537"/>
      <c r="MPT11" s="537"/>
      <c r="MPU11" s="537"/>
      <c r="MPV11" s="537"/>
      <c r="MPW11" s="537"/>
      <c r="MPX11" s="537"/>
      <c r="MPY11" s="537"/>
      <c r="MPZ11" s="537"/>
      <c r="MQA11" s="537"/>
      <c r="MQB11" s="537"/>
      <c r="MQC11" s="537"/>
      <c r="MQD11" s="537"/>
      <c r="MQE11" s="537"/>
      <c r="MQF11" s="537"/>
      <c r="MQG11" s="537"/>
      <c r="MQH11" s="537"/>
      <c r="MQI11" s="537"/>
      <c r="MQJ11" s="537"/>
      <c r="MQK11" s="537"/>
      <c r="MQL11" s="537"/>
      <c r="MQM11" s="537"/>
      <c r="MQN11" s="537"/>
      <c r="MQO11" s="537"/>
      <c r="MQP11" s="537"/>
      <c r="MQQ11" s="537"/>
      <c r="MQR11" s="537"/>
      <c r="MQS11" s="537"/>
      <c r="MQT11" s="537"/>
      <c r="MQU11" s="537"/>
      <c r="MQV11" s="537"/>
      <c r="MQW11" s="537"/>
      <c r="MQX11" s="537"/>
      <c r="MQY11" s="537"/>
      <c r="MQZ11" s="537"/>
      <c r="MRA11" s="537"/>
      <c r="MRB11" s="537"/>
      <c r="MRC11" s="537"/>
      <c r="MRD11" s="537"/>
      <c r="MRE11" s="537"/>
      <c r="MRF11" s="537"/>
      <c r="MRG11" s="537"/>
      <c r="MRH11" s="537"/>
      <c r="MRI11" s="537"/>
      <c r="MRJ11" s="537"/>
      <c r="MRK11" s="537"/>
      <c r="MRL11" s="537"/>
      <c r="MRM11" s="537"/>
      <c r="MRN11" s="537"/>
      <c r="MRO11" s="537"/>
      <c r="MRP11" s="537"/>
      <c r="MRQ11" s="537"/>
      <c r="MRR11" s="537"/>
      <c r="MRS11" s="537"/>
      <c r="MRT11" s="537"/>
      <c r="MRU11" s="537"/>
      <c r="MRV11" s="537"/>
      <c r="MRW11" s="537"/>
      <c r="MRX11" s="537"/>
      <c r="MRY11" s="537"/>
      <c r="MRZ11" s="537"/>
      <c r="MSA11" s="537"/>
      <c r="MSB11" s="537"/>
      <c r="MSC11" s="537"/>
      <c r="MSD11" s="537"/>
      <c r="MSE11" s="537"/>
      <c r="MSF11" s="537"/>
      <c r="MSG11" s="537"/>
      <c r="MSH11" s="537"/>
      <c r="MSI11" s="537"/>
      <c r="MSJ11" s="537"/>
      <c r="MSK11" s="537"/>
      <c r="MSL11" s="537"/>
      <c r="MSM11" s="537"/>
      <c r="MSN11" s="537"/>
      <c r="MSO11" s="537"/>
      <c r="MSP11" s="537"/>
      <c r="MSQ11" s="537"/>
      <c r="MSR11" s="537"/>
      <c r="MSS11" s="537"/>
      <c r="MST11" s="537"/>
      <c r="MSU11" s="537"/>
      <c r="MSV11" s="537"/>
      <c r="MSW11" s="537"/>
      <c r="MSX11" s="537"/>
      <c r="MSY11" s="537"/>
      <c r="MSZ11" s="537"/>
      <c r="MTA11" s="537"/>
      <c r="MTB11" s="537"/>
      <c r="MTC11" s="537"/>
      <c r="MTD11" s="537"/>
      <c r="MTE11" s="537"/>
      <c r="MTF11" s="537"/>
      <c r="MTG11" s="537"/>
      <c r="MTH11" s="537"/>
      <c r="MTI11" s="537"/>
      <c r="MTJ11" s="537"/>
      <c r="MTK11" s="537"/>
      <c r="MTL11" s="537"/>
      <c r="MTM11" s="537"/>
      <c r="MTN11" s="537"/>
      <c r="MTO11" s="537"/>
      <c r="MTP11" s="537"/>
      <c r="MTQ11" s="537"/>
      <c r="MTR11" s="537"/>
      <c r="MTS11" s="537"/>
      <c r="MTT11" s="537"/>
      <c r="MTU11" s="537"/>
      <c r="MTV11" s="537"/>
      <c r="MTW11" s="537"/>
      <c r="MTX11" s="537"/>
      <c r="MTY11" s="537"/>
      <c r="MTZ11" s="537"/>
      <c r="MUA11" s="537"/>
      <c r="MUB11" s="537"/>
      <c r="MUC11" s="537"/>
      <c r="MUD11" s="537"/>
      <c r="MUE11" s="537"/>
      <c r="MUF11" s="537"/>
      <c r="MUG11" s="537"/>
      <c r="MUH11" s="537"/>
      <c r="MUI11" s="537"/>
      <c r="MUJ11" s="537"/>
      <c r="MUK11" s="537"/>
      <c r="MUL11" s="537"/>
      <c r="MUM11" s="537"/>
      <c r="MUN11" s="537"/>
      <c r="MUO11" s="537"/>
      <c r="MUP11" s="537"/>
      <c r="MUQ11" s="537"/>
      <c r="MUR11" s="537"/>
      <c r="MUS11" s="537"/>
      <c r="MUT11" s="537"/>
      <c r="MUU11" s="537"/>
      <c r="MUV11" s="537"/>
      <c r="MUW11" s="537"/>
      <c r="MUX11" s="537"/>
      <c r="MUY11" s="537"/>
      <c r="MUZ11" s="537"/>
      <c r="MVA11" s="537"/>
      <c r="MVB11" s="537"/>
      <c r="MVC11" s="537"/>
      <c r="MVD11" s="537"/>
      <c r="MVE11" s="537"/>
      <c r="MVF11" s="537"/>
      <c r="MVG11" s="537"/>
      <c r="MVH11" s="537"/>
      <c r="MVI11" s="537"/>
      <c r="MVJ11" s="537"/>
      <c r="MVK11" s="537"/>
      <c r="MVL11" s="537"/>
      <c r="MVM11" s="537"/>
      <c r="MVN11" s="537"/>
      <c r="MVO11" s="537"/>
      <c r="MVP11" s="537"/>
      <c r="MVQ11" s="537"/>
      <c r="MVR11" s="537"/>
      <c r="MVS11" s="537"/>
      <c r="MVT11" s="537"/>
      <c r="MVU11" s="537"/>
      <c r="MVV11" s="537"/>
      <c r="MVW11" s="537"/>
      <c r="MVX11" s="537"/>
      <c r="MVY11" s="537"/>
      <c r="MVZ11" s="537"/>
      <c r="MWA11" s="537"/>
      <c r="MWB11" s="537"/>
      <c r="MWC11" s="537"/>
      <c r="MWD11" s="537"/>
      <c r="MWE11" s="537"/>
      <c r="MWF11" s="537"/>
      <c r="MWG11" s="537"/>
      <c r="MWH11" s="537"/>
      <c r="MWI11" s="537"/>
      <c r="MWJ11" s="537"/>
      <c r="MWK11" s="537"/>
      <c r="MWL11" s="537"/>
      <c r="MWM11" s="537"/>
      <c r="MWN11" s="537"/>
      <c r="MWO11" s="537"/>
      <c r="MWP11" s="537"/>
      <c r="MWQ11" s="537"/>
      <c r="MWR11" s="537"/>
      <c r="MWS11" s="537"/>
      <c r="MWT11" s="537"/>
      <c r="MWU11" s="537"/>
      <c r="MWV11" s="537"/>
      <c r="MWW11" s="537"/>
      <c r="MWX11" s="537"/>
      <c r="MWY11" s="537"/>
      <c r="MWZ11" s="537"/>
      <c r="MXA11" s="537"/>
      <c r="MXB11" s="537"/>
      <c r="MXC11" s="537"/>
      <c r="MXD11" s="537"/>
      <c r="MXE11" s="537"/>
      <c r="MXF11" s="537"/>
      <c r="MXG11" s="537"/>
      <c r="MXH11" s="537"/>
      <c r="MXI11" s="537"/>
      <c r="MXJ11" s="537"/>
      <c r="MXK11" s="537"/>
      <c r="MXL11" s="537"/>
      <c r="MXM11" s="537"/>
      <c r="MXN11" s="537"/>
      <c r="MXO11" s="537"/>
      <c r="MXP11" s="537"/>
      <c r="MXQ11" s="537"/>
      <c r="MXR11" s="537"/>
      <c r="MXS11" s="537"/>
      <c r="MXT11" s="537"/>
      <c r="MXU11" s="537"/>
      <c r="MXV11" s="537"/>
      <c r="MXW11" s="537"/>
      <c r="MXX11" s="537"/>
      <c r="MXY11" s="537"/>
      <c r="MXZ11" s="537"/>
      <c r="MYA11" s="537"/>
      <c r="MYB11" s="537"/>
      <c r="MYC11" s="537"/>
      <c r="MYD11" s="537"/>
      <c r="MYE11" s="537"/>
      <c r="MYF11" s="537"/>
      <c r="MYG11" s="537"/>
      <c r="MYH11" s="537"/>
      <c r="MYI11" s="537"/>
      <c r="MYJ11" s="537"/>
      <c r="MYK11" s="537"/>
      <c r="MYL11" s="537"/>
      <c r="MYM11" s="537"/>
      <c r="MYN11" s="537"/>
      <c r="MYO11" s="537"/>
      <c r="MYP11" s="537"/>
      <c r="MYQ11" s="537"/>
      <c r="MYR11" s="537"/>
      <c r="MYS11" s="537"/>
      <c r="MYT11" s="537"/>
      <c r="MYU11" s="537"/>
      <c r="MYV11" s="537"/>
      <c r="MYW11" s="537"/>
      <c r="MYX11" s="537"/>
      <c r="MYY11" s="537"/>
      <c r="MYZ11" s="537"/>
      <c r="MZA11" s="537"/>
      <c r="MZB11" s="537"/>
      <c r="MZC11" s="537"/>
      <c r="MZD11" s="537"/>
      <c r="MZE11" s="537"/>
      <c r="MZF11" s="537"/>
      <c r="MZG11" s="537"/>
      <c r="MZH11" s="537"/>
      <c r="MZI11" s="537"/>
      <c r="MZJ11" s="537"/>
      <c r="MZK11" s="537"/>
      <c r="MZL11" s="537"/>
      <c r="MZM11" s="537"/>
      <c r="MZN11" s="537"/>
      <c r="MZO11" s="537"/>
      <c r="MZP11" s="537"/>
      <c r="MZQ11" s="537"/>
      <c r="MZR11" s="537"/>
      <c r="MZS11" s="537"/>
      <c r="MZT11" s="537"/>
      <c r="MZU11" s="537"/>
      <c r="MZV11" s="537"/>
      <c r="MZW11" s="537"/>
      <c r="MZX11" s="537"/>
      <c r="MZY11" s="537"/>
      <c r="MZZ11" s="537"/>
      <c r="NAA11" s="537"/>
      <c r="NAB11" s="537"/>
      <c r="NAC11" s="537"/>
      <c r="NAD11" s="537"/>
      <c r="NAE11" s="537"/>
      <c r="NAF11" s="537"/>
      <c r="NAG11" s="537"/>
      <c r="NAH11" s="537"/>
      <c r="NAI11" s="537"/>
      <c r="NAJ11" s="537"/>
      <c r="NAK11" s="537"/>
      <c r="NAL11" s="537"/>
      <c r="NAM11" s="537"/>
      <c r="NAN11" s="537"/>
      <c r="NAO11" s="537"/>
      <c r="NAP11" s="537"/>
      <c r="NAQ11" s="537"/>
      <c r="NAR11" s="537"/>
      <c r="NAS11" s="537"/>
      <c r="NAT11" s="537"/>
      <c r="NAU11" s="537"/>
      <c r="NAV11" s="537"/>
      <c r="NAW11" s="537"/>
      <c r="NAX11" s="537"/>
      <c r="NAY11" s="537"/>
      <c r="NAZ11" s="537"/>
      <c r="NBA11" s="537"/>
      <c r="NBB11" s="537"/>
      <c r="NBC11" s="537"/>
      <c r="NBD11" s="537"/>
      <c r="NBE11" s="537"/>
      <c r="NBF11" s="537"/>
      <c r="NBG11" s="537"/>
      <c r="NBH11" s="537"/>
      <c r="NBI11" s="537"/>
      <c r="NBJ11" s="537"/>
      <c r="NBK11" s="537"/>
      <c r="NBL11" s="537"/>
      <c r="NBM11" s="537"/>
      <c r="NBN11" s="537"/>
      <c r="NBO11" s="537"/>
      <c r="NBP11" s="537"/>
      <c r="NBQ11" s="537"/>
      <c r="NBR11" s="537"/>
      <c r="NBS11" s="537"/>
      <c r="NBT11" s="537"/>
      <c r="NBU11" s="537"/>
      <c r="NBV11" s="537"/>
      <c r="NBW11" s="537"/>
      <c r="NBX11" s="537"/>
      <c r="NBY11" s="537"/>
      <c r="NBZ11" s="537"/>
      <c r="NCA11" s="537"/>
      <c r="NCB11" s="537"/>
      <c r="NCC11" s="537"/>
      <c r="NCD11" s="537"/>
      <c r="NCE11" s="537"/>
      <c r="NCF11" s="537"/>
      <c r="NCG11" s="537"/>
      <c r="NCH11" s="537"/>
      <c r="NCI11" s="537"/>
      <c r="NCJ11" s="537"/>
      <c r="NCK11" s="537"/>
      <c r="NCL11" s="537"/>
      <c r="NCM11" s="537"/>
      <c r="NCN11" s="537"/>
      <c r="NCO11" s="537"/>
      <c r="NCP11" s="537"/>
      <c r="NCQ11" s="537"/>
      <c r="NCR11" s="537"/>
      <c r="NCS11" s="537"/>
      <c r="NCT11" s="537"/>
      <c r="NCU11" s="537"/>
      <c r="NCV11" s="537"/>
      <c r="NCW11" s="537"/>
      <c r="NCX11" s="537"/>
      <c r="NCY11" s="537"/>
      <c r="NCZ11" s="537"/>
      <c r="NDA11" s="537"/>
      <c r="NDB11" s="537"/>
      <c r="NDC11" s="537"/>
      <c r="NDD11" s="537"/>
      <c r="NDE11" s="537"/>
      <c r="NDF11" s="537"/>
      <c r="NDG11" s="537"/>
      <c r="NDH11" s="537"/>
      <c r="NDI11" s="537"/>
      <c r="NDJ11" s="537"/>
      <c r="NDK11" s="537"/>
      <c r="NDL11" s="537"/>
      <c r="NDM11" s="537"/>
      <c r="NDN11" s="537"/>
      <c r="NDO11" s="537"/>
      <c r="NDP11" s="537"/>
      <c r="NDQ11" s="537"/>
      <c r="NDR11" s="537"/>
      <c r="NDS11" s="537"/>
      <c r="NDT11" s="537"/>
      <c r="NDU11" s="537"/>
      <c r="NDV11" s="537"/>
      <c r="NDW11" s="537"/>
      <c r="NDX11" s="537"/>
      <c r="NDY11" s="537"/>
      <c r="NDZ11" s="537"/>
      <c r="NEA11" s="537"/>
      <c r="NEB11" s="537"/>
      <c r="NEC11" s="537"/>
      <c r="NED11" s="537"/>
      <c r="NEE11" s="537"/>
      <c r="NEF11" s="537"/>
      <c r="NEG11" s="537"/>
      <c r="NEH11" s="537"/>
      <c r="NEI11" s="537"/>
      <c r="NEJ11" s="537"/>
      <c r="NEK11" s="537"/>
      <c r="NEL11" s="537"/>
      <c r="NEM11" s="537"/>
      <c r="NEN11" s="537"/>
      <c r="NEO11" s="537"/>
      <c r="NEP11" s="537"/>
      <c r="NEQ11" s="537"/>
      <c r="NER11" s="537"/>
      <c r="NES11" s="537"/>
      <c r="NET11" s="537"/>
      <c r="NEU11" s="537"/>
      <c r="NEV11" s="537"/>
      <c r="NEW11" s="537"/>
      <c r="NEX11" s="537"/>
      <c r="NEY11" s="537"/>
      <c r="NEZ11" s="537"/>
      <c r="NFA11" s="537"/>
      <c r="NFB11" s="537"/>
      <c r="NFC11" s="537"/>
      <c r="NFD11" s="537"/>
      <c r="NFE11" s="537"/>
      <c r="NFF11" s="537"/>
      <c r="NFG11" s="537"/>
      <c r="NFH11" s="537"/>
      <c r="NFI11" s="537"/>
      <c r="NFJ11" s="537"/>
      <c r="NFK11" s="537"/>
      <c r="NFL11" s="537"/>
      <c r="NFM11" s="537"/>
      <c r="NFN11" s="537"/>
      <c r="NFO11" s="537"/>
      <c r="NFP11" s="537"/>
      <c r="NFQ11" s="537"/>
      <c r="NFR11" s="537"/>
      <c r="NFS11" s="537"/>
      <c r="NFT11" s="537"/>
      <c r="NFU11" s="537"/>
      <c r="NFV11" s="537"/>
      <c r="NFW11" s="537"/>
      <c r="NFX11" s="537"/>
      <c r="NFY11" s="537"/>
      <c r="NFZ11" s="537"/>
      <c r="NGA11" s="537"/>
      <c r="NGB11" s="537"/>
      <c r="NGC11" s="537"/>
      <c r="NGD11" s="537"/>
      <c r="NGE11" s="537"/>
      <c r="NGF11" s="537"/>
      <c r="NGG11" s="537"/>
      <c r="NGH11" s="537"/>
      <c r="NGI11" s="537"/>
      <c r="NGJ11" s="537"/>
      <c r="NGK11" s="537"/>
      <c r="NGL11" s="537"/>
      <c r="NGM11" s="537"/>
      <c r="NGN11" s="537"/>
      <c r="NGO11" s="537"/>
      <c r="NGP11" s="537"/>
      <c r="NGQ11" s="537"/>
      <c r="NGR11" s="537"/>
      <c r="NGS11" s="537"/>
      <c r="NGT11" s="537"/>
      <c r="NGU11" s="537"/>
      <c r="NGV11" s="537"/>
      <c r="NGW11" s="537"/>
      <c r="NGX11" s="537"/>
      <c r="NGY11" s="537"/>
      <c r="NGZ11" s="537"/>
      <c r="NHA11" s="537"/>
      <c r="NHB11" s="537"/>
      <c r="NHC11" s="537"/>
      <c r="NHD11" s="537"/>
      <c r="NHE11" s="537"/>
      <c r="NHF11" s="537"/>
      <c r="NHG11" s="537"/>
      <c r="NHH11" s="537"/>
      <c r="NHI11" s="537"/>
      <c r="NHJ11" s="537"/>
      <c r="NHK11" s="537"/>
      <c r="NHL11" s="537"/>
      <c r="NHM11" s="537"/>
      <c r="NHN11" s="537"/>
      <c r="NHO11" s="537"/>
      <c r="NHP11" s="537"/>
      <c r="NHQ11" s="537"/>
      <c r="NHR11" s="537"/>
      <c r="NHS11" s="537"/>
      <c r="NHT11" s="537"/>
      <c r="NHU11" s="537"/>
      <c r="NHV11" s="537"/>
      <c r="NHW11" s="537"/>
      <c r="NHX11" s="537"/>
      <c r="NHY11" s="537"/>
      <c r="NHZ11" s="537"/>
      <c r="NIA11" s="537"/>
      <c r="NIB11" s="537"/>
      <c r="NIC11" s="537"/>
      <c r="NID11" s="537"/>
      <c r="NIE11" s="537"/>
      <c r="NIF11" s="537"/>
      <c r="NIG11" s="537"/>
      <c r="NIH11" s="537"/>
      <c r="NII11" s="537"/>
      <c r="NIJ11" s="537"/>
      <c r="NIK11" s="537"/>
      <c r="NIL11" s="537"/>
      <c r="NIM11" s="537"/>
      <c r="NIN11" s="537"/>
      <c r="NIO11" s="537"/>
      <c r="NIP11" s="537"/>
      <c r="NIQ11" s="537"/>
      <c r="NIR11" s="537"/>
      <c r="NIS11" s="537"/>
      <c r="NIT11" s="537"/>
      <c r="NIU11" s="537"/>
      <c r="NIV11" s="537"/>
      <c r="NIW11" s="537"/>
      <c r="NIX11" s="537"/>
      <c r="NIY11" s="537"/>
      <c r="NIZ11" s="537"/>
      <c r="NJA11" s="537"/>
      <c r="NJB11" s="537"/>
      <c r="NJC11" s="537"/>
      <c r="NJD11" s="537"/>
      <c r="NJE11" s="537"/>
      <c r="NJF11" s="537"/>
      <c r="NJG11" s="537"/>
      <c r="NJH11" s="537"/>
      <c r="NJI11" s="537"/>
      <c r="NJJ11" s="537"/>
      <c r="NJK11" s="537"/>
      <c r="NJL11" s="537"/>
      <c r="NJM11" s="537"/>
      <c r="NJN11" s="537"/>
      <c r="NJO11" s="537"/>
      <c r="NJP11" s="537"/>
      <c r="NJQ11" s="537"/>
      <c r="NJR11" s="537"/>
      <c r="NJS11" s="537"/>
      <c r="NJT11" s="537"/>
      <c r="NJU11" s="537"/>
      <c r="NJV11" s="537"/>
      <c r="NJW11" s="537"/>
      <c r="NJX11" s="537"/>
      <c r="NJY11" s="537"/>
      <c r="NJZ11" s="537"/>
      <c r="NKA11" s="537"/>
      <c r="NKB11" s="537"/>
      <c r="NKC11" s="537"/>
      <c r="NKD11" s="537"/>
      <c r="NKE11" s="537"/>
      <c r="NKF11" s="537"/>
      <c r="NKG11" s="537"/>
      <c r="NKH11" s="537"/>
      <c r="NKI11" s="537"/>
      <c r="NKJ11" s="537"/>
      <c r="NKK11" s="537"/>
      <c r="NKL11" s="537"/>
      <c r="NKM11" s="537"/>
      <c r="NKN11" s="537"/>
      <c r="NKO11" s="537"/>
      <c r="NKP11" s="537"/>
      <c r="NKQ11" s="537"/>
      <c r="NKR11" s="537"/>
      <c r="NKS11" s="537"/>
      <c r="NKT11" s="537"/>
      <c r="NKU11" s="537"/>
      <c r="NKV11" s="537"/>
      <c r="NKW11" s="537"/>
      <c r="NKX11" s="537"/>
      <c r="NKY11" s="537"/>
      <c r="NKZ11" s="537"/>
      <c r="NLA11" s="537"/>
      <c r="NLB11" s="537"/>
      <c r="NLC11" s="537"/>
      <c r="NLD11" s="537"/>
      <c r="NLE11" s="537"/>
      <c r="NLF11" s="537"/>
      <c r="NLG11" s="537"/>
      <c r="NLH11" s="537"/>
      <c r="NLI11" s="537"/>
      <c r="NLJ11" s="537"/>
      <c r="NLK11" s="537"/>
      <c r="NLL11" s="537"/>
      <c r="NLM11" s="537"/>
      <c r="NLN11" s="537"/>
      <c r="NLO11" s="537"/>
      <c r="NLP11" s="537"/>
      <c r="NLQ11" s="537"/>
      <c r="NLR11" s="537"/>
      <c r="NLS11" s="537"/>
      <c r="NLT11" s="537"/>
      <c r="NLU11" s="537"/>
      <c r="NLV11" s="537"/>
      <c r="NLW11" s="537"/>
      <c r="NLX11" s="537"/>
      <c r="NLY11" s="537"/>
      <c r="NLZ11" s="537"/>
      <c r="NMA11" s="537"/>
      <c r="NMB11" s="537"/>
      <c r="NMC11" s="537"/>
      <c r="NMD11" s="537"/>
      <c r="NME11" s="537"/>
      <c r="NMF11" s="537"/>
      <c r="NMG11" s="537"/>
      <c r="NMH11" s="537"/>
      <c r="NMI11" s="537"/>
      <c r="NMJ11" s="537"/>
      <c r="NMK11" s="537"/>
      <c r="NML11" s="537"/>
      <c r="NMM11" s="537"/>
      <c r="NMN11" s="537"/>
      <c r="NMO11" s="537"/>
      <c r="NMP11" s="537"/>
      <c r="NMQ11" s="537"/>
      <c r="NMR11" s="537"/>
      <c r="NMS11" s="537"/>
      <c r="NMT11" s="537"/>
      <c r="NMU11" s="537"/>
      <c r="NMV11" s="537"/>
      <c r="NMW11" s="537"/>
      <c r="NMX11" s="537"/>
      <c r="NMY11" s="537"/>
      <c r="NMZ11" s="537"/>
      <c r="NNA11" s="537"/>
      <c r="NNB11" s="537"/>
      <c r="NNC11" s="537"/>
      <c r="NND11" s="537"/>
      <c r="NNE11" s="537"/>
      <c r="NNF11" s="537"/>
      <c r="NNG11" s="537"/>
      <c r="NNH11" s="537"/>
      <c r="NNI11" s="537"/>
      <c r="NNJ11" s="537"/>
      <c r="NNK11" s="537"/>
      <c r="NNL11" s="537"/>
      <c r="NNM11" s="537"/>
      <c r="NNN11" s="537"/>
      <c r="NNO11" s="537"/>
      <c r="NNP11" s="537"/>
      <c r="NNQ11" s="537"/>
      <c r="NNR11" s="537"/>
      <c r="NNS11" s="537"/>
      <c r="NNT11" s="537"/>
      <c r="NNU11" s="537"/>
      <c r="NNV11" s="537"/>
      <c r="NNW11" s="537"/>
      <c r="NNX11" s="537"/>
      <c r="NNY11" s="537"/>
      <c r="NNZ11" s="537"/>
      <c r="NOA11" s="537"/>
      <c r="NOB11" s="537"/>
      <c r="NOC11" s="537"/>
      <c r="NOD11" s="537"/>
      <c r="NOE11" s="537"/>
      <c r="NOF11" s="537"/>
      <c r="NOG11" s="537"/>
      <c r="NOH11" s="537"/>
      <c r="NOI11" s="537"/>
      <c r="NOJ11" s="537"/>
      <c r="NOK11" s="537"/>
      <c r="NOL11" s="537"/>
      <c r="NOM11" s="537"/>
      <c r="NON11" s="537"/>
      <c r="NOO11" s="537"/>
      <c r="NOP11" s="537"/>
      <c r="NOQ11" s="537"/>
      <c r="NOR11" s="537"/>
      <c r="NOS11" s="537"/>
      <c r="NOT11" s="537"/>
      <c r="NOU11" s="537"/>
      <c r="NOV11" s="537"/>
      <c r="NOW11" s="537"/>
      <c r="NOX11" s="537"/>
      <c r="NOY11" s="537"/>
      <c r="NOZ11" s="537"/>
      <c r="NPA11" s="537"/>
      <c r="NPB11" s="537"/>
      <c r="NPC11" s="537"/>
      <c r="NPD11" s="537"/>
      <c r="NPE11" s="537"/>
      <c r="NPF11" s="537"/>
      <c r="NPG11" s="537"/>
      <c r="NPH11" s="537"/>
      <c r="NPI11" s="537"/>
      <c r="NPJ11" s="537"/>
      <c r="NPK11" s="537"/>
      <c r="NPL11" s="537"/>
      <c r="NPM11" s="537"/>
      <c r="NPN11" s="537"/>
      <c r="NPO11" s="537"/>
      <c r="NPP11" s="537"/>
      <c r="NPQ11" s="537"/>
      <c r="NPR11" s="537"/>
      <c r="NPS11" s="537"/>
      <c r="NPT11" s="537"/>
      <c r="NPU11" s="537"/>
      <c r="NPV11" s="537"/>
      <c r="NPW11" s="537"/>
      <c r="NPX11" s="537"/>
      <c r="NPY11" s="537"/>
      <c r="NPZ11" s="537"/>
      <c r="NQA11" s="537"/>
      <c r="NQB11" s="537"/>
      <c r="NQC11" s="537"/>
      <c r="NQD11" s="537"/>
      <c r="NQE11" s="537"/>
      <c r="NQF11" s="537"/>
      <c r="NQG11" s="537"/>
      <c r="NQH11" s="537"/>
      <c r="NQI11" s="537"/>
      <c r="NQJ11" s="537"/>
      <c r="NQK11" s="537"/>
      <c r="NQL11" s="537"/>
      <c r="NQM11" s="537"/>
      <c r="NQN11" s="537"/>
      <c r="NQO11" s="537"/>
      <c r="NQP11" s="537"/>
      <c r="NQQ11" s="537"/>
      <c r="NQR11" s="537"/>
      <c r="NQS11" s="537"/>
      <c r="NQT11" s="537"/>
      <c r="NQU11" s="537"/>
      <c r="NQV11" s="537"/>
      <c r="NQW11" s="537"/>
      <c r="NQX11" s="537"/>
      <c r="NQY11" s="537"/>
      <c r="NQZ11" s="537"/>
      <c r="NRA11" s="537"/>
      <c r="NRB11" s="537"/>
      <c r="NRC11" s="537"/>
      <c r="NRD11" s="537"/>
      <c r="NRE11" s="537"/>
      <c r="NRF11" s="537"/>
      <c r="NRG11" s="537"/>
      <c r="NRH11" s="537"/>
      <c r="NRI11" s="537"/>
      <c r="NRJ11" s="537"/>
      <c r="NRK11" s="537"/>
      <c r="NRL11" s="537"/>
      <c r="NRM11" s="537"/>
      <c r="NRN11" s="537"/>
      <c r="NRO11" s="537"/>
      <c r="NRP11" s="537"/>
      <c r="NRQ11" s="537"/>
      <c r="NRR11" s="537"/>
      <c r="NRS11" s="537"/>
      <c r="NRT11" s="537"/>
      <c r="NRU11" s="537"/>
      <c r="NRV11" s="537"/>
      <c r="NRW11" s="537"/>
      <c r="NRX11" s="537"/>
      <c r="NRY11" s="537"/>
      <c r="NRZ11" s="537"/>
      <c r="NSA11" s="537"/>
      <c r="NSB11" s="537"/>
      <c r="NSC11" s="537"/>
      <c r="NSD11" s="537"/>
      <c r="NSE11" s="537"/>
      <c r="NSF11" s="537"/>
      <c r="NSG11" s="537"/>
      <c r="NSH11" s="537"/>
      <c r="NSI11" s="537"/>
      <c r="NSJ11" s="537"/>
      <c r="NSK11" s="537"/>
      <c r="NSL11" s="537"/>
      <c r="NSM11" s="537"/>
      <c r="NSN11" s="537"/>
      <c r="NSO11" s="537"/>
      <c r="NSP11" s="537"/>
      <c r="NSQ11" s="537"/>
      <c r="NSR11" s="537"/>
      <c r="NSS11" s="537"/>
      <c r="NST11" s="537"/>
      <c r="NSU11" s="537"/>
      <c r="NSV11" s="537"/>
      <c r="NSW11" s="537"/>
      <c r="NSX11" s="537"/>
      <c r="NSY11" s="537"/>
      <c r="NSZ11" s="537"/>
      <c r="NTA11" s="537"/>
      <c r="NTB11" s="537"/>
      <c r="NTC11" s="537"/>
      <c r="NTD11" s="537"/>
      <c r="NTE11" s="537"/>
      <c r="NTF11" s="537"/>
      <c r="NTG11" s="537"/>
      <c r="NTH11" s="537"/>
      <c r="NTI11" s="537"/>
      <c r="NTJ11" s="537"/>
      <c r="NTK11" s="537"/>
      <c r="NTL11" s="537"/>
      <c r="NTM11" s="537"/>
      <c r="NTN11" s="537"/>
      <c r="NTO11" s="537"/>
      <c r="NTP11" s="537"/>
      <c r="NTQ11" s="537"/>
      <c r="NTR11" s="537"/>
      <c r="NTS11" s="537"/>
      <c r="NTT11" s="537"/>
      <c r="NTU11" s="537"/>
      <c r="NTV11" s="537"/>
      <c r="NTW11" s="537"/>
      <c r="NTX11" s="537"/>
      <c r="NTY11" s="537"/>
      <c r="NTZ11" s="537"/>
      <c r="NUA11" s="537"/>
      <c r="NUB11" s="537"/>
      <c r="NUC11" s="537"/>
      <c r="NUD11" s="537"/>
      <c r="NUE11" s="537"/>
      <c r="NUF11" s="537"/>
      <c r="NUG11" s="537"/>
      <c r="NUH11" s="537"/>
      <c r="NUI11" s="537"/>
      <c r="NUJ11" s="537"/>
      <c r="NUK11" s="537"/>
      <c r="NUL11" s="537"/>
      <c r="NUM11" s="537"/>
      <c r="NUN11" s="537"/>
      <c r="NUO11" s="537"/>
      <c r="NUP11" s="537"/>
      <c r="NUQ11" s="537"/>
      <c r="NUR11" s="537"/>
      <c r="NUS11" s="537"/>
      <c r="NUT11" s="537"/>
      <c r="NUU11" s="537"/>
      <c r="NUV11" s="537"/>
      <c r="NUW11" s="537"/>
      <c r="NUX11" s="537"/>
      <c r="NUY11" s="537"/>
      <c r="NUZ11" s="537"/>
      <c r="NVA11" s="537"/>
      <c r="NVB11" s="537"/>
      <c r="NVC11" s="537"/>
      <c r="NVD11" s="537"/>
      <c r="NVE11" s="537"/>
      <c r="NVF11" s="537"/>
      <c r="NVG11" s="537"/>
      <c r="NVH11" s="537"/>
      <c r="NVI11" s="537"/>
      <c r="NVJ11" s="537"/>
      <c r="NVK11" s="537"/>
      <c r="NVL11" s="537"/>
      <c r="NVM11" s="537"/>
      <c r="NVN11" s="537"/>
      <c r="NVO11" s="537"/>
      <c r="NVP11" s="537"/>
      <c r="NVQ11" s="537"/>
      <c r="NVR11" s="537"/>
      <c r="NVS11" s="537"/>
      <c r="NVT11" s="537"/>
      <c r="NVU11" s="537"/>
      <c r="NVV11" s="537"/>
      <c r="NVW11" s="537"/>
      <c r="NVX11" s="537"/>
      <c r="NVY11" s="537"/>
      <c r="NVZ11" s="537"/>
      <c r="NWA11" s="537"/>
      <c r="NWB11" s="537"/>
      <c r="NWC11" s="537"/>
      <c r="NWD11" s="537"/>
      <c r="NWE11" s="537"/>
      <c r="NWF11" s="537"/>
      <c r="NWG11" s="537"/>
      <c r="NWH11" s="537"/>
      <c r="NWI11" s="537"/>
      <c r="NWJ11" s="537"/>
      <c r="NWK11" s="537"/>
      <c r="NWL11" s="537"/>
      <c r="NWM11" s="537"/>
      <c r="NWN11" s="537"/>
      <c r="NWO11" s="537"/>
      <c r="NWP11" s="537"/>
      <c r="NWQ11" s="537"/>
      <c r="NWR11" s="537"/>
      <c r="NWS11" s="537"/>
      <c r="NWT11" s="537"/>
      <c r="NWU11" s="537"/>
      <c r="NWV11" s="537"/>
      <c r="NWW11" s="537"/>
      <c r="NWX11" s="537"/>
      <c r="NWY11" s="537"/>
      <c r="NWZ11" s="537"/>
      <c r="NXA11" s="537"/>
      <c r="NXB11" s="537"/>
      <c r="NXC11" s="537"/>
      <c r="NXD11" s="537"/>
      <c r="NXE11" s="537"/>
      <c r="NXF11" s="537"/>
      <c r="NXG11" s="537"/>
      <c r="NXH11" s="537"/>
      <c r="NXI11" s="537"/>
      <c r="NXJ11" s="537"/>
      <c r="NXK11" s="537"/>
      <c r="NXL11" s="537"/>
      <c r="NXM11" s="537"/>
      <c r="NXN11" s="537"/>
      <c r="NXO11" s="537"/>
      <c r="NXP11" s="537"/>
      <c r="NXQ11" s="537"/>
      <c r="NXR11" s="537"/>
      <c r="NXS11" s="537"/>
      <c r="NXT11" s="537"/>
      <c r="NXU11" s="537"/>
      <c r="NXV11" s="537"/>
      <c r="NXW11" s="537"/>
      <c r="NXX11" s="537"/>
      <c r="NXY11" s="537"/>
      <c r="NXZ11" s="537"/>
      <c r="NYA11" s="537"/>
      <c r="NYB11" s="537"/>
      <c r="NYC11" s="537"/>
      <c r="NYD11" s="537"/>
      <c r="NYE11" s="537"/>
      <c r="NYF11" s="537"/>
      <c r="NYG11" s="537"/>
      <c r="NYH11" s="537"/>
      <c r="NYI11" s="537"/>
      <c r="NYJ11" s="537"/>
      <c r="NYK11" s="537"/>
      <c r="NYL11" s="537"/>
      <c r="NYM11" s="537"/>
      <c r="NYN11" s="537"/>
      <c r="NYO11" s="537"/>
      <c r="NYP11" s="537"/>
      <c r="NYQ11" s="537"/>
      <c r="NYR11" s="537"/>
      <c r="NYS11" s="537"/>
      <c r="NYT11" s="537"/>
      <c r="NYU11" s="537"/>
      <c r="NYV11" s="537"/>
      <c r="NYW11" s="537"/>
      <c r="NYX11" s="537"/>
      <c r="NYY11" s="537"/>
      <c r="NYZ11" s="537"/>
      <c r="NZA11" s="537"/>
      <c r="NZB11" s="537"/>
      <c r="NZC11" s="537"/>
      <c r="NZD11" s="537"/>
      <c r="NZE11" s="537"/>
      <c r="NZF11" s="537"/>
      <c r="NZG11" s="537"/>
      <c r="NZH11" s="537"/>
      <c r="NZI11" s="537"/>
      <c r="NZJ11" s="537"/>
      <c r="NZK11" s="537"/>
      <c r="NZL11" s="537"/>
      <c r="NZM11" s="537"/>
      <c r="NZN11" s="537"/>
      <c r="NZO11" s="537"/>
      <c r="NZP11" s="537"/>
      <c r="NZQ11" s="537"/>
      <c r="NZR11" s="537"/>
      <c r="NZS11" s="537"/>
      <c r="NZT11" s="537"/>
      <c r="NZU11" s="537"/>
      <c r="NZV11" s="537"/>
      <c r="NZW11" s="537"/>
      <c r="NZX11" s="537"/>
      <c r="NZY11" s="537"/>
      <c r="NZZ11" s="537"/>
      <c r="OAA11" s="537"/>
      <c r="OAB11" s="537"/>
      <c r="OAC11" s="537"/>
      <c r="OAD11" s="537"/>
      <c r="OAE11" s="537"/>
      <c r="OAF11" s="537"/>
      <c r="OAG11" s="537"/>
      <c r="OAH11" s="537"/>
      <c r="OAI11" s="537"/>
      <c r="OAJ11" s="537"/>
      <c r="OAK11" s="537"/>
      <c r="OAL11" s="537"/>
      <c r="OAM11" s="537"/>
      <c r="OAN11" s="537"/>
      <c r="OAO11" s="537"/>
      <c r="OAP11" s="537"/>
      <c r="OAQ11" s="537"/>
      <c r="OAR11" s="537"/>
      <c r="OAS11" s="537"/>
      <c r="OAT11" s="537"/>
      <c r="OAU11" s="537"/>
      <c r="OAV11" s="537"/>
      <c r="OAW11" s="537"/>
      <c r="OAX11" s="537"/>
      <c r="OAY11" s="537"/>
      <c r="OAZ11" s="537"/>
      <c r="OBA11" s="537"/>
      <c r="OBB11" s="537"/>
      <c r="OBC11" s="537"/>
      <c r="OBD11" s="537"/>
      <c r="OBE11" s="537"/>
      <c r="OBF11" s="537"/>
      <c r="OBG11" s="537"/>
      <c r="OBH11" s="537"/>
      <c r="OBI11" s="537"/>
      <c r="OBJ11" s="537"/>
      <c r="OBK11" s="537"/>
      <c r="OBL11" s="537"/>
      <c r="OBM11" s="537"/>
      <c r="OBN11" s="537"/>
      <c r="OBO11" s="537"/>
      <c r="OBP11" s="537"/>
      <c r="OBQ11" s="537"/>
      <c r="OBR11" s="537"/>
      <c r="OBS11" s="537"/>
      <c r="OBT11" s="537"/>
      <c r="OBU11" s="537"/>
      <c r="OBV11" s="537"/>
      <c r="OBW11" s="537"/>
      <c r="OBX11" s="537"/>
      <c r="OBY11" s="537"/>
      <c r="OBZ11" s="537"/>
      <c r="OCA11" s="537"/>
      <c r="OCB11" s="537"/>
      <c r="OCC11" s="537"/>
      <c r="OCD11" s="537"/>
      <c r="OCE11" s="537"/>
      <c r="OCF11" s="537"/>
      <c r="OCG11" s="537"/>
      <c r="OCH11" s="537"/>
      <c r="OCI11" s="537"/>
      <c r="OCJ11" s="537"/>
      <c r="OCK11" s="537"/>
      <c r="OCL11" s="537"/>
      <c r="OCM11" s="537"/>
      <c r="OCN11" s="537"/>
      <c r="OCO11" s="537"/>
      <c r="OCP11" s="537"/>
      <c r="OCQ11" s="537"/>
      <c r="OCR11" s="537"/>
      <c r="OCS11" s="537"/>
      <c r="OCT11" s="537"/>
      <c r="OCU11" s="537"/>
      <c r="OCV11" s="537"/>
      <c r="OCW11" s="537"/>
      <c r="OCX11" s="537"/>
      <c r="OCY11" s="537"/>
      <c r="OCZ11" s="537"/>
      <c r="ODA11" s="537"/>
      <c r="ODB11" s="537"/>
      <c r="ODC11" s="537"/>
      <c r="ODD11" s="537"/>
      <c r="ODE11" s="537"/>
      <c r="ODF11" s="537"/>
      <c r="ODG11" s="537"/>
      <c r="ODH11" s="537"/>
      <c r="ODI11" s="537"/>
      <c r="ODJ11" s="537"/>
      <c r="ODK11" s="537"/>
      <c r="ODL11" s="537"/>
      <c r="ODM11" s="537"/>
      <c r="ODN11" s="537"/>
      <c r="ODO11" s="537"/>
      <c r="ODP11" s="537"/>
      <c r="ODQ11" s="537"/>
      <c r="ODR11" s="537"/>
      <c r="ODS11" s="537"/>
      <c r="ODT11" s="537"/>
      <c r="ODU11" s="537"/>
      <c r="ODV11" s="537"/>
      <c r="ODW11" s="537"/>
      <c r="ODX11" s="537"/>
      <c r="ODY11" s="537"/>
      <c r="ODZ11" s="537"/>
      <c r="OEA11" s="537"/>
      <c r="OEB11" s="537"/>
      <c r="OEC11" s="537"/>
      <c r="OED11" s="537"/>
      <c r="OEE11" s="537"/>
      <c r="OEF11" s="537"/>
      <c r="OEG11" s="537"/>
      <c r="OEH11" s="537"/>
      <c r="OEI11" s="537"/>
      <c r="OEJ11" s="537"/>
      <c r="OEK11" s="537"/>
      <c r="OEL11" s="537"/>
      <c r="OEM11" s="537"/>
      <c r="OEN11" s="537"/>
      <c r="OEO11" s="537"/>
      <c r="OEP11" s="537"/>
      <c r="OEQ11" s="537"/>
      <c r="OER11" s="537"/>
      <c r="OES11" s="537"/>
      <c r="OET11" s="537"/>
      <c r="OEU11" s="537"/>
      <c r="OEV11" s="537"/>
      <c r="OEW11" s="537"/>
      <c r="OEX11" s="537"/>
      <c r="OEY11" s="537"/>
      <c r="OEZ11" s="537"/>
      <c r="OFA11" s="537"/>
      <c r="OFB11" s="537"/>
      <c r="OFC11" s="537"/>
      <c r="OFD11" s="537"/>
      <c r="OFE11" s="537"/>
      <c r="OFF11" s="537"/>
      <c r="OFG11" s="537"/>
      <c r="OFH11" s="537"/>
      <c r="OFI11" s="537"/>
      <c r="OFJ11" s="537"/>
      <c r="OFK11" s="537"/>
      <c r="OFL11" s="537"/>
      <c r="OFM11" s="537"/>
      <c r="OFN11" s="537"/>
      <c r="OFO11" s="537"/>
      <c r="OFP11" s="537"/>
      <c r="OFQ11" s="537"/>
      <c r="OFR11" s="537"/>
      <c r="OFS11" s="537"/>
      <c r="OFT11" s="537"/>
      <c r="OFU11" s="537"/>
      <c r="OFV11" s="537"/>
      <c r="OFW11" s="537"/>
      <c r="OFX11" s="537"/>
      <c r="OFY11" s="537"/>
      <c r="OFZ11" s="537"/>
      <c r="OGA11" s="537"/>
      <c r="OGB11" s="537"/>
      <c r="OGC11" s="537"/>
      <c r="OGD11" s="537"/>
      <c r="OGE11" s="537"/>
      <c r="OGF11" s="537"/>
      <c r="OGG11" s="537"/>
      <c r="OGH11" s="537"/>
      <c r="OGI11" s="537"/>
      <c r="OGJ11" s="537"/>
      <c r="OGK11" s="537"/>
      <c r="OGL11" s="537"/>
      <c r="OGM11" s="537"/>
      <c r="OGN11" s="537"/>
      <c r="OGO11" s="537"/>
      <c r="OGP11" s="537"/>
      <c r="OGQ11" s="537"/>
      <c r="OGR11" s="537"/>
      <c r="OGS11" s="537"/>
      <c r="OGT11" s="537"/>
      <c r="OGU11" s="537"/>
      <c r="OGV11" s="537"/>
      <c r="OGW11" s="537"/>
      <c r="OGX11" s="537"/>
      <c r="OGY11" s="537"/>
      <c r="OGZ11" s="537"/>
      <c r="OHA11" s="537"/>
      <c r="OHB11" s="537"/>
      <c r="OHC11" s="537"/>
      <c r="OHD11" s="537"/>
      <c r="OHE11" s="537"/>
      <c r="OHF11" s="537"/>
      <c r="OHG11" s="537"/>
      <c r="OHH11" s="537"/>
      <c r="OHI11" s="537"/>
      <c r="OHJ11" s="537"/>
      <c r="OHK11" s="537"/>
      <c r="OHL11" s="537"/>
      <c r="OHM11" s="537"/>
      <c r="OHN11" s="537"/>
      <c r="OHO11" s="537"/>
      <c r="OHP11" s="537"/>
      <c r="OHQ11" s="537"/>
      <c r="OHR11" s="537"/>
      <c r="OHS11" s="537"/>
      <c r="OHT11" s="537"/>
      <c r="OHU11" s="537"/>
      <c r="OHV11" s="537"/>
      <c r="OHW11" s="537"/>
      <c r="OHX11" s="537"/>
      <c r="OHY11" s="537"/>
      <c r="OHZ11" s="537"/>
      <c r="OIA11" s="537"/>
      <c r="OIB11" s="537"/>
      <c r="OIC11" s="537"/>
      <c r="OID11" s="537"/>
      <c r="OIE11" s="537"/>
      <c r="OIF11" s="537"/>
      <c r="OIG11" s="537"/>
      <c r="OIH11" s="537"/>
      <c r="OII11" s="537"/>
      <c r="OIJ11" s="537"/>
      <c r="OIK11" s="537"/>
      <c r="OIL11" s="537"/>
      <c r="OIM11" s="537"/>
      <c r="OIN11" s="537"/>
      <c r="OIO11" s="537"/>
      <c r="OIP11" s="537"/>
      <c r="OIQ11" s="537"/>
      <c r="OIR11" s="537"/>
      <c r="OIS11" s="537"/>
      <c r="OIT11" s="537"/>
      <c r="OIU11" s="537"/>
      <c r="OIV11" s="537"/>
      <c r="OIW11" s="537"/>
      <c r="OIX11" s="537"/>
      <c r="OIY11" s="537"/>
      <c r="OIZ11" s="537"/>
      <c r="OJA11" s="537"/>
      <c r="OJB11" s="537"/>
      <c r="OJC11" s="537"/>
      <c r="OJD11" s="537"/>
      <c r="OJE11" s="537"/>
      <c r="OJF11" s="537"/>
      <c r="OJG11" s="537"/>
      <c r="OJH11" s="537"/>
      <c r="OJI11" s="537"/>
      <c r="OJJ11" s="537"/>
      <c r="OJK11" s="537"/>
      <c r="OJL11" s="537"/>
      <c r="OJM11" s="537"/>
      <c r="OJN11" s="537"/>
      <c r="OJO11" s="537"/>
      <c r="OJP11" s="537"/>
      <c r="OJQ11" s="537"/>
      <c r="OJR11" s="537"/>
      <c r="OJS11" s="537"/>
      <c r="OJT11" s="537"/>
      <c r="OJU11" s="537"/>
      <c r="OJV11" s="537"/>
      <c r="OJW11" s="537"/>
      <c r="OJX11" s="537"/>
      <c r="OJY11" s="537"/>
      <c r="OJZ11" s="537"/>
      <c r="OKA11" s="537"/>
      <c r="OKB11" s="537"/>
      <c r="OKC11" s="537"/>
      <c r="OKD11" s="537"/>
      <c r="OKE11" s="537"/>
      <c r="OKF11" s="537"/>
      <c r="OKG11" s="537"/>
      <c r="OKH11" s="537"/>
      <c r="OKI11" s="537"/>
      <c r="OKJ11" s="537"/>
      <c r="OKK11" s="537"/>
      <c r="OKL11" s="537"/>
      <c r="OKM11" s="537"/>
      <c r="OKN11" s="537"/>
      <c r="OKO11" s="537"/>
      <c r="OKP11" s="537"/>
      <c r="OKQ11" s="537"/>
      <c r="OKR11" s="537"/>
      <c r="OKS11" s="537"/>
      <c r="OKT11" s="537"/>
      <c r="OKU11" s="537"/>
      <c r="OKV11" s="537"/>
      <c r="OKW11" s="537"/>
      <c r="OKX11" s="537"/>
      <c r="OKY11" s="537"/>
      <c r="OKZ11" s="537"/>
      <c r="OLA11" s="537"/>
      <c r="OLB11" s="537"/>
      <c r="OLC11" s="537"/>
      <c r="OLD11" s="537"/>
      <c r="OLE11" s="537"/>
      <c r="OLF11" s="537"/>
      <c r="OLG11" s="537"/>
      <c r="OLH11" s="537"/>
      <c r="OLI11" s="537"/>
      <c r="OLJ11" s="537"/>
      <c r="OLK11" s="537"/>
      <c r="OLL11" s="537"/>
      <c r="OLM11" s="537"/>
      <c r="OLN11" s="537"/>
      <c r="OLO11" s="537"/>
      <c r="OLP11" s="537"/>
      <c r="OLQ11" s="537"/>
      <c r="OLR11" s="537"/>
      <c r="OLS11" s="537"/>
      <c r="OLT11" s="537"/>
      <c r="OLU11" s="537"/>
      <c r="OLV11" s="537"/>
      <c r="OLW11" s="537"/>
      <c r="OLX11" s="537"/>
      <c r="OLY11" s="537"/>
      <c r="OLZ11" s="537"/>
      <c r="OMA11" s="537"/>
      <c r="OMB11" s="537"/>
      <c r="OMC11" s="537"/>
      <c r="OMD11" s="537"/>
      <c r="OME11" s="537"/>
      <c r="OMF11" s="537"/>
      <c r="OMG11" s="537"/>
      <c r="OMH11" s="537"/>
      <c r="OMI11" s="537"/>
      <c r="OMJ11" s="537"/>
      <c r="OMK11" s="537"/>
      <c r="OML11" s="537"/>
      <c r="OMM11" s="537"/>
      <c r="OMN11" s="537"/>
      <c r="OMO11" s="537"/>
      <c r="OMP11" s="537"/>
      <c r="OMQ11" s="537"/>
      <c r="OMR11" s="537"/>
      <c r="OMS11" s="537"/>
      <c r="OMT11" s="537"/>
      <c r="OMU11" s="537"/>
      <c r="OMV11" s="537"/>
      <c r="OMW11" s="537"/>
      <c r="OMX11" s="537"/>
      <c r="OMY11" s="537"/>
      <c r="OMZ11" s="537"/>
      <c r="ONA11" s="537"/>
      <c r="ONB11" s="537"/>
      <c r="ONC11" s="537"/>
      <c r="OND11" s="537"/>
      <c r="ONE11" s="537"/>
      <c r="ONF11" s="537"/>
      <c r="ONG11" s="537"/>
      <c r="ONH11" s="537"/>
      <c r="ONI11" s="537"/>
      <c r="ONJ11" s="537"/>
      <c r="ONK11" s="537"/>
      <c r="ONL11" s="537"/>
      <c r="ONM11" s="537"/>
      <c r="ONN11" s="537"/>
      <c r="ONO11" s="537"/>
      <c r="ONP11" s="537"/>
      <c r="ONQ11" s="537"/>
      <c r="ONR11" s="537"/>
      <c r="ONS11" s="537"/>
      <c r="ONT11" s="537"/>
      <c r="ONU11" s="537"/>
      <c r="ONV11" s="537"/>
      <c r="ONW11" s="537"/>
      <c r="ONX11" s="537"/>
      <c r="ONY11" s="537"/>
      <c r="ONZ11" s="537"/>
      <c r="OOA11" s="537"/>
      <c r="OOB11" s="537"/>
      <c r="OOC11" s="537"/>
      <c r="OOD11" s="537"/>
      <c r="OOE11" s="537"/>
      <c r="OOF11" s="537"/>
      <c r="OOG11" s="537"/>
      <c r="OOH11" s="537"/>
      <c r="OOI11" s="537"/>
      <c r="OOJ11" s="537"/>
      <c r="OOK11" s="537"/>
      <c r="OOL11" s="537"/>
      <c r="OOM11" s="537"/>
      <c r="OON11" s="537"/>
      <c r="OOO11" s="537"/>
      <c r="OOP11" s="537"/>
      <c r="OOQ11" s="537"/>
      <c r="OOR11" s="537"/>
      <c r="OOS11" s="537"/>
      <c r="OOT11" s="537"/>
      <c r="OOU11" s="537"/>
      <c r="OOV11" s="537"/>
      <c r="OOW11" s="537"/>
      <c r="OOX11" s="537"/>
      <c r="OOY11" s="537"/>
      <c r="OOZ11" s="537"/>
      <c r="OPA11" s="537"/>
      <c r="OPB11" s="537"/>
      <c r="OPC11" s="537"/>
      <c r="OPD11" s="537"/>
      <c r="OPE11" s="537"/>
      <c r="OPF11" s="537"/>
      <c r="OPG11" s="537"/>
      <c r="OPH11" s="537"/>
      <c r="OPI11" s="537"/>
      <c r="OPJ11" s="537"/>
      <c r="OPK11" s="537"/>
      <c r="OPL11" s="537"/>
      <c r="OPM11" s="537"/>
      <c r="OPN11" s="537"/>
      <c r="OPO11" s="537"/>
      <c r="OPP11" s="537"/>
      <c r="OPQ11" s="537"/>
      <c r="OPR11" s="537"/>
      <c r="OPS11" s="537"/>
      <c r="OPT11" s="537"/>
      <c r="OPU11" s="537"/>
      <c r="OPV11" s="537"/>
      <c r="OPW11" s="537"/>
      <c r="OPX11" s="537"/>
      <c r="OPY11" s="537"/>
      <c r="OPZ11" s="537"/>
      <c r="OQA11" s="537"/>
      <c r="OQB11" s="537"/>
      <c r="OQC11" s="537"/>
      <c r="OQD11" s="537"/>
      <c r="OQE11" s="537"/>
      <c r="OQF11" s="537"/>
      <c r="OQG11" s="537"/>
      <c r="OQH11" s="537"/>
      <c r="OQI11" s="537"/>
      <c r="OQJ11" s="537"/>
      <c r="OQK11" s="537"/>
      <c r="OQL11" s="537"/>
      <c r="OQM11" s="537"/>
      <c r="OQN11" s="537"/>
      <c r="OQO11" s="537"/>
      <c r="OQP11" s="537"/>
      <c r="OQQ11" s="537"/>
      <c r="OQR11" s="537"/>
      <c r="OQS11" s="537"/>
      <c r="OQT11" s="537"/>
      <c r="OQU11" s="537"/>
      <c r="OQV11" s="537"/>
      <c r="OQW11" s="537"/>
      <c r="OQX11" s="537"/>
      <c r="OQY11" s="537"/>
      <c r="OQZ11" s="537"/>
      <c r="ORA11" s="537"/>
      <c r="ORB11" s="537"/>
      <c r="ORC11" s="537"/>
      <c r="ORD11" s="537"/>
      <c r="ORE11" s="537"/>
      <c r="ORF11" s="537"/>
      <c r="ORG11" s="537"/>
      <c r="ORH11" s="537"/>
      <c r="ORI11" s="537"/>
      <c r="ORJ11" s="537"/>
      <c r="ORK11" s="537"/>
      <c r="ORL11" s="537"/>
      <c r="ORM11" s="537"/>
      <c r="ORN11" s="537"/>
      <c r="ORO11" s="537"/>
      <c r="ORP11" s="537"/>
      <c r="ORQ11" s="537"/>
      <c r="ORR11" s="537"/>
      <c r="ORS11" s="537"/>
      <c r="ORT11" s="537"/>
      <c r="ORU11" s="537"/>
      <c r="ORV11" s="537"/>
      <c r="ORW11" s="537"/>
      <c r="ORX11" s="537"/>
      <c r="ORY11" s="537"/>
      <c r="ORZ11" s="537"/>
      <c r="OSA11" s="537"/>
      <c r="OSB11" s="537"/>
      <c r="OSC11" s="537"/>
      <c r="OSD11" s="537"/>
      <c r="OSE11" s="537"/>
      <c r="OSF11" s="537"/>
      <c r="OSG11" s="537"/>
      <c r="OSH11" s="537"/>
      <c r="OSI11" s="537"/>
      <c r="OSJ11" s="537"/>
      <c r="OSK11" s="537"/>
      <c r="OSL11" s="537"/>
      <c r="OSM11" s="537"/>
      <c r="OSN11" s="537"/>
      <c r="OSO11" s="537"/>
      <c r="OSP11" s="537"/>
      <c r="OSQ11" s="537"/>
      <c r="OSR11" s="537"/>
      <c r="OSS11" s="537"/>
      <c r="OST11" s="537"/>
      <c r="OSU11" s="537"/>
      <c r="OSV11" s="537"/>
      <c r="OSW11" s="537"/>
      <c r="OSX11" s="537"/>
      <c r="OSY11" s="537"/>
      <c r="OSZ11" s="537"/>
      <c r="OTA11" s="537"/>
      <c r="OTB11" s="537"/>
      <c r="OTC11" s="537"/>
      <c r="OTD11" s="537"/>
      <c r="OTE11" s="537"/>
      <c r="OTF11" s="537"/>
      <c r="OTG11" s="537"/>
      <c r="OTH11" s="537"/>
      <c r="OTI11" s="537"/>
      <c r="OTJ11" s="537"/>
      <c r="OTK11" s="537"/>
      <c r="OTL11" s="537"/>
      <c r="OTM11" s="537"/>
      <c r="OTN11" s="537"/>
      <c r="OTO11" s="537"/>
      <c r="OTP11" s="537"/>
      <c r="OTQ11" s="537"/>
      <c r="OTR11" s="537"/>
      <c r="OTS11" s="537"/>
      <c r="OTT11" s="537"/>
      <c r="OTU11" s="537"/>
      <c r="OTV11" s="537"/>
      <c r="OTW11" s="537"/>
      <c r="OTX11" s="537"/>
      <c r="OTY11" s="537"/>
      <c r="OTZ11" s="537"/>
      <c r="OUA11" s="537"/>
      <c r="OUB11" s="537"/>
      <c r="OUC11" s="537"/>
      <c r="OUD11" s="537"/>
      <c r="OUE11" s="537"/>
      <c r="OUF11" s="537"/>
      <c r="OUG11" s="537"/>
      <c r="OUH11" s="537"/>
      <c r="OUI11" s="537"/>
      <c r="OUJ11" s="537"/>
      <c r="OUK11" s="537"/>
      <c r="OUL11" s="537"/>
      <c r="OUM11" s="537"/>
      <c r="OUN11" s="537"/>
      <c r="OUO11" s="537"/>
      <c r="OUP11" s="537"/>
      <c r="OUQ11" s="537"/>
      <c r="OUR11" s="537"/>
      <c r="OUS11" s="537"/>
      <c r="OUT11" s="537"/>
      <c r="OUU11" s="537"/>
      <c r="OUV11" s="537"/>
      <c r="OUW11" s="537"/>
      <c r="OUX11" s="537"/>
      <c r="OUY11" s="537"/>
      <c r="OUZ11" s="537"/>
      <c r="OVA11" s="537"/>
      <c r="OVB11" s="537"/>
      <c r="OVC11" s="537"/>
      <c r="OVD11" s="537"/>
      <c r="OVE11" s="537"/>
      <c r="OVF11" s="537"/>
      <c r="OVG11" s="537"/>
      <c r="OVH11" s="537"/>
      <c r="OVI11" s="537"/>
      <c r="OVJ11" s="537"/>
      <c r="OVK11" s="537"/>
      <c r="OVL11" s="537"/>
      <c r="OVM11" s="537"/>
      <c r="OVN11" s="537"/>
      <c r="OVO11" s="537"/>
      <c r="OVP11" s="537"/>
      <c r="OVQ11" s="537"/>
      <c r="OVR11" s="537"/>
      <c r="OVS11" s="537"/>
      <c r="OVT11" s="537"/>
      <c r="OVU11" s="537"/>
      <c r="OVV11" s="537"/>
      <c r="OVW11" s="537"/>
      <c r="OVX11" s="537"/>
      <c r="OVY11" s="537"/>
      <c r="OVZ11" s="537"/>
      <c r="OWA11" s="537"/>
      <c r="OWB11" s="537"/>
      <c r="OWC11" s="537"/>
      <c r="OWD11" s="537"/>
      <c r="OWE11" s="537"/>
      <c r="OWF11" s="537"/>
      <c r="OWG11" s="537"/>
      <c r="OWH11" s="537"/>
      <c r="OWI11" s="537"/>
      <c r="OWJ11" s="537"/>
      <c r="OWK11" s="537"/>
      <c r="OWL11" s="537"/>
      <c r="OWM11" s="537"/>
      <c r="OWN11" s="537"/>
      <c r="OWO11" s="537"/>
      <c r="OWP11" s="537"/>
      <c r="OWQ11" s="537"/>
      <c r="OWR11" s="537"/>
      <c r="OWS11" s="537"/>
      <c r="OWT11" s="537"/>
      <c r="OWU11" s="537"/>
      <c r="OWV11" s="537"/>
      <c r="OWW11" s="537"/>
      <c r="OWX11" s="537"/>
      <c r="OWY11" s="537"/>
      <c r="OWZ11" s="537"/>
      <c r="OXA11" s="537"/>
      <c r="OXB11" s="537"/>
      <c r="OXC11" s="537"/>
      <c r="OXD11" s="537"/>
      <c r="OXE11" s="537"/>
      <c r="OXF11" s="537"/>
      <c r="OXG11" s="537"/>
      <c r="OXH11" s="537"/>
      <c r="OXI11" s="537"/>
      <c r="OXJ11" s="537"/>
      <c r="OXK11" s="537"/>
      <c r="OXL11" s="537"/>
      <c r="OXM11" s="537"/>
      <c r="OXN11" s="537"/>
      <c r="OXO11" s="537"/>
      <c r="OXP11" s="537"/>
      <c r="OXQ11" s="537"/>
      <c r="OXR11" s="537"/>
      <c r="OXS11" s="537"/>
      <c r="OXT11" s="537"/>
      <c r="OXU11" s="537"/>
      <c r="OXV11" s="537"/>
      <c r="OXW11" s="537"/>
      <c r="OXX11" s="537"/>
      <c r="OXY11" s="537"/>
      <c r="OXZ11" s="537"/>
      <c r="OYA11" s="537"/>
      <c r="OYB11" s="537"/>
      <c r="OYC11" s="537"/>
      <c r="OYD11" s="537"/>
      <c r="OYE11" s="537"/>
      <c r="OYF11" s="537"/>
      <c r="OYG11" s="537"/>
      <c r="OYH11" s="537"/>
      <c r="OYI11" s="537"/>
      <c r="OYJ11" s="537"/>
      <c r="OYK11" s="537"/>
      <c r="OYL11" s="537"/>
      <c r="OYM11" s="537"/>
      <c r="OYN11" s="537"/>
      <c r="OYO11" s="537"/>
      <c r="OYP11" s="537"/>
      <c r="OYQ11" s="537"/>
      <c r="OYR11" s="537"/>
      <c r="OYS11" s="537"/>
      <c r="OYT11" s="537"/>
      <c r="OYU11" s="537"/>
      <c r="OYV11" s="537"/>
      <c r="OYW11" s="537"/>
      <c r="OYX11" s="537"/>
      <c r="OYY11" s="537"/>
      <c r="OYZ11" s="537"/>
      <c r="OZA11" s="537"/>
      <c r="OZB11" s="537"/>
      <c r="OZC11" s="537"/>
      <c r="OZD11" s="537"/>
      <c r="OZE11" s="537"/>
      <c r="OZF11" s="537"/>
      <c r="OZG11" s="537"/>
      <c r="OZH11" s="537"/>
      <c r="OZI11" s="537"/>
      <c r="OZJ11" s="537"/>
      <c r="OZK11" s="537"/>
      <c r="OZL11" s="537"/>
      <c r="OZM11" s="537"/>
      <c r="OZN11" s="537"/>
      <c r="OZO11" s="537"/>
      <c r="OZP11" s="537"/>
      <c r="OZQ11" s="537"/>
      <c r="OZR11" s="537"/>
      <c r="OZS11" s="537"/>
      <c r="OZT11" s="537"/>
      <c r="OZU11" s="537"/>
      <c r="OZV11" s="537"/>
      <c r="OZW11" s="537"/>
      <c r="OZX11" s="537"/>
      <c r="OZY11" s="537"/>
      <c r="OZZ11" s="537"/>
      <c r="PAA11" s="537"/>
      <c r="PAB11" s="537"/>
      <c r="PAC11" s="537"/>
      <c r="PAD11" s="537"/>
      <c r="PAE11" s="537"/>
      <c r="PAF11" s="537"/>
      <c r="PAG11" s="537"/>
      <c r="PAH11" s="537"/>
      <c r="PAI11" s="537"/>
      <c r="PAJ11" s="537"/>
      <c r="PAK11" s="537"/>
      <c r="PAL11" s="537"/>
      <c r="PAM11" s="537"/>
      <c r="PAN11" s="537"/>
      <c r="PAO11" s="537"/>
      <c r="PAP11" s="537"/>
      <c r="PAQ11" s="537"/>
      <c r="PAR11" s="537"/>
      <c r="PAS11" s="537"/>
      <c r="PAT11" s="537"/>
      <c r="PAU11" s="537"/>
      <c r="PAV11" s="537"/>
      <c r="PAW11" s="537"/>
      <c r="PAX11" s="537"/>
      <c r="PAY11" s="537"/>
      <c r="PAZ11" s="537"/>
      <c r="PBA11" s="537"/>
      <c r="PBB11" s="537"/>
      <c r="PBC11" s="537"/>
      <c r="PBD11" s="537"/>
      <c r="PBE11" s="537"/>
      <c r="PBF11" s="537"/>
      <c r="PBG11" s="537"/>
      <c r="PBH11" s="537"/>
      <c r="PBI11" s="537"/>
      <c r="PBJ11" s="537"/>
      <c r="PBK11" s="537"/>
      <c r="PBL11" s="537"/>
      <c r="PBM11" s="537"/>
      <c r="PBN11" s="537"/>
      <c r="PBO11" s="537"/>
      <c r="PBP11" s="537"/>
      <c r="PBQ11" s="537"/>
      <c r="PBR11" s="537"/>
      <c r="PBS11" s="537"/>
      <c r="PBT11" s="537"/>
      <c r="PBU11" s="537"/>
      <c r="PBV11" s="537"/>
      <c r="PBW11" s="537"/>
      <c r="PBX11" s="537"/>
      <c r="PBY11" s="537"/>
      <c r="PBZ11" s="537"/>
      <c r="PCA11" s="537"/>
      <c r="PCB11" s="537"/>
      <c r="PCC11" s="537"/>
      <c r="PCD11" s="537"/>
      <c r="PCE11" s="537"/>
      <c r="PCF11" s="537"/>
      <c r="PCG11" s="537"/>
      <c r="PCH11" s="537"/>
      <c r="PCI11" s="537"/>
      <c r="PCJ11" s="537"/>
      <c r="PCK11" s="537"/>
      <c r="PCL11" s="537"/>
      <c r="PCM11" s="537"/>
      <c r="PCN11" s="537"/>
      <c r="PCO11" s="537"/>
      <c r="PCP11" s="537"/>
      <c r="PCQ11" s="537"/>
      <c r="PCR11" s="537"/>
      <c r="PCS11" s="537"/>
      <c r="PCT11" s="537"/>
      <c r="PCU11" s="537"/>
      <c r="PCV11" s="537"/>
      <c r="PCW11" s="537"/>
      <c r="PCX11" s="537"/>
      <c r="PCY11" s="537"/>
      <c r="PCZ11" s="537"/>
      <c r="PDA11" s="537"/>
      <c r="PDB11" s="537"/>
      <c r="PDC11" s="537"/>
      <c r="PDD11" s="537"/>
      <c r="PDE11" s="537"/>
      <c r="PDF11" s="537"/>
      <c r="PDG11" s="537"/>
      <c r="PDH11" s="537"/>
      <c r="PDI11" s="537"/>
      <c r="PDJ11" s="537"/>
      <c r="PDK11" s="537"/>
      <c r="PDL11" s="537"/>
      <c r="PDM11" s="537"/>
      <c r="PDN11" s="537"/>
      <c r="PDO11" s="537"/>
      <c r="PDP11" s="537"/>
      <c r="PDQ11" s="537"/>
      <c r="PDR11" s="537"/>
      <c r="PDS11" s="537"/>
      <c r="PDT11" s="537"/>
      <c r="PDU11" s="537"/>
      <c r="PDV11" s="537"/>
      <c r="PDW11" s="537"/>
      <c r="PDX11" s="537"/>
      <c r="PDY11" s="537"/>
      <c r="PDZ11" s="537"/>
      <c r="PEA11" s="537"/>
      <c r="PEB11" s="537"/>
      <c r="PEC11" s="537"/>
      <c r="PED11" s="537"/>
      <c r="PEE11" s="537"/>
      <c r="PEF11" s="537"/>
      <c r="PEG11" s="537"/>
      <c r="PEH11" s="537"/>
      <c r="PEI11" s="537"/>
      <c r="PEJ11" s="537"/>
      <c r="PEK11" s="537"/>
      <c r="PEL11" s="537"/>
      <c r="PEM11" s="537"/>
      <c r="PEN11" s="537"/>
      <c r="PEO11" s="537"/>
      <c r="PEP11" s="537"/>
      <c r="PEQ11" s="537"/>
      <c r="PER11" s="537"/>
      <c r="PES11" s="537"/>
      <c r="PET11" s="537"/>
      <c r="PEU11" s="537"/>
      <c r="PEV11" s="537"/>
      <c r="PEW11" s="537"/>
      <c r="PEX11" s="537"/>
      <c r="PEY11" s="537"/>
      <c r="PEZ11" s="537"/>
      <c r="PFA11" s="537"/>
      <c r="PFB11" s="537"/>
      <c r="PFC11" s="537"/>
      <c r="PFD11" s="537"/>
      <c r="PFE11" s="537"/>
      <c r="PFF11" s="537"/>
      <c r="PFG11" s="537"/>
      <c r="PFH11" s="537"/>
      <c r="PFI11" s="537"/>
      <c r="PFJ11" s="537"/>
      <c r="PFK11" s="537"/>
      <c r="PFL11" s="537"/>
      <c r="PFM11" s="537"/>
      <c r="PFN11" s="537"/>
      <c r="PFO11" s="537"/>
      <c r="PFP11" s="537"/>
      <c r="PFQ11" s="537"/>
      <c r="PFR11" s="537"/>
      <c r="PFS11" s="537"/>
      <c r="PFT11" s="537"/>
      <c r="PFU11" s="537"/>
      <c r="PFV11" s="537"/>
      <c r="PFW11" s="537"/>
      <c r="PFX11" s="537"/>
      <c r="PFY11" s="537"/>
      <c r="PFZ11" s="537"/>
      <c r="PGA11" s="537"/>
      <c r="PGB11" s="537"/>
      <c r="PGC11" s="537"/>
      <c r="PGD11" s="537"/>
      <c r="PGE11" s="537"/>
      <c r="PGF11" s="537"/>
      <c r="PGG11" s="537"/>
      <c r="PGH11" s="537"/>
      <c r="PGI11" s="537"/>
      <c r="PGJ11" s="537"/>
      <c r="PGK11" s="537"/>
      <c r="PGL11" s="537"/>
      <c r="PGM11" s="537"/>
      <c r="PGN11" s="537"/>
      <c r="PGO11" s="537"/>
      <c r="PGP11" s="537"/>
      <c r="PGQ11" s="537"/>
      <c r="PGR11" s="537"/>
      <c r="PGS11" s="537"/>
      <c r="PGT11" s="537"/>
      <c r="PGU11" s="537"/>
      <c r="PGV11" s="537"/>
      <c r="PGW11" s="537"/>
      <c r="PGX11" s="537"/>
      <c r="PGY11" s="537"/>
      <c r="PGZ11" s="537"/>
      <c r="PHA11" s="537"/>
      <c r="PHB11" s="537"/>
      <c r="PHC11" s="537"/>
      <c r="PHD11" s="537"/>
      <c r="PHE11" s="537"/>
      <c r="PHF11" s="537"/>
      <c r="PHG11" s="537"/>
      <c r="PHH11" s="537"/>
      <c r="PHI11" s="537"/>
      <c r="PHJ11" s="537"/>
      <c r="PHK11" s="537"/>
      <c r="PHL11" s="537"/>
      <c r="PHM11" s="537"/>
      <c r="PHN11" s="537"/>
      <c r="PHO11" s="537"/>
      <c r="PHP11" s="537"/>
      <c r="PHQ11" s="537"/>
      <c r="PHR11" s="537"/>
      <c r="PHS11" s="537"/>
      <c r="PHT11" s="537"/>
      <c r="PHU11" s="537"/>
      <c r="PHV11" s="537"/>
      <c r="PHW11" s="537"/>
      <c r="PHX11" s="537"/>
      <c r="PHY11" s="537"/>
      <c r="PHZ11" s="537"/>
      <c r="PIA11" s="537"/>
      <c r="PIB11" s="537"/>
      <c r="PIC11" s="537"/>
      <c r="PID11" s="537"/>
      <c r="PIE11" s="537"/>
      <c r="PIF11" s="537"/>
      <c r="PIG11" s="537"/>
      <c r="PIH11" s="537"/>
      <c r="PII11" s="537"/>
      <c r="PIJ11" s="537"/>
      <c r="PIK11" s="537"/>
      <c r="PIL11" s="537"/>
      <c r="PIM11" s="537"/>
      <c r="PIN11" s="537"/>
      <c r="PIO11" s="537"/>
      <c r="PIP11" s="537"/>
      <c r="PIQ11" s="537"/>
      <c r="PIR11" s="537"/>
      <c r="PIS11" s="537"/>
      <c r="PIT11" s="537"/>
      <c r="PIU11" s="537"/>
      <c r="PIV11" s="537"/>
      <c r="PIW11" s="537"/>
      <c r="PIX11" s="537"/>
      <c r="PIY11" s="537"/>
      <c r="PIZ11" s="537"/>
      <c r="PJA11" s="537"/>
      <c r="PJB11" s="537"/>
      <c r="PJC11" s="537"/>
      <c r="PJD11" s="537"/>
      <c r="PJE11" s="537"/>
      <c r="PJF11" s="537"/>
      <c r="PJG11" s="537"/>
      <c r="PJH11" s="537"/>
      <c r="PJI11" s="537"/>
      <c r="PJJ11" s="537"/>
      <c r="PJK11" s="537"/>
      <c r="PJL11" s="537"/>
      <c r="PJM11" s="537"/>
      <c r="PJN11" s="537"/>
      <c r="PJO11" s="537"/>
      <c r="PJP11" s="537"/>
      <c r="PJQ11" s="537"/>
      <c r="PJR11" s="537"/>
      <c r="PJS11" s="537"/>
      <c r="PJT11" s="537"/>
      <c r="PJU11" s="537"/>
      <c r="PJV11" s="537"/>
      <c r="PJW11" s="537"/>
      <c r="PJX11" s="537"/>
      <c r="PJY11" s="537"/>
      <c r="PJZ11" s="537"/>
      <c r="PKA11" s="537"/>
      <c r="PKB11" s="537"/>
      <c r="PKC11" s="537"/>
      <c r="PKD11" s="537"/>
      <c r="PKE11" s="537"/>
      <c r="PKF11" s="537"/>
      <c r="PKG11" s="537"/>
      <c r="PKH11" s="537"/>
      <c r="PKI11" s="537"/>
      <c r="PKJ11" s="537"/>
      <c r="PKK11" s="537"/>
      <c r="PKL11" s="537"/>
      <c r="PKM11" s="537"/>
      <c r="PKN11" s="537"/>
      <c r="PKO11" s="537"/>
      <c r="PKP11" s="537"/>
      <c r="PKQ11" s="537"/>
      <c r="PKR11" s="537"/>
      <c r="PKS11" s="537"/>
      <c r="PKT11" s="537"/>
      <c r="PKU11" s="537"/>
      <c r="PKV11" s="537"/>
      <c r="PKW11" s="537"/>
      <c r="PKX11" s="537"/>
      <c r="PKY11" s="537"/>
      <c r="PKZ11" s="537"/>
      <c r="PLA11" s="537"/>
      <c r="PLB11" s="537"/>
      <c r="PLC11" s="537"/>
      <c r="PLD11" s="537"/>
      <c r="PLE11" s="537"/>
      <c r="PLF11" s="537"/>
      <c r="PLG11" s="537"/>
      <c r="PLH11" s="537"/>
      <c r="PLI11" s="537"/>
      <c r="PLJ11" s="537"/>
      <c r="PLK11" s="537"/>
      <c r="PLL11" s="537"/>
      <c r="PLM11" s="537"/>
      <c r="PLN11" s="537"/>
      <c r="PLO11" s="537"/>
      <c r="PLP11" s="537"/>
      <c r="PLQ11" s="537"/>
      <c r="PLR11" s="537"/>
      <c r="PLS11" s="537"/>
      <c r="PLT11" s="537"/>
      <c r="PLU11" s="537"/>
      <c r="PLV11" s="537"/>
      <c r="PLW11" s="537"/>
      <c r="PLX11" s="537"/>
      <c r="PLY11" s="537"/>
      <c r="PLZ11" s="537"/>
      <c r="PMA11" s="537"/>
      <c r="PMB11" s="537"/>
      <c r="PMC11" s="537"/>
      <c r="PMD11" s="537"/>
      <c r="PME11" s="537"/>
      <c r="PMF11" s="537"/>
      <c r="PMG11" s="537"/>
      <c r="PMH11" s="537"/>
      <c r="PMI11" s="537"/>
      <c r="PMJ11" s="537"/>
      <c r="PMK11" s="537"/>
      <c r="PML11" s="537"/>
      <c r="PMM11" s="537"/>
      <c r="PMN11" s="537"/>
      <c r="PMO11" s="537"/>
      <c r="PMP11" s="537"/>
      <c r="PMQ11" s="537"/>
      <c r="PMR11" s="537"/>
      <c r="PMS11" s="537"/>
      <c r="PMT11" s="537"/>
      <c r="PMU11" s="537"/>
      <c r="PMV11" s="537"/>
      <c r="PMW11" s="537"/>
      <c r="PMX11" s="537"/>
      <c r="PMY11" s="537"/>
      <c r="PMZ11" s="537"/>
      <c r="PNA11" s="537"/>
      <c r="PNB11" s="537"/>
      <c r="PNC11" s="537"/>
      <c r="PND11" s="537"/>
      <c r="PNE11" s="537"/>
      <c r="PNF11" s="537"/>
      <c r="PNG11" s="537"/>
      <c r="PNH11" s="537"/>
      <c r="PNI11" s="537"/>
      <c r="PNJ11" s="537"/>
      <c r="PNK11" s="537"/>
      <c r="PNL11" s="537"/>
      <c r="PNM11" s="537"/>
      <c r="PNN11" s="537"/>
      <c r="PNO11" s="537"/>
      <c r="PNP11" s="537"/>
      <c r="PNQ11" s="537"/>
      <c r="PNR11" s="537"/>
      <c r="PNS11" s="537"/>
      <c r="PNT11" s="537"/>
      <c r="PNU11" s="537"/>
      <c r="PNV11" s="537"/>
      <c r="PNW11" s="537"/>
      <c r="PNX11" s="537"/>
      <c r="PNY11" s="537"/>
      <c r="PNZ11" s="537"/>
      <c r="POA11" s="537"/>
      <c r="POB11" s="537"/>
      <c r="POC11" s="537"/>
      <c r="POD11" s="537"/>
      <c r="POE11" s="537"/>
      <c r="POF11" s="537"/>
      <c r="POG11" s="537"/>
      <c r="POH11" s="537"/>
      <c r="POI11" s="537"/>
      <c r="POJ11" s="537"/>
      <c r="POK11" s="537"/>
      <c r="POL11" s="537"/>
      <c r="POM11" s="537"/>
      <c r="PON11" s="537"/>
      <c r="POO11" s="537"/>
      <c r="POP11" s="537"/>
      <c r="POQ11" s="537"/>
      <c r="POR11" s="537"/>
      <c r="POS11" s="537"/>
      <c r="POT11" s="537"/>
      <c r="POU11" s="537"/>
      <c r="POV11" s="537"/>
      <c r="POW11" s="537"/>
      <c r="POX11" s="537"/>
      <c r="POY11" s="537"/>
      <c r="POZ11" s="537"/>
      <c r="PPA11" s="537"/>
      <c r="PPB11" s="537"/>
      <c r="PPC11" s="537"/>
      <c r="PPD11" s="537"/>
      <c r="PPE11" s="537"/>
      <c r="PPF11" s="537"/>
      <c r="PPG11" s="537"/>
      <c r="PPH11" s="537"/>
      <c r="PPI11" s="537"/>
      <c r="PPJ11" s="537"/>
      <c r="PPK11" s="537"/>
      <c r="PPL11" s="537"/>
      <c r="PPM11" s="537"/>
      <c r="PPN11" s="537"/>
      <c r="PPO11" s="537"/>
      <c r="PPP11" s="537"/>
      <c r="PPQ11" s="537"/>
      <c r="PPR11" s="537"/>
      <c r="PPS11" s="537"/>
      <c r="PPT11" s="537"/>
      <c r="PPU11" s="537"/>
      <c r="PPV11" s="537"/>
      <c r="PPW11" s="537"/>
      <c r="PPX11" s="537"/>
      <c r="PPY11" s="537"/>
      <c r="PPZ11" s="537"/>
      <c r="PQA11" s="537"/>
      <c r="PQB11" s="537"/>
      <c r="PQC11" s="537"/>
      <c r="PQD11" s="537"/>
      <c r="PQE11" s="537"/>
      <c r="PQF11" s="537"/>
      <c r="PQG11" s="537"/>
      <c r="PQH11" s="537"/>
      <c r="PQI11" s="537"/>
      <c r="PQJ11" s="537"/>
      <c r="PQK11" s="537"/>
      <c r="PQL11" s="537"/>
      <c r="PQM11" s="537"/>
      <c r="PQN11" s="537"/>
      <c r="PQO11" s="537"/>
      <c r="PQP11" s="537"/>
      <c r="PQQ11" s="537"/>
      <c r="PQR11" s="537"/>
      <c r="PQS11" s="537"/>
      <c r="PQT11" s="537"/>
      <c r="PQU11" s="537"/>
      <c r="PQV11" s="537"/>
      <c r="PQW11" s="537"/>
      <c r="PQX11" s="537"/>
      <c r="PQY11" s="537"/>
      <c r="PQZ11" s="537"/>
      <c r="PRA11" s="537"/>
      <c r="PRB11" s="537"/>
      <c r="PRC11" s="537"/>
      <c r="PRD11" s="537"/>
      <c r="PRE11" s="537"/>
      <c r="PRF11" s="537"/>
      <c r="PRG11" s="537"/>
      <c r="PRH11" s="537"/>
      <c r="PRI11" s="537"/>
      <c r="PRJ11" s="537"/>
      <c r="PRK11" s="537"/>
      <c r="PRL11" s="537"/>
      <c r="PRM11" s="537"/>
      <c r="PRN11" s="537"/>
      <c r="PRO11" s="537"/>
      <c r="PRP11" s="537"/>
      <c r="PRQ11" s="537"/>
      <c r="PRR11" s="537"/>
      <c r="PRS11" s="537"/>
      <c r="PRT11" s="537"/>
      <c r="PRU11" s="537"/>
      <c r="PRV11" s="537"/>
      <c r="PRW11" s="537"/>
      <c r="PRX11" s="537"/>
      <c r="PRY11" s="537"/>
      <c r="PRZ11" s="537"/>
      <c r="PSA11" s="537"/>
      <c r="PSB11" s="537"/>
      <c r="PSC11" s="537"/>
      <c r="PSD11" s="537"/>
      <c r="PSE11" s="537"/>
      <c r="PSF11" s="537"/>
      <c r="PSG11" s="537"/>
      <c r="PSH11" s="537"/>
      <c r="PSI11" s="537"/>
      <c r="PSJ11" s="537"/>
      <c r="PSK11" s="537"/>
      <c r="PSL11" s="537"/>
      <c r="PSM11" s="537"/>
      <c r="PSN11" s="537"/>
      <c r="PSO11" s="537"/>
      <c r="PSP11" s="537"/>
      <c r="PSQ11" s="537"/>
      <c r="PSR11" s="537"/>
      <c r="PSS11" s="537"/>
      <c r="PST11" s="537"/>
      <c r="PSU11" s="537"/>
      <c r="PSV11" s="537"/>
      <c r="PSW11" s="537"/>
      <c r="PSX11" s="537"/>
      <c r="PSY11" s="537"/>
      <c r="PSZ11" s="537"/>
      <c r="PTA11" s="537"/>
      <c r="PTB11" s="537"/>
      <c r="PTC11" s="537"/>
      <c r="PTD11" s="537"/>
      <c r="PTE11" s="537"/>
      <c r="PTF11" s="537"/>
      <c r="PTG11" s="537"/>
      <c r="PTH11" s="537"/>
      <c r="PTI11" s="537"/>
      <c r="PTJ11" s="537"/>
      <c r="PTK11" s="537"/>
      <c r="PTL11" s="537"/>
      <c r="PTM11" s="537"/>
      <c r="PTN11" s="537"/>
      <c r="PTO11" s="537"/>
      <c r="PTP11" s="537"/>
      <c r="PTQ11" s="537"/>
      <c r="PTR11" s="537"/>
      <c r="PTS11" s="537"/>
      <c r="PTT11" s="537"/>
      <c r="PTU11" s="537"/>
      <c r="PTV11" s="537"/>
      <c r="PTW11" s="537"/>
      <c r="PTX11" s="537"/>
      <c r="PTY11" s="537"/>
      <c r="PTZ11" s="537"/>
      <c r="PUA11" s="537"/>
      <c r="PUB11" s="537"/>
      <c r="PUC11" s="537"/>
      <c r="PUD11" s="537"/>
      <c r="PUE11" s="537"/>
      <c r="PUF11" s="537"/>
      <c r="PUG11" s="537"/>
      <c r="PUH11" s="537"/>
      <c r="PUI11" s="537"/>
      <c r="PUJ11" s="537"/>
      <c r="PUK11" s="537"/>
      <c r="PUL11" s="537"/>
      <c r="PUM11" s="537"/>
      <c r="PUN11" s="537"/>
      <c r="PUO11" s="537"/>
      <c r="PUP11" s="537"/>
      <c r="PUQ11" s="537"/>
      <c r="PUR11" s="537"/>
      <c r="PUS11" s="537"/>
      <c r="PUT11" s="537"/>
      <c r="PUU11" s="537"/>
      <c r="PUV11" s="537"/>
      <c r="PUW11" s="537"/>
      <c r="PUX11" s="537"/>
      <c r="PUY11" s="537"/>
      <c r="PUZ11" s="537"/>
      <c r="PVA11" s="537"/>
      <c r="PVB11" s="537"/>
      <c r="PVC11" s="537"/>
      <c r="PVD11" s="537"/>
      <c r="PVE11" s="537"/>
      <c r="PVF11" s="537"/>
      <c r="PVG11" s="537"/>
      <c r="PVH11" s="537"/>
      <c r="PVI11" s="537"/>
      <c r="PVJ11" s="537"/>
      <c r="PVK11" s="537"/>
      <c r="PVL11" s="537"/>
      <c r="PVM11" s="537"/>
      <c r="PVN11" s="537"/>
      <c r="PVO11" s="537"/>
      <c r="PVP11" s="537"/>
      <c r="PVQ11" s="537"/>
      <c r="PVR11" s="537"/>
      <c r="PVS11" s="537"/>
      <c r="PVT11" s="537"/>
      <c r="PVU11" s="537"/>
      <c r="PVV11" s="537"/>
      <c r="PVW11" s="537"/>
      <c r="PVX11" s="537"/>
      <c r="PVY11" s="537"/>
      <c r="PVZ11" s="537"/>
      <c r="PWA11" s="537"/>
      <c r="PWB11" s="537"/>
      <c r="PWC11" s="537"/>
      <c r="PWD11" s="537"/>
      <c r="PWE11" s="537"/>
      <c r="PWF11" s="537"/>
      <c r="PWG11" s="537"/>
      <c r="PWH11" s="537"/>
      <c r="PWI11" s="537"/>
      <c r="PWJ11" s="537"/>
      <c r="PWK11" s="537"/>
      <c r="PWL11" s="537"/>
      <c r="PWM11" s="537"/>
      <c r="PWN11" s="537"/>
      <c r="PWO11" s="537"/>
      <c r="PWP11" s="537"/>
      <c r="PWQ11" s="537"/>
      <c r="PWR11" s="537"/>
      <c r="PWS11" s="537"/>
      <c r="PWT11" s="537"/>
      <c r="PWU11" s="537"/>
      <c r="PWV11" s="537"/>
      <c r="PWW11" s="537"/>
      <c r="PWX11" s="537"/>
      <c r="PWY11" s="537"/>
      <c r="PWZ11" s="537"/>
      <c r="PXA11" s="537"/>
      <c r="PXB11" s="537"/>
      <c r="PXC11" s="537"/>
      <c r="PXD11" s="537"/>
      <c r="PXE11" s="537"/>
      <c r="PXF11" s="537"/>
      <c r="PXG11" s="537"/>
      <c r="PXH11" s="537"/>
      <c r="PXI11" s="537"/>
      <c r="PXJ11" s="537"/>
      <c r="PXK11" s="537"/>
      <c r="PXL11" s="537"/>
      <c r="PXM11" s="537"/>
      <c r="PXN11" s="537"/>
      <c r="PXO11" s="537"/>
      <c r="PXP11" s="537"/>
      <c r="PXQ11" s="537"/>
      <c r="PXR11" s="537"/>
      <c r="PXS11" s="537"/>
      <c r="PXT11" s="537"/>
      <c r="PXU11" s="537"/>
      <c r="PXV11" s="537"/>
      <c r="PXW11" s="537"/>
      <c r="PXX11" s="537"/>
      <c r="PXY11" s="537"/>
      <c r="PXZ11" s="537"/>
      <c r="PYA11" s="537"/>
      <c r="PYB11" s="537"/>
      <c r="PYC11" s="537"/>
      <c r="PYD11" s="537"/>
      <c r="PYE11" s="537"/>
      <c r="PYF11" s="537"/>
      <c r="PYG11" s="537"/>
      <c r="PYH11" s="537"/>
      <c r="PYI11" s="537"/>
      <c r="PYJ11" s="537"/>
      <c r="PYK11" s="537"/>
      <c r="PYL11" s="537"/>
      <c r="PYM11" s="537"/>
      <c r="PYN11" s="537"/>
      <c r="PYO11" s="537"/>
      <c r="PYP11" s="537"/>
      <c r="PYQ11" s="537"/>
      <c r="PYR11" s="537"/>
      <c r="PYS11" s="537"/>
      <c r="PYT11" s="537"/>
      <c r="PYU11" s="537"/>
      <c r="PYV11" s="537"/>
      <c r="PYW11" s="537"/>
      <c r="PYX11" s="537"/>
      <c r="PYY11" s="537"/>
      <c r="PYZ11" s="537"/>
      <c r="PZA11" s="537"/>
      <c r="PZB11" s="537"/>
      <c r="PZC11" s="537"/>
      <c r="PZD11" s="537"/>
      <c r="PZE11" s="537"/>
      <c r="PZF11" s="537"/>
      <c r="PZG11" s="537"/>
      <c r="PZH11" s="537"/>
      <c r="PZI11" s="537"/>
      <c r="PZJ11" s="537"/>
      <c r="PZK11" s="537"/>
      <c r="PZL11" s="537"/>
      <c r="PZM11" s="537"/>
      <c r="PZN11" s="537"/>
      <c r="PZO11" s="537"/>
      <c r="PZP11" s="537"/>
      <c r="PZQ11" s="537"/>
      <c r="PZR11" s="537"/>
      <c r="PZS11" s="537"/>
      <c r="PZT11" s="537"/>
      <c r="PZU11" s="537"/>
      <c r="PZV11" s="537"/>
      <c r="PZW11" s="537"/>
      <c r="PZX11" s="537"/>
      <c r="PZY11" s="537"/>
      <c r="PZZ11" s="537"/>
      <c r="QAA11" s="537"/>
      <c r="QAB11" s="537"/>
      <c r="QAC11" s="537"/>
      <c r="QAD11" s="537"/>
      <c r="QAE11" s="537"/>
      <c r="QAF11" s="537"/>
      <c r="QAG11" s="537"/>
      <c r="QAH11" s="537"/>
      <c r="QAI11" s="537"/>
      <c r="QAJ11" s="537"/>
      <c r="QAK11" s="537"/>
      <c r="QAL11" s="537"/>
      <c r="QAM11" s="537"/>
      <c r="QAN11" s="537"/>
      <c r="QAO11" s="537"/>
      <c r="QAP11" s="537"/>
      <c r="QAQ11" s="537"/>
      <c r="QAR11" s="537"/>
      <c r="QAS11" s="537"/>
      <c r="QAT11" s="537"/>
      <c r="QAU11" s="537"/>
      <c r="QAV11" s="537"/>
      <c r="QAW11" s="537"/>
      <c r="QAX11" s="537"/>
      <c r="QAY11" s="537"/>
      <c r="QAZ11" s="537"/>
      <c r="QBA11" s="537"/>
      <c r="QBB11" s="537"/>
      <c r="QBC11" s="537"/>
      <c r="QBD11" s="537"/>
      <c r="QBE11" s="537"/>
      <c r="QBF11" s="537"/>
      <c r="QBG11" s="537"/>
      <c r="QBH11" s="537"/>
      <c r="QBI11" s="537"/>
      <c r="QBJ11" s="537"/>
      <c r="QBK11" s="537"/>
      <c r="QBL11" s="537"/>
      <c r="QBM11" s="537"/>
      <c r="QBN11" s="537"/>
      <c r="QBO11" s="537"/>
      <c r="QBP11" s="537"/>
      <c r="QBQ11" s="537"/>
      <c r="QBR11" s="537"/>
      <c r="QBS11" s="537"/>
      <c r="QBT11" s="537"/>
      <c r="QBU11" s="537"/>
      <c r="QBV11" s="537"/>
      <c r="QBW11" s="537"/>
      <c r="QBX11" s="537"/>
      <c r="QBY11" s="537"/>
      <c r="QBZ11" s="537"/>
      <c r="QCA11" s="537"/>
      <c r="QCB11" s="537"/>
      <c r="QCC11" s="537"/>
      <c r="QCD11" s="537"/>
      <c r="QCE11" s="537"/>
      <c r="QCF11" s="537"/>
      <c r="QCG11" s="537"/>
      <c r="QCH11" s="537"/>
      <c r="QCI11" s="537"/>
      <c r="QCJ11" s="537"/>
      <c r="QCK11" s="537"/>
      <c r="QCL11" s="537"/>
      <c r="QCM11" s="537"/>
      <c r="QCN11" s="537"/>
      <c r="QCO11" s="537"/>
      <c r="QCP11" s="537"/>
      <c r="QCQ11" s="537"/>
      <c r="QCR11" s="537"/>
      <c r="QCS11" s="537"/>
      <c r="QCT11" s="537"/>
      <c r="QCU11" s="537"/>
      <c r="QCV11" s="537"/>
      <c r="QCW11" s="537"/>
      <c r="QCX11" s="537"/>
      <c r="QCY11" s="537"/>
      <c r="QCZ11" s="537"/>
      <c r="QDA11" s="537"/>
      <c r="QDB11" s="537"/>
      <c r="QDC11" s="537"/>
      <c r="QDD11" s="537"/>
      <c r="QDE11" s="537"/>
      <c r="QDF11" s="537"/>
      <c r="QDG11" s="537"/>
      <c r="QDH11" s="537"/>
      <c r="QDI11" s="537"/>
      <c r="QDJ11" s="537"/>
      <c r="QDK11" s="537"/>
      <c r="QDL11" s="537"/>
      <c r="QDM11" s="537"/>
      <c r="QDN11" s="537"/>
      <c r="QDO11" s="537"/>
      <c r="QDP11" s="537"/>
      <c r="QDQ11" s="537"/>
      <c r="QDR11" s="537"/>
      <c r="QDS11" s="537"/>
      <c r="QDT11" s="537"/>
      <c r="QDU11" s="537"/>
      <c r="QDV11" s="537"/>
      <c r="QDW11" s="537"/>
      <c r="QDX11" s="537"/>
      <c r="QDY11" s="537"/>
      <c r="QDZ11" s="537"/>
      <c r="QEA11" s="537"/>
      <c r="QEB11" s="537"/>
      <c r="QEC11" s="537"/>
      <c r="QED11" s="537"/>
      <c r="QEE11" s="537"/>
      <c r="QEF11" s="537"/>
      <c r="QEG11" s="537"/>
      <c r="QEH11" s="537"/>
      <c r="QEI11" s="537"/>
      <c r="QEJ11" s="537"/>
      <c r="QEK11" s="537"/>
      <c r="QEL11" s="537"/>
      <c r="QEM11" s="537"/>
      <c r="QEN11" s="537"/>
      <c r="QEO11" s="537"/>
      <c r="QEP11" s="537"/>
      <c r="QEQ11" s="537"/>
      <c r="QER11" s="537"/>
      <c r="QES11" s="537"/>
      <c r="QET11" s="537"/>
      <c r="QEU11" s="537"/>
      <c r="QEV11" s="537"/>
      <c r="QEW11" s="537"/>
      <c r="QEX11" s="537"/>
      <c r="QEY11" s="537"/>
      <c r="QEZ11" s="537"/>
      <c r="QFA11" s="537"/>
      <c r="QFB11" s="537"/>
      <c r="QFC11" s="537"/>
      <c r="QFD11" s="537"/>
      <c r="QFE11" s="537"/>
      <c r="QFF11" s="537"/>
      <c r="QFG11" s="537"/>
      <c r="QFH11" s="537"/>
      <c r="QFI11" s="537"/>
      <c r="QFJ11" s="537"/>
      <c r="QFK11" s="537"/>
      <c r="QFL11" s="537"/>
      <c r="QFM11" s="537"/>
      <c r="QFN11" s="537"/>
      <c r="QFO11" s="537"/>
      <c r="QFP11" s="537"/>
      <c r="QFQ11" s="537"/>
      <c r="QFR11" s="537"/>
      <c r="QFS11" s="537"/>
      <c r="QFT11" s="537"/>
      <c r="QFU11" s="537"/>
      <c r="QFV11" s="537"/>
      <c r="QFW11" s="537"/>
      <c r="QFX11" s="537"/>
      <c r="QFY11" s="537"/>
      <c r="QFZ11" s="537"/>
      <c r="QGA11" s="537"/>
      <c r="QGB11" s="537"/>
      <c r="QGC11" s="537"/>
      <c r="QGD11" s="537"/>
      <c r="QGE11" s="537"/>
      <c r="QGF11" s="537"/>
      <c r="QGG11" s="537"/>
      <c r="QGH11" s="537"/>
      <c r="QGI11" s="537"/>
      <c r="QGJ11" s="537"/>
      <c r="QGK11" s="537"/>
      <c r="QGL11" s="537"/>
      <c r="QGM11" s="537"/>
      <c r="QGN11" s="537"/>
      <c r="QGO11" s="537"/>
      <c r="QGP11" s="537"/>
      <c r="QGQ11" s="537"/>
      <c r="QGR11" s="537"/>
      <c r="QGS11" s="537"/>
      <c r="QGT11" s="537"/>
      <c r="QGU11" s="537"/>
      <c r="QGV11" s="537"/>
      <c r="QGW11" s="537"/>
      <c r="QGX11" s="537"/>
      <c r="QGY11" s="537"/>
      <c r="QGZ11" s="537"/>
      <c r="QHA11" s="537"/>
      <c r="QHB11" s="537"/>
      <c r="QHC11" s="537"/>
      <c r="QHD11" s="537"/>
      <c r="QHE11" s="537"/>
      <c r="QHF11" s="537"/>
      <c r="QHG11" s="537"/>
      <c r="QHH11" s="537"/>
      <c r="QHI11" s="537"/>
      <c r="QHJ11" s="537"/>
      <c r="QHK11" s="537"/>
      <c r="QHL11" s="537"/>
      <c r="QHM11" s="537"/>
      <c r="QHN11" s="537"/>
      <c r="QHO11" s="537"/>
      <c r="QHP11" s="537"/>
      <c r="QHQ11" s="537"/>
      <c r="QHR11" s="537"/>
      <c r="QHS11" s="537"/>
      <c r="QHT11" s="537"/>
      <c r="QHU11" s="537"/>
      <c r="QHV11" s="537"/>
      <c r="QHW11" s="537"/>
      <c r="QHX11" s="537"/>
      <c r="QHY11" s="537"/>
      <c r="QHZ11" s="537"/>
      <c r="QIA11" s="537"/>
      <c r="QIB11" s="537"/>
      <c r="QIC11" s="537"/>
      <c r="QID11" s="537"/>
      <c r="QIE11" s="537"/>
      <c r="QIF11" s="537"/>
      <c r="QIG11" s="537"/>
      <c r="QIH11" s="537"/>
      <c r="QII11" s="537"/>
      <c r="QIJ11" s="537"/>
      <c r="QIK11" s="537"/>
      <c r="QIL11" s="537"/>
      <c r="QIM11" s="537"/>
      <c r="QIN11" s="537"/>
      <c r="QIO11" s="537"/>
      <c r="QIP11" s="537"/>
      <c r="QIQ11" s="537"/>
      <c r="QIR11" s="537"/>
      <c r="QIS11" s="537"/>
      <c r="QIT11" s="537"/>
      <c r="QIU11" s="537"/>
      <c r="QIV11" s="537"/>
      <c r="QIW11" s="537"/>
      <c r="QIX11" s="537"/>
      <c r="QIY11" s="537"/>
      <c r="QIZ11" s="537"/>
      <c r="QJA11" s="537"/>
      <c r="QJB11" s="537"/>
      <c r="QJC11" s="537"/>
      <c r="QJD11" s="537"/>
      <c r="QJE11" s="537"/>
      <c r="QJF11" s="537"/>
      <c r="QJG11" s="537"/>
      <c r="QJH11" s="537"/>
      <c r="QJI11" s="537"/>
      <c r="QJJ11" s="537"/>
      <c r="QJK11" s="537"/>
      <c r="QJL11" s="537"/>
      <c r="QJM11" s="537"/>
      <c r="QJN11" s="537"/>
      <c r="QJO11" s="537"/>
      <c r="QJP11" s="537"/>
      <c r="QJQ11" s="537"/>
      <c r="QJR11" s="537"/>
      <c r="QJS11" s="537"/>
      <c r="QJT11" s="537"/>
      <c r="QJU11" s="537"/>
      <c r="QJV11" s="537"/>
      <c r="QJW11" s="537"/>
      <c r="QJX11" s="537"/>
      <c r="QJY11" s="537"/>
      <c r="QJZ11" s="537"/>
      <c r="QKA11" s="537"/>
      <c r="QKB11" s="537"/>
      <c r="QKC11" s="537"/>
      <c r="QKD11" s="537"/>
      <c r="QKE11" s="537"/>
      <c r="QKF11" s="537"/>
      <c r="QKG11" s="537"/>
      <c r="QKH11" s="537"/>
      <c r="QKI11" s="537"/>
      <c r="QKJ11" s="537"/>
      <c r="QKK11" s="537"/>
      <c r="QKL11" s="537"/>
      <c r="QKM11" s="537"/>
      <c r="QKN11" s="537"/>
      <c r="QKO11" s="537"/>
      <c r="QKP11" s="537"/>
      <c r="QKQ11" s="537"/>
      <c r="QKR11" s="537"/>
      <c r="QKS11" s="537"/>
      <c r="QKT11" s="537"/>
      <c r="QKU11" s="537"/>
      <c r="QKV11" s="537"/>
      <c r="QKW11" s="537"/>
      <c r="QKX11" s="537"/>
      <c r="QKY11" s="537"/>
      <c r="QKZ11" s="537"/>
      <c r="QLA11" s="537"/>
      <c r="QLB11" s="537"/>
      <c r="QLC11" s="537"/>
      <c r="QLD11" s="537"/>
      <c r="QLE11" s="537"/>
      <c r="QLF11" s="537"/>
      <c r="QLG11" s="537"/>
      <c r="QLH11" s="537"/>
      <c r="QLI11" s="537"/>
      <c r="QLJ11" s="537"/>
      <c r="QLK11" s="537"/>
      <c r="QLL11" s="537"/>
      <c r="QLM11" s="537"/>
      <c r="QLN11" s="537"/>
      <c r="QLO11" s="537"/>
      <c r="QLP11" s="537"/>
      <c r="QLQ11" s="537"/>
      <c r="QLR11" s="537"/>
      <c r="QLS11" s="537"/>
      <c r="QLT11" s="537"/>
      <c r="QLU11" s="537"/>
      <c r="QLV11" s="537"/>
      <c r="QLW11" s="537"/>
      <c r="QLX11" s="537"/>
      <c r="QLY11" s="537"/>
      <c r="QLZ11" s="537"/>
      <c r="QMA11" s="537"/>
      <c r="QMB11" s="537"/>
      <c r="QMC11" s="537"/>
      <c r="QMD11" s="537"/>
      <c r="QME11" s="537"/>
      <c r="QMF11" s="537"/>
      <c r="QMG11" s="537"/>
      <c r="QMH11" s="537"/>
      <c r="QMI11" s="537"/>
      <c r="QMJ11" s="537"/>
      <c r="QMK11" s="537"/>
      <c r="QML11" s="537"/>
      <c r="QMM11" s="537"/>
      <c r="QMN11" s="537"/>
      <c r="QMO11" s="537"/>
      <c r="QMP11" s="537"/>
      <c r="QMQ11" s="537"/>
      <c r="QMR11" s="537"/>
      <c r="QMS11" s="537"/>
      <c r="QMT11" s="537"/>
      <c r="QMU11" s="537"/>
      <c r="QMV11" s="537"/>
      <c r="QMW11" s="537"/>
      <c r="QMX11" s="537"/>
      <c r="QMY11" s="537"/>
      <c r="QMZ11" s="537"/>
      <c r="QNA11" s="537"/>
      <c r="QNB11" s="537"/>
      <c r="QNC11" s="537"/>
      <c r="QND11" s="537"/>
      <c r="QNE11" s="537"/>
      <c r="QNF11" s="537"/>
      <c r="QNG11" s="537"/>
      <c r="QNH11" s="537"/>
      <c r="QNI11" s="537"/>
      <c r="QNJ11" s="537"/>
      <c r="QNK11" s="537"/>
      <c r="QNL11" s="537"/>
      <c r="QNM11" s="537"/>
      <c r="QNN11" s="537"/>
      <c r="QNO11" s="537"/>
      <c r="QNP11" s="537"/>
      <c r="QNQ11" s="537"/>
      <c r="QNR11" s="537"/>
      <c r="QNS11" s="537"/>
      <c r="QNT11" s="537"/>
      <c r="QNU11" s="537"/>
      <c r="QNV11" s="537"/>
      <c r="QNW11" s="537"/>
      <c r="QNX11" s="537"/>
      <c r="QNY11" s="537"/>
      <c r="QNZ11" s="537"/>
      <c r="QOA11" s="537"/>
      <c r="QOB11" s="537"/>
      <c r="QOC11" s="537"/>
      <c r="QOD11" s="537"/>
      <c r="QOE11" s="537"/>
      <c r="QOF11" s="537"/>
      <c r="QOG11" s="537"/>
      <c r="QOH11" s="537"/>
      <c r="QOI11" s="537"/>
      <c r="QOJ11" s="537"/>
      <c r="QOK11" s="537"/>
      <c r="QOL11" s="537"/>
      <c r="QOM11" s="537"/>
      <c r="QON11" s="537"/>
      <c r="QOO11" s="537"/>
      <c r="QOP11" s="537"/>
      <c r="QOQ11" s="537"/>
      <c r="QOR11" s="537"/>
      <c r="QOS11" s="537"/>
      <c r="QOT11" s="537"/>
      <c r="QOU11" s="537"/>
      <c r="QOV11" s="537"/>
      <c r="QOW11" s="537"/>
      <c r="QOX11" s="537"/>
      <c r="QOY11" s="537"/>
      <c r="QOZ11" s="537"/>
      <c r="QPA11" s="537"/>
      <c r="QPB11" s="537"/>
      <c r="QPC11" s="537"/>
      <c r="QPD11" s="537"/>
      <c r="QPE11" s="537"/>
      <c r="QPF11" s="537"/>
      <c r="QPG11" s="537"/>
      <c r="QPH11" s="537"/>
      <c r="QPI11" s="537"/>
      <c r="QPJ11" s="537"/>
      <c r="QPK11" s="537"/>
      <c r="QPL11" s="537"/>
      <c r="QPM11" s="537"/>
      <c r="QPN11" s="537"/>
      <c r="QPO11" s="537"/>
      <c r="QPP11" s="537"/>
      <c r="QPQ11" s="537"/>
      <c r="QPR11" s="537"/>
      <c r="QPS11" s="537"/>
      <c r="QPT11" s="537"/>
      <c r="QPU11" s="537"/>
      <c r="QPV11" s="537"/>
      <c r="QPW11" s="537"/>
      <c r="QPX11" s="537"/>
      <c r="QPY11" s="537"/>
      <c r="QPZ11" s="537"/>
      <c r="QQA11" s="537"/>
      <c r="QQB11" s="537"/>
      <c r="QQC11" s="537"/>
      <c r="QQD11" s="537"/>
      <c r="QQE11" s="537"/>
      <c r="QQF11" s="537"/>
      <c r="QQG11" s="537"/>
      <c r="QQH11" s="537"/>
      <c r="QQI11" s="537"/>
      <c r="QQJ11" s="537"/>
      <c r="QQK11" s="537"/>
      <c r="QQL11" s="537"/>
      <c r="QQM11" s="537"/>
      <c r="QQN11" s="537"/>
      <c r="QQO11" s="537"/>
      <c r="QQP11" s="537"/>
      <c r="QQQ11" s="537"/>
      <c r="QQR11" s="537"/>
      <c r="QQS11" s="537"/>
      <c r="QQT11" s="537"/>
      <c r="QQU11" s="537"/>
      <c r="QQV11" s="537"/>
      <c r="QQW11" s="537"/>
      <c r="QQX11" s="537"/>
      <c r="QQY11" s="537"/>
      <c r="QQZ11" s="537"/>
      <c r="QRA11" s="537"/>
      <c r="QRB11" s="537"/>
      <c r="QRC11" s="537"/>
      <c r="QRD11" s="537"/>
      <c r="QRE11" s="537"/>
      <c r="QRF11" s="537"/>
      <c r="QRG11" s="537"/>
      <c r="QRH11" s="537"/>
      <c r="QRI11" s="537"/>
      <c r="QRJ11" s="537"/>
      <c r="QRK11" s="537"/>
      <c r="QRL11" s="537"/>
      <c r="QRM11" s="537"/>
      <c r="QRN11" s="537"/>
      <c r="QRO11" s="537"/>
      <c r="QRP11" s="537"/>
      <c r="QRQ11" s="537"/>
      <c r="QRR11" s="537"/>
      <c r="QRS11" s="537"/>
      <c r="QRT11" s="537"/>
      <c r="QRU11" s="537"/>
      <c r="QRV11" s="537"/>
      <c r="QRW11" s="537"/>
      <c r="QRX11" s="537"/>
      <c r="QRY11" s="537"/>
      <c r="QRZ11" s="537"/>
      <c r="QSA11" s="537"/>
      <c r="QSB11" s="537"/>
      <c r="QSC11" s="537"/>
      <c r="QSD11" s="537"/>
      <c r="QSE11" s="537"/>
      <c r="QSF11" s="537"/>
      <c r="QSG11" s="537"/>
      <c r="QSH11" s="537"/>
      <c r="QSI11" s="537"/>
      <c r="QSJ11" s="537"/>
      <c r="QSK11" s="537"/>
      <c r="QSL11" s="537"/>
      <c r="QSM11" s="537"/>
      <c r="QSN11" s="537"/>
      <c r="QSO11" s="537"/>
      <c r="QSP11" s="537"/>
      <c r="QSQ11" s="537"/>
      <c r="QSR11" s="537"/>
      <c r="QSS11" s="537"/>
      <c r="QST11" s="537"/>
      <c r="QSU11" s="537"/>
      <c r="QSV11" s="537"/>
      <c r="QSW11" s="537"/>
      <c r="QSX11" s="537"/>
      <c r="QSY11" s="537"/>
      <c r="QSZ11" s="537"/>
      <c r="QTA11" s="537"/>
      <c r="QTB11" s="537"/>
      <c r="QTC11" s="537"/>
      <c r="QTD11" s="537"/>
      <c r="QTE11" s="537"/>
      <c r="QTF11" s="537"/>
      <c r="QTG11" s="537"/>
      <c r="QTH11" s="537"/>
      <c r="QTI11" s="537"/>
      <c r="QTJ11" s="537"/>
      <c r="QTK11" s="537"/>
      <c r="QTL11" s="537"/>
      <c r="QTM11" s="537"/>
      <c r="QTN11" s="537"/>
      <c r="QTO11" s="537"/>
      <c r="QTP11" s="537"/>
      <c r="QTQ11" s="537"/>
      <c r="QTR11" s="537"/>
      <c r="QTS11" s="537"/>
      <c r="QTT11" s="537"/>
      <c r="QTU11" s="537"/>
      <c r="QTV11" s="537"/>
      <c r="QTW11" s="537"/>
      <c r="QTX11" s="537"/>
      <c r="QTY11" s="537"/>
      <c r="QTZ11" s="537"/>
      <c r="QUA11" s="537"/>
      <c r="QUB11" s="537"/>
      <c r="QUC11" s="537"/>
      <c r="QUD11" s="537"/>
      <c r="QUE11" s="537"/>
      <c r="QUF11" s="537"/>
      <c r="QUG11" s="537"/>
      <c r="QUH11" s="537"/>
      <c r="QUI11" s="537"/>
      <c r="QUJ11" s="537"/>
      <c r="QUK11" s="537"/>
      <c r="QUL11" s="537"/>
      <c r="QUM11" s="537"/>
      <c r="QUN11" s="537"/>
      <c r="QUO11" s="537"/>
      <c r="QUP11" s="537"/>
      <c r="QUQ11" s="537"/>
      <c r="QUR11" s="537"/>
      <c r="QUS11" s="537"/>
      <c r="QUT11" s="537"/>
      <c r="QUU11" s="537"/>
      <c r="QUV11" s="537"/>
      <c r="QUW11" s="537"/>
      <c r="QUX11" s="537"/>
      <c r="QUY11" s="537"/>
      <c r="QUZ11" s="537"/>
      <c r="QVA11" s="537"/>
      <c r="QVB11" s="537"/>
      <c r="QVC11" s="537"/>
      <c r="QVD11" s="537"/>
      <c r="QVE11" s="537"/>
      <c r="QVF11" s="537"/>
      <c r="QVG11" s="537"/>
      <c r="QVH11" s="537"/>
      <c r="QVI11" s="537"/>
      <c r="QVJ11" s="537"/>
      <c r="QVK11" s="537"/>
      <c r="QVL11" s="537"/>
      <c r="QVM11" s="537"/>
      <c r="QVN11" s="537"/>
      <c r="QVO11" s="537"/>
      <c r="QVP11" s="537"/>
      <c r="QVQ11" s="537"/>
      <c r="QVR11" s="537"/>
      <c r="QVS11" s="537"/>
      <c r="QVT11" s="537"/>
      <c r="QVU11" s="537"/>
      <c r="QVV11" s="537"/>
      <c r="QVW11" s="537"/>
      <c r="QVX11" s="537"/>
      <c r="QVY11" s="537"/>
      <c r="QVZ11" s="537"/>
      <c r="QWA11" s="537"/>
      <c r="QWB11" s="537"/>
      <c r="QWC11" s="537"/>
      <c r="QWD11" s="537"/>
      <c r="QWE11" s="537"/>
      <c r="QWF11" s="537"/>
      <c r="QWG11" s="537"/>
      <c r="QWH11" s="537"/>
      <c r="QWI11" s="537"/>
      <c r="QWJ11" s="537"/>
      <c r="QWK11" s="537"/>
      <c r="QWL11" s="537"/>
      <c r="QWM11" s="537"/>
      <c r="QWN11" s="537"/>
      <c r="QWO11" s="537"/>
      <c r="QWP11" s="537"/>
      <c r="QWQ11" s="537"/>
      <c r="QWR11" s="537"/>
      <c r="QWS11" s="537"/>
      <c r="QWT11" s="537"/>
      <c r="QWU11" s="537"/>
      <c r="QWV11" s="537"/>
      <c r="QWW11" s="537"/>
      <c r="QWX11" s="537"/>
      <c r="QWY11" s="537"/>
      <c r="QWZ11" s="537"/>
      <c r="QXA11" s="537"/>
      <c r="QXB11" s="537"/>
      <c r="QXC11" s="537"/>
      <c r="QXD11" s="537"/>
      <c r="QXE11" s="537"/>
      <c r="QXF11" s="537"/>
      <c r="QXG11" s="537"/>
      <c r="QXH11" s="537"/>
      <c r="QXI11" s="537"/>
      <c r="QXJ11" s="537"/>
      <c r="QXK11" s="537"/>
      <c r="QXL11" s="537"/>
      <c r="QXM11" s="537"/>
      <c r="QXN11" s="537"/>
      <c r="QXO11" s="537"/>
      <c r="QXP11" s="537"/>
      <c r="QXQ11" s="537"/>
      <c r="QXR11" s="537"/>
      <c r="QXS11" s="537"/>
      <c r="QXT11" s="537"/>
      <c r="QXU11" s="537"/>
      <c r="QXV11" s="537"/>
      <c r="QXW11" s="537"/>
      <c r="QXX11" s="537"/>
      <c r="QXY11" s="537"/>
      <c r="QXZ11" s="537"/>
      <c r="QYA11" s="537"/>
      <c r="QYB11" s="537"/>
      <c r="QYC11" s="537"/>
      <c r="QYD11" s="537"/>
      <c r="QYE11" s="537"/>
      <c r="QYF11" s="537"/>
      <c r="QYG11" s="537"/>
      <c r="QYH11" s="537"/>
      <c r="QYI11" s="537"/>
      <c r="QYJ11" s="537"/>
      <c r="QYK11" s="537"/>
      <c r="QYL11" s="537"/>
      <c r="QYM11" s="537"/>
      <c r="QYN11" s="537"/>
      <c r="QYO11" s="537"/>
      <c r="QYP11" s="537"/>
      <c r="QYQ11" s="537"/>
      <c r="QYR11" s="537"/>
      <c r="QYS11" s="537"/>
      <c r="QYT11" s="537"/>
      <c r="QYU11" s="537"/>
      <c r="QYV11" s="537"/>
      <c r="QYW11" s="537"/>
      <c r="QYX11" s="537"/>
      <c r="QYY11" s="537"/>
      <c r="QYZ11" s="537"/>
      <c r="QZA11" s="537"/>
      <c r="QZB11" s="537"/>
      <c r="QZC11" s="537"/>
      <c r="QZD11" s="537"/>
      <c r="QZE11" s="537"/>
      <c r="QZF11" s="537"/>
      <c r="QZG11" s="537"/>
      <c r="QZH11" s="537"/>
      <c r="QZI11" s="537"/>
      <c r="QZJ11" s="537"/>
      <c r="QZK11" s="537"/>
      <c r="QZL11" s="537"/>
      <c r="QZM11" s="537"/>
      <c r="QZN11" s="537"/>
      <c r="QZO11" s="537"/>
      <c r="QZP11" s="537"/>
      <c r="QZQ11" s="537"/>
      <c r="QZR11" s="537"/>
      <c r="QZS11" s="537"/>
      <c r="QZT11" s="537"/>
      <c r="QZU11" s="537"/>
      <c r="QZV11" s="537"/>
      <c r="QZW11" s="537"/>
      <c r="QZX11" s="537"/>
      <c r="QZY11" s="537"/>
      <c r="QZZ11" s="537"/>
      <c r="RAA11" s="537"/>
      <c r="RAB11" s="537"/>
      <c r="RAC11" s="537"/>
      <c r="RAD11" s="537"/>
      <c r="RAE11" s="537"/>
      <c r="RAF11" s="537"/>
      <c r="RAG11" s="537"/>
      <c r="RAH11" s="537"/>
      <c r="RAI11" s="537"/>
      <c r="RAJ11" s="537"/>
      <c r="RAK11" s="537"/>
      <c r="RAL11" s="537"/>
      <c r="RAM11" s="537"/>
      <c r="RAN11" s="537"/>
      <c r="RAO11" s="537"/>
      <c r="RAP11" s="537"/>
      <c r="RAQ11" s="537"/>
      <c r="RAR11" s="537"/>
      <c r="RAS11" s="537"/>
      <c r="RAT11" s="537"/>
      <c r="RAU11" s="537"/>
      <c r="RAV11" s="537"/>
      <c r="RAW11" s="537"/>
      <c r="RAX11" s="537"/>
      <c r="RAY11" s="537"/>
      <c r="RAZ11" s="537"/>
      <c r="RBA11" s="537"/>
      <c r="RBB11" s="537"/>
      <c r="RBC11" s="537"/>
      <c r="RBD11" s="537"/>
      <c r="RBE11" s="537"/>
      <c r="RBF11" s="537"/>
      <c r="RBG11" s="537"/>
      <c r="RBH11" s="537"/>
      <c r="RBI11" s="537"/>
      <c r="RBJ11" s="537"/>
      <c r="RBK11" s="537"/>
      <c r="RBL11" s="537"/>
      <c r="RBM11" s="537"/>
      <c r="RBN11" s="537"/>
      <c r="RBO11" s="537"/>
      <c r="RBP11" s="537"/>
      <c r="RBQ11" s="537"/>
      <c r="RBR11" s="537"/>
      <c r="RBS11" s="537"/>
      <c r="RBT11" s="537"/>
      <c r="RBU11" s="537"/>
      <c r="RBV11" s="537"/>
      <c r="RBW11" s="537"/>
      <c r="RBX11" s="537"/>
      <c r="RBY11" s="537"/>
      <c r="RBZ11" s="537"/>
      <c r="RCA11" s="537"/>
      <c r="RCB11" s="537"/>
      <c r="RCC11" s="537"/>
      <c r="RCD11" s="537"/>
      <c r="RCE11" s="537"/>
      <c r="RCF11" s="537"/>
      <c r="RCG11" s="537"/>
      <c r="RCH11" s="537"/>
      <c r="RCI11" s="537"/>
      <c r="RCJ11" s="537"/>
      <c r="RCK11" s="537"/>
      <c r="RCL11" s="537"/>
      <c r="RCM11" s="537"/>
      <c r="RCN11" s="537"/>
      <c r="RCO11" s="537"/>
      <c r="RCP11" s="537"/>
      <c r="RCQ11" s="537"/>
      <c r="RCR11" s="537"/>
      <c r="RCS11" s="537"/>
      <c r="RCT11" s="537"/>
      <c r="RCU11" s="537"/>
      <c r="RCV11" s="537"/>
      <c r="RCW11" s="537"/>
      <c r="RCX11" s="537"/>
      <c r="RCY11" s="537"/>
      <c r="RCZ11" s="537"/>
      <c r="RDA11" s="537"/>
      <c r="RDB11" s="537"/>
      <c r="RDC11" s="537"/>
      <c r="RDD11" s="537"/>
      <c r="RDE11" s="537"/>
      <c r="RDF11" s="537"/>
      <c r="RDG11" s="537"/>
      <c r="RDH11" s="537"/>
      <c r="RDI11" s="537"/>
      <c r="RDJ11" s="537"/>
      <c r="RDK11" s="537"/>
      <c r="RDL11" s="537"/>
      <c r="RDM11" s="537"/>
      <c r="RDN11" s="537"/>
      <c r="RDO11" s="537"/>
      <c r="RDP11" s="537"/>
      <c r="RDQ11" s="537"/>
      <c r="RDR11" s="537"/>
      <c r="RDS11" s="537"/>
      <c r="RDT11" s="537"/>
      <c r="RDU11" s="537"/>
      <c r="RDV11" s="537"/>
      <c r="RDW11" s="537"/>
      <c r="RDX11" s="537"/>
      <c r="RDY11" s="537"/>
      <c r="RDZ11" s="537"/>
      <c r="REA11" s="537"/>
      <c r="REB11" s="537"/>
      <c r="REC11" s="537"/>
      <c r="RED11" s="537"/>
      <c r="REE11" s="537"/>
      <c r="REF11" s="537"/>
      <c r="REG11" s="537"/>
      <c r="REH11" s="537"/>
      <c r="REI11" s="537"/>
      <c r="REJ11" s="537"/>
      <c r="REK11" s="537"/>
      <c r="REL11" s="537"/>
      <c r="REM11" s="537"/>
      <c r="REN11" s="537"/>
      <c r="REO11" s="537"/>
      <c r="REP11" s="537"/>
      <c r="REQ11" s="537"/>
      <c r="RER11" s="537"/>
      <c r="RES11" s="537"/>
      <c r="RET11" s="537"/>
      <c r="REU11" s="537"/>
      <c r="REV11" s="537"/>
      <c r="REW11" s="537"/>
      <c r="REX11" s="537"/>
      <c r="REY11" s="537"/>
      <c r="REZ11" s="537"/>
      <c r="RFA11" s="537"/>
      <c r="RFB11" s="537"/>
      <c r="RFC11" s="537"/>
      <c r="RFD11" s="537"/>
      <c r="RFE11" s="537"/>
      <c r="RFF11" s="537"/>
      <c r="RFG11" s="537"/>
      <c r="RFH11" s="537"/>
      <c r="RFI11" s="537"/>
      <c r="RFJ11" s="537"/>
      <c r="RFK11" s="537"/>
      <c r="RFL11" s="537"/>
      <c r="RFM11" s="537"/>
      <c r="RFN11" s="537"/>
      <c r="RFO11" s="537"/>
      <c r="RFP11" s="537"/>
      <c r="RFQ11" s="537"/>
      <c r="RFR11" s="537"/>
      <c r="RFS11" s="537"/>
      <c r="RFT11" s="537"/>
      <c r="RFU11" s="537"/>
      <c r="RFV11" s="537"/>
      <c r="RFW11" s="537"/>
      <c r="RFX11" s="537"/>
      <c r="RFY11" s="537"/>
      <c r="RFZ11" s="537"/>
      <c r="RGA11" s="537"/>
      <c r="RGB11" s="537"/>
      <c r="RGC11" s="537"/>
      <c r="RGD11" s="537"/>
      <c r="RGE11" s="537"/>
      <c r="RGF11" s="537"/>
      <c r="RGG11" s="537"/>
      <c r="RGH11" s="537"/>
      <c r="RGI11" s="537"/>
      <c r="RGJ11" s="537"/>
      <c r="RGK11" s="537"/>
      <c r="RGL11" s="537"/>
      <c r="RGM11" s="537"/>
      <c r="RGN11" s="537"/>
      <c r="RGO11" s="537"/>
      <c r="RGP11" s="537"/>
      <c r="RGQ11" s="537"/>
      <c r="RGR11" s="537"/>
      <c r="RGS11" s="537"/>
      <c r="RGT11" s="537"/>
      <c r="RGU11" s="537"/>
      <c r="RGV11" s="537"/>
      <c r="RGW11" s="537"/>
      <c r="RGX11" s="537"/>
      <c r="RGY11" s="537"/>
      <c r="RGZ11" s="537"/>
      <c r="RHA11" s="537"/>
      <c r="RHB11" s="537"/>
      <c r="RHC11" s="537"/>
      <c r="RHD11" s="537"/>
      <c r="RHE11" s="537"/>
      <c r="RHF11" s="537"/>
      <c r="RHG11" s="537"/>
      <c r="RHH11" s="537"/>
      <c r="RHI11" s="537"/>
      <c r="RHJ11" s="537"/>
      <c r="RHK11" s="537"/>
      <c r="RHL11" s="537"/>
      <c r="RHM11" s="537"/>
      <c r="RHN11" s="537"/>
      <c r="RHO11" s="537"/>
      <c r="RHP11" s="537"/>
      <c r="RHQ11" s="537"/>
      <c r="RHR11" s="537"/>
      <c r="RHS11" s="537"/>
      <c r="RHT11" s="537"/>
      <c r="RHU11" s="537"/>
      <c r="RHV11" s="537"/>
      <c r="RHW11" s="537"/>
      <c r="RHX11" s="537"/>
      <c r="RHY11" s="537"/>
      <c r="RHZ11" s="537"/>
      <c r="RIA11" s="537"/>
      <c r="RIB11" s="537"/>
      <c r="RIC11" s="537"/>
      <c r="RID11" s="537"/>
      <c r="RIE11" s="537"/>
      <c r="RIF11" s="537"/>
      <c r="RIG11" s="537"/>
      <c r="RIH11" s="537"/>
      <c r="RII11" s="537"/>
      <c r="RIJ11" s="537"/>
      <c r="RIK11" s="537"/>
      <c r="RIL11" s="537"/>
      <c r="RIM11" s="537"/>
      <c r="RIN11" s="537"/>
      <c r="RIO11" s="537"/>
      <c r="RIP11" s="537"/>
      <c r="RIQ11" s="537"/>
      <c r="RIR11" s="537"/>
      <c r="RIS11" s="537"/>
      <c r="RIT11" s="537"/>
      <c r="RIU11" s="537"/>
      <c r="RIV11" s="537"/>
      <c r="RIW11" s="537"/>
      <c r="RIX11" s="537"/>
      <c r="RIY11" s="537"/>
      <c r="RIZ11" s="537"/>
      <c r="RJA11" s="537"/>
      <c r="RJB11" s="537"/>
      <c r="RJC11" s="537"/>
      <c r="RJD11" s="537"/>
      <c r="RJE11" s="537"/>
      <c r="RJF11" s="537"/>
      <c r="RJG11" s="537"/>
      <c r="RJH11" s="537"/>
      <c r="RJI11" s="537"/>
      <c r="RJJ11" s="537"/>
      <c r="RJK11" s="537"/>
      <c r="RJL11" s="537"/>
      <c r="RJM11" s="537"/>
      <c r="RJN11" s="537"/>
      <c r="RJO11" s="537"/>
      <c r="RJP11" s="537"/>
      <c r="RJQ11" s="537"/>
      <c r="RJR11" s="537"/>
      <c r="RJS11" s="537"/>
      <c r="RJT11" s="537"/>
      <c r="RJU11" s="537"/>
      <c r="RJV11" s="537"/>
      <c r="RJW11" s="537"/>
      <c r="RJX11" s="537"/>
      <c r="RJY11" s="537"/>
      <c r="RJZ11" s="537"/>
      <c r="RKA11" s="537"/>
      <c r="RKB11" s="537"/>
      <c r="RKC11" s="537"/>
      <c r="RKD11" s="537"/>
      <c r="RKE11" s="537"/>
      <c r="RKF11" s="537"/>
      <c r="RKG11" s="537"/>
      <c r="RKH11" s="537"/>
      <c r="RKI11" s="537"/>
      <c r="RKJ11" s="537"/>
      <c r="RKK11" s="537"/>
      <c r="RKL11" s="537"/>
      <c r="RKM11" s="537"/>
      <c r="RKN11" s="537"/>
      <c r="RKO11" s="537"/>
      <c r="RKP11" s="537"/>
      <c r="RKQ11" s="537"/>
      <c r="RKR11" s="537"/>
      <c r="RKS11" s="537"/>
      <c r="RKT11" s="537"/>
      <c r="RKU11" s="537"/>
      <c r="RKV11" s="537"/>
      <c r="RKW11" s="537"/>
      <c r="RKX11" s="537"/>
      <c r="RKY11" s="537"/>
      <c r="RKZ11" s="537"/>
      <c r="RLA11" s="537"/>
      <c r="RLB11" s="537"/>
      <c r="RLC11" s="537"/>
      <c r="RLD11" s="537"/>
      <c r="RLE11" s="537"/>
      <c r="RLF11" s="537"/>
      <c r="RLG11" s="537"/>
      <c r="RLH11" s="537"/>
      <c r="RLI11" s="537"/>
      <c r="RLJ11" s="537"/>
      <c r="RLK11" s="537"/>
      <c r="RLL11" s="537"/>
      <c r="RLM11" s="537"/>
      <c r="RLN11" s="537"/>
      <c r="RLO11" s="537"/>
      <c r="RLP11" s="537"/>
      <c r="RLQ11" s="537"/>
      <c r="RLR11" s="537"/>
      <c r="RLS11" s="537"/>
      <c r="RLT11" s="537"/>
      <c r="RLU11" s="537"/>
      <c r="RLV11" s="537"/>
      <c r="RLW11" s="537"/>
      <c r="RLX11" s="537"/>
      <c r="RLY11" s="537"/>
      <c r="RLZ11" s="537"/>
      <c r="RMA11" s="537"/>
      <c r="RMB11" s="537"/>
      <c r="RMC11" s="537"/>
      <c r="RMD11" s="537"/>
      <c r="RME11" s="537"/>
      <c r="RMF11" s="537"/>
      <c r="RMG11" s="537"/>
      <c r="RMH11" s="537"/>
      <c r="RMI11" s="537"/>
      <c r="RMJ11" s="537"/>
      <c r="RMK11" s="537"/>
      <c r="RML11" s="537"/>
      <c r="RMM11" s="537"/>
      <c r="RMN11" s="537"/>
      <c r="RMO11" s="537"/>
      <c r="RMP11" s="537"/>
      <c r="RMQ11" s="537"/>
      <c r="RMR11" s="537"/>
      <c r="RMS11" s="537"/>
      <c r="RMT11" s="537"/>
      <c r="RMU11" s="537"/>
      <c r="RMV11" s="537"/>
      <c r="RMW11" s="537"/>
      <c r="RMX11" s="537"/>
      <c r="RMY11" s="537"/>
      <c r="RMZ11" s="537"/>
      <c r="RNA11" s="537"/>
      <c r="RNB11" s="537"/>
      <c r="RNC11" s="537"/>
      <c r="RND11" s="537"/>
      <c r="RNE11" s="537"/>
      <c r="RNF11" s="537"/>
      <c r="RNG11" s="537"/>
      <c r="RNH11" s="537"/>
      <c r="RNI11" s="537"/>
      <c r="RNJ11" s="537"/>
      <c r="RNK11" s="537"/>
      <c r="RNL11" s="537"/>
      <c r="RNM11" s="537"/>
      <c r="RNN11" s="537"/>
      <c r="RNO11" s="537"/>
      <c r="RNP11" s="537"/>
      <c r="RNQ11" s="537"/>
      <c r="RNR11" s="537"/>
      <c r="RNS11" s="537"/>
      <c r="RNT11" s="537"/>
      <c r="RNU11" s="537"/>
      <c r="RNV11" s="537"/>
      <c r="RNW11" s="537"/>
      <c r="RNX11" s="537"/>
      <c r="RNY11" s="537"/>
      <c r="RNZ11" s="537"/>
      <c r="ROA11" s="537"/>
      <c r="ROB11" s="537"/>
      <c r="ROC11" s="537"/>
      <c r="ROD11" s="537"/>
      <c r="ROE11" s="537"/>
      <c r="ROF11" s="537"/>
      <c r="ROG11" s="537"/>
      <c r="ROH11" s="537"/>
      <c r="ROI11" s="537"/>
      <c r="ROJ11" s="537"/>
      <c r="ROK11" s="537"/>
      <c r="ROL11" s="537"/>
      <c r="ROM11" s="537"/>
      <c r="RON11" s="537"/>
      <c r="ROO11" s="537"/>
      <c r="ROP11" s="537"/>
      <c r="ROQ11" s="537"/>
      <c r="ROR11" s="537"/>
      <c r="ROS11" s="537"/>
      <c r="ROT11" s="537"/>
      <c r="ROU11" s="537"/>
      <c r="ROV11" s="537"/>
      <c r="ROW11" s="537"/>
      <c r="ROX11" s="537"/>
      <c r="ROY11" s="537"/>
      <c r="ROZ11" s="537"/>
      <c r="RPA11" s="537"/>
      <c r="RPB11" s="537"/>
      <c r="RPC11" s="537"/>
      <c r="RPD11" s="537"/>
      <c r="RPE11" s="537"/>
      <c r="RPF11" s="537"/>
      <c r="RPG11" s="537"/>
      <c r="RPH11" s="537"/>
      <c r="RPI11" s="537"/>
      <c r="RPJ11" s="537"/>
      <c r="RPK11" s="537"/>
      <c r="RPL11" s="537"/>
      <c r="RPM11" s="537"/>
      <c r="RPN11" s="537"/>
      <c r="RPO11" s="537"/>
      <c r="RPP11" s="537"/>
      <c r="RPQ11" s="537"/>
      <c r="RPR11" s="537"/>
      <c r="RPS11" s="537"/>
      <c r="RPT11" s="537"/>
      <c r="RPU11" s="537"/>
      <c r="RPV11" s="537"/>
      <c r="RPW11" s="537"/>
      <c r="RPX11" s="537"/>
      <c r="RPY11" s="537"/>
      <c r="RPZ11" s="537"/>
      <c r="RQA11" s="537"/>
      <c r="RQB11" s="537"/>
      <c r="RQC11" s="537"/>
      <c r="RQD11" s="537"/>
      <c r="RQE11" s="537"/>
      <c r="RQF11" s="537"/>
      <c r="RQG11" s="537"/>
      <c r="RQH11" s="537"/>
      <c r="RQI11" s="537"/>
      <c r="RQJ11" s="537"/>
      <c r="RQK11" s="537"/>
      <c r="RQL11" s="537"/>
      <c r="RQM11" s="537"/>
      <c r="RQN11" s="537"/>
      <c r="RQO11" s="537"/>
      <c r="RQP11" s="537"/>
      <c r="RQQ11" s="537"/>
      <c r="RQR11" s="537"/>
      <c r="RQS11" s="537"/>
      <c r="RQT11" s="537"/>
      <c r="RQU11" s="537"/>
      <c r="RQV11" s="537"/>
      <c r="RQW11" s="537"/>
      <c r="RQX11" s="537"/>
      <c r="RQY11" s="537"/>
      <c r="RQZ11" s="537"/>
      <c r="RRA11" s="537"/>
      <c r="RRB11" s="537"/>
      <c r="RRC11" s="537"/>
      <c r="RRD11" s="537"/>
      <c r="RRE11" s="537"/>
      <c r="RRF11" s="537"/>
      <c r="RRG11" s="537"/>
      <c r="RRH11" s="537"/>
      <c r="RRI11" s="537"/>
      <c r="RRJ11" s="537"/>
      <c r="RRK11" s="537"/>
      <c r="RRL11" s="537"/>
      <c r="RRM11" s="537"/>
      <c r="RRN11" s="537"/>
      <c r="RRO11" s="537"/>
      <c r="RRP11" s="537"/>
      <c r="RRQ11" s="537"/>
      <c r="RRR11" s="537"/>
      <c r="RRS11" s="537"/>
      <c r="RRT11" s="537"/>
      <c r="RRU11" s="537"/>
      <c r="RRV11" s="537"/>
      <c r="RRW11" s="537"/>
      <c r="RRX11" s="537"/>
      <c r="RRY11" s="537"/>
      <c r="RRZ11" s="537"/>
      <c r="RSA11" s="537"/>
      <c r="RSB11" s="537"/>
      <c r="RSC11" s="537"/>
      <c r="RSD11" s="537"/>
      <c r="RSE11" s="537"/>
      <c r="RSF11" s="537"/>
      <c r="RSG11" s="537"/>
      <c r="RSH11" s="537"/>
      <c r="RSI11" s="537"/>
      <c r="RSJ11" s="537"/>
      <c r="RSK11" s="537"/>
      <c r="RSL11" s="537"/>
      <c r="RSM11" s="537"/>
      <c r="RSN11" s="537"/>
      <c r="RSO11" s="537"/>
      <c r="RSP11" s="537"/>
      <c r="RSQ11" s="537"/>
      <c r="RSR11" s="537"/>
      <c r="RSS11" s="537"/>
      <c r="RST11" s="537"/>
      <c r="RSU11" s="537"/>
      <c r="RSV11" s="537"/>
      <c r="RSW11" s="537"/>
      <c r="RSX11" s="537"/>
      <c r="RSY11" s="537"/>
      <c r="RSZ11" s="537"/>
      <c r="RTA11" s="537"/>
      <c r="RTB11" s="537"/>
      <c r="RTC11" s="537"/>
      <c r="RTD11" s="537"/>
      <c r="RTE11" s="537"/>
      <c r="RTF11" s="537"/>
      <c r="RTG11" s="537"/>
      <c r="RTH11" s="537"/>
      <c r="RTI11" s="537"/>
      <c r="RTJ11" s="537"/>
      <c r="RTK11" s="537"/>
      <c r="RTL11" s="537"/>
      <c r="RTM11" s="537"/>
      <c r="RTN11" s="537"/>
      <c r="RTO11" s="537"/>
      <c r="RTP11" s="537"/>
      <c r="RTQ11" s="537"/>
      <c r="RTR11" s="537"/>
      <c r="RTS11" s="537"/>
      <c r="RTT11" s="537"/>
      <c r="RTU11" s="537"/>
      <c r="RTV11" s="537"/>
      <c r="RTW11" s="537"/>
      <c r="RTX11" s="537"/>
      <c r="RTY11" s="537"/>
      <c r="RTZ11" s="537"/>
      <c r="RUA11" s="537"/>
      <c r="RUB11" s="537"/>
      <c r="RUC11" s="537"/>
      <c r="RUD11" s="537"/>
      <c r="RUE11" s="537"/>
      <c r="RUF11" s="537"/>
      <c r="RUG11" s="537"/>
      <c r="RUH11" s="537"/>
      <c r="RUI11" s="537"/>
      <c r="RUJ11" s="537"/>
      <c r="RUK11" s="537"/>
      <c r="RUL11" s="537"/>
      <c r="RUM11" s="537"/>
      <c r="RUN11" s="537"/>
      <c r="RUO11" s="537"/>
      <c r="RUP11" s="537"/>
      <c r="RUQ11" s="537"/>
      <c r="RUR11" s="537"/>
      <c r="RUS11" s="537"/>
      <c r="RUT11" s="537"/>
      <c r="RUU11" s="537"/>
      <c r="RUV11" s="537"/>
      <c r="RUW11" s="537"/>
      <c r="RUX11" s="537"/>
      <c r="RUY11" s="537"/>
      <c r="RUZ11" s="537"/>
      <c r="RVA11" s="537"/>
      <c r="RVB11" s="537"/>
      <c r="RVC11" s="537"/>
      <c r="RVD11" s="537"/>
      <c r="RVE11" s="537"/>
      <c r="RVF11" s="537"/>
      <c r="RVG11" s="537"/>
      <c r="RVH11" s="537"/>
      <c r="RVI11" s="537"/>
      <c r="RVJ11" s="537"/>
      <c r="RVK11" s="537"/>
      <c r="RVL11" s="537"/>
      <c r="RVM11" s="537"/>
      <c r="RVN11" s="537"/>
      <c r="RVO11" s="537"/>
      <c r="RVP11" s="537"/>
      <c r="RVQ11" s="537"/>
      <c r="RVR11" s="537"/>
      <c r="RVS11" s="537"/>
      <c r="RVT11" s="537"/>
      <c r="RVU11" s="537"/>
      <c r="RVV11" s="537"/>
      <c r="RVW11" s="537"/>
      <c r="RVX11" s="537"/>
      <c r="RVY11" s="537"/>
      <c r="RVZ11" s="537"/>
      <c r="RWA11" s="537"/>
      <c r="RWB11" s="537"/>
      <c r="RWC11" s="537"/>
      <c r="RWD11" s="537"/>
      <c r="RWE11" s="537"/>
      <c r="RWF11" s="537"/>
      <c r="RWG11" s="537"/>
      <c r="RWH11" s="537"/>
      <c r="RWI11" s="537"/>
      <c r="RWJ11" s="537"/>
      <c r="RWK11" s="537"/>
      <c r="RWL11" s="537"/>
      <c r="RWM11" s="537"/>
      <c r="RWN11" s="537"/>
      <c r="RWO11" s="537"/>
      <c r="RWP11" s="537"/>
      <c r="RWQ11" s="537"/>
      <c r="RWR11" s="537"/>
      <c r="RWS11" s="537"/>
      <c r="RWT11" s="537"/>
      <c r="RWU11" s="537"/>
      <c r="RWV11" s="537"/>
      <c r="RWW11" s="537"/>
      <c r="RWX11" s="537"/>
      <c r="RWY11" s="537"/>
      <c r="RWZ11" s="537"/>
      <c r="RXA11" s="537"/>
      <c r="RXB11" s="537"/>
      <c r="RXC11" s="537"/>
      <c r="RXD11" s="537"/>
      <c r="RXE11" s="537"/>
      <c r="RXF11" s="537"/>
      <c r="RXG11" s="537"/>
      <c r="RXH11" s="537"/>
      <c r="RXI11" s="537"/>
      <c r="RXJ11" s="537"/>
      <c r="RXK11" s="537"/>
      <c r="RXL11" s="537"/>
      <c r="RXM11" s="537"/>
      <c r="RXN11" s="537"/>
      <c r="RXO11" s="537"/>
      <c r="RXP11" s="537"/>
      <c r="RXQ11" s="537"/>
      <c r="RXR11" s="537"/>
      <c r="RXS11" s="537"/>
      <c r="RXT11" s="537"/>
      <c r="RXU11" s="537"/>
      <c r="RXV11" s="537"/>
      <c r="RXW11" s="537"/>
      <c r="RXX11" s="537"/>
      <c r="RXY11" s="537"/>
      <c r="RXZ11" s="537"/>
      <c r="RYA11" s="537"/>
      <c r="RYB11" s="537"/>
      <c r="RYC11" s="537"/>
      <c r="RYD11" s="537"/>
      <c r="RYE11" s="537"/>
      <c r="RYF11" s="537"/>
      <c r="RYG11" s="537"/>
      <c r="RYH11" s="537"/>
      <c r="RYI11" s="537"/>
      <c r="RYJ11" s="537"/>
      <c r="RYK11" s="537"/>
      <c r="RYL11" s="537"/>
      <c r="RYM11" s="537"/>
      <c r="RYN11" s="537"/>
      <c r="RYO11" s="537"/>
      <c r="RYP11" s="537"/>
      <c r="RYQ11" s="537"/>
      <c r="RYR11" s="537"/>
      <c r="RYS11" s="537"/>
      <c r="RYT11" s="537"/>
      <c r="RYU11" s="537"/>
      <c r="RYV11" s="537"/>
      <c r="RYW11" s="537"/>
      <c r="RYX11" s="537"/>
      <c r="RYY11" s="537"/>
      <c r="RYZ11" s="537"/>
      <c r="RZA11" s="537"/>
      <c r="RZB11" s="537"/>
      <c r="RZC11" s="537"/>
      <c r="RZD11" s="537"/>
      <c r="RZE11" s="537"/>
      <c r="RZF11" s="537"/>
      <c r="RZG11" s="537"/>
      <c r="RZH11" s="537"/>
      <c r="RZI11" s="537"/>
      <c r="RZJ11" s="537"/>
      <c r="RZK11" s="537"/>
      <c r="RZL11" s="537"/>
      <c r="RZM11" s="537"/>
      <c r="RZN11" s="537"/>
      <c r="RZO11" s="537"/>
      <c r="RZP11" s="537"/>
      <c r="RZQ11" s="537"/>
      <c r="RZR11" s="537"/>
      <c r="RZS11" s="537"/>
      <c r="RZT11" s="537"/>
      <c r="RZU11" s="537"/>
      <c r="RZV11" s="537"/>
      <c r="RZW11" s="537"/>
      <c r="RZX11" s="537"/>
      <c r="RZY11" s="537"/>
      <c r="RZZ11" s="537"/>
      <c r="SAA11" s="537"/>
      <c r="SAB11" s="537"/>
      <c r="SAC11" s="537"/>
      <c r="SAD11" s="537"/>
      <c r="SAE11" s="537"/>
      <c r="SAF11" s="537"/>
      <c r="SAG11" s="537"/>
      <c r="SAH11" s="537"/>
      <c r="SAI11" s="537"/>
      <c r="SAJ11" s="537"/>
      <c r="SAK11" s="537"/>
      <c r="SAL11" s="537"/>
      <c r="SAM11" s="537"/>
      <c r="SAN11" s="537"/>
      <c r="SAO11" s="537"/>
      <c r="SAP11" s="537"/>
      <c r="SAQ11" s="537"/>
      <c r="SAR11" s="537"/>
      <c r="SAS11" s="537"/>
      <c r="SAT11" s="537"/>
      <c r="SAU11" s="537"/>
      <c r="SAV11" s="537"/>
      <c r="SAW11" s="537"/>
      <c r="SAX11" s="537"/>
      <c r="SAY11" s="537"/>
      <c r="SAZ11" s="537"/>
      <c r="SBA11" s="537"/>
      <c r="SBB11" s="537"/>
      <c r="SBC11" s="537"/>
      <c r="SBD11" s="537"/>
      <c r="SBE11" s="537"/>
      <c r="SBF11" s="537"/>
      <c r="SBG11" s="537"/>
      <c r="SBH11" s="537"/>
      <c r="SBI11" s="537"/>
      <c r="SBJ11" s="537"/>
      <c r="SBK11" s="537"/>
      <c r="SBL11" s="537"/>
      <c r="SBM11" s="537"/>
      <c r="SBN11" s="537"/>
      <c r="SBO11" s="537"/>
      <c r="SBP11" s="537"/>
      <c r="SBQ11" s="537"/>
      <c r="SBR11" s="537"/>
      <c r="SBS11" s="537"/>
      <c r="SBT11" s="537"/>
      <c r="SBU11" s="537"/>
      <c r="SBV11" s="537"/>
      <c r="SBW11" s="537"/>
      <c r="SBX11" s="537"/>
      <c r="SBY11" s="537"/>
      <c r="SBZ11" s="537"/>
      <c r="SCA11" s="537"/>
      <c r="SCB11" s="537"/>
      <c r="SCC11" s="537"/>
      <c r="SCD11" s="537"/>
      <c r="SCE11" s="537"/>
      <c r="SCF11" s="537"/>
      <c r="SCG11" s="537"/>
      <c r="SCH11" s="537"/>
      <c r="SCI11" s="537"/>
      <c r="SCJ11" s="537"/>
      <c r="SCK11" s="537"/>
      <c r="SCL11" s="537"/>
      <c r="SCM11" s="537"/>
      <c r="SCN11" s="537"/>
      <c r="SCO11" s="537"/>
      <c r="SCP11" s="537"/>
      <c r="SCQ11" s="537"/>
      <c r="SCR11" s="537"/>
      <c r="SCS11" s="537"/>
      <c r="SCT11" s="537"/>
      <c r="SCU11" s="537"/>
      <c r="SCV11" s="537"/>
      <c r="SCW11" s="537"/>
      <c r="SCX11" s="537"/>
      <c r="SCY11" s="537"/>
      <c r="SCZ11" s="537"/>
      <c r="SDA11" s="537"/>
      <c r="SDB11" s="537"/>
      <c r="SDC11" s="537"/>
      <c r="SDD11" s="537"/>
      <c r="SDE11" s="537"/>
      <c r="SDF11" s="537"/>
      <c r="SDG11" s="537"/>
      <c r="SDH11" s="537"/>
      <c r="SDI11" s="537"/>
      <c r="SDJ11" s="537"/>
      <c r="SDK11" s="537"/>
      <c r="SDL11" s="537"/>
      <c r="SDM11" s="537"/>
      <c r="SDN11" s="537"/>
      <c r="SDO11" s="537"/>
      <c r="SDP11" s="537"/>
      <c r="SDQ11" s="537"/>
      <c r="SDR11" s="537"/>
      <c r="SDS11" s="537"/>
      <c r="SDT11" s="537"/>
      <c r="SDU11" s="537"/>
      <c r="SDV11" s="537"/>
      <c r="SDW11" s="537"/>
      <c r="SDX11" s="537"/>
      <c r="SDY11" s="537"/>
      <c r="SDZ11" s="537"/>
      <c r="SEA11" s="537"/>
      <c r="SEB11" s="537"/>
      <c r="SEC11" s="537"/>
      <c r="SED11" s="537"/>
      <c r="SEE11" s="537"/>
      <c r="SEF11" s="537"/>
      <c r="SEG11" s="537"/>
      <c r="SEH11" s="537"/>
      <c r="SEI11" s="537"/>
      <c r="SEJ11" s="537"/>
      <c r="SEK11" s="537"/>
      <c r="SEL11" s="537"/>
      <c r="SEM11" s="537"/>
      <c r="SEN11" s="537"/>
      <c r="SEO11" s="537"/>
      <c r="SEP11" s="537"/>
      <c r="SEQ11" s="537"/>
      <c r="SER11" s="537"/>
      <c r="SES11" s="537"/>
      <c r="SET11" s="537"/>
      <c r="SEU11" s="537"/>
      <c r="SEV11" s="537"/>
      <c r="SEW11" s="537"/>
      <c r="SEX11" s="537"/>
      <c r="SEY11" s="537"/>
      <c r="SEZ11" s="537"/>
      <c r="SFA11" s="537"/>
      <c r="SFB11" s="537"/>
      <c r="SFC11" s="537"/>
      <c r="SFD11" s="537"/>
      <c r="SFE11" s="537"/>
      <c r="SFF11" s="537"/>
      <c r="SFG11" s="537"/>
      <c r="SFH11" s="537"/>
      <c r="SFI11" s="537"/>
      <c r="SFJ11" s="537"/>
      <c r="SFK11" s="537"/>
      <c r="SFL11" s="537"/>
      <c r="SFM11" s="537"/>
      <c r="SFN11" s="537"/>
      <c r="SFO11" s="537"/>
      <c r="SFP11" s="537"/>
      <c r="SFQ11" s="537"/>
      <c r="SFR11" s="537"/>
      <c r="SFS11" s="537"/>
      <c r="SFT11" s="537"/>
      <c r="SFU11" s="537"/>
      <c r="SFV11" s="537"/>
      <c r="SFW11" s="537"/>
      <c r="SFX11" s="537"/>
      <c r="SFY11" s="537"/>
      <c r="SFZ11" s="537"/>
      <c r="SGA11" s="537"/>
      <c r="SGB11" s="537"/>
      <c r="SGC11" s="537"/>
      <c r="SGD11" s="537"/>
      <c r="SGE11" s="537"/>
      <c r="SGF11" s="537"/>
      <c r="SGG11" s="537"/>
      <c r="SGH11" s="537"/>
      <c r="SGI11" s="537"/>
      <c r="SGJ11" s="537"/>
      <c r="SGK11" s="537"/>
      <c r="SGL11" s="537"/>
      <c r="SGM11" s="537"/>
      <c r="SGN11" s="537"/>
      <c r="SGO11" s="537"/>
      <c r="SGP11" s="537"/>
      <c r="SGQ11" s="537"/>
      <c r="SGR11" s="537"/>
      <c r="SGS11" s="537"/>
      <c r="SGT11" s="537"/>
      <c r="SGU11" s="537"/>
      <c r="SGV11" s="537"/>
      <c r="SGW11" s="537"/>
      <c r="SGX11" s="537"/>
      <c r="SGY11" s="537"/>
      <c r="SGZ11" s="537"/>
      <c r="SHA11" s="537"/>
      <c r="SHB11" s="537"/>
      <c r="SHC11" s="537"/>
      <c r="SHD11" s="537"/>
      <c r="SHE11" s="537"/>
      <c r="SHF11" s="537"/>
      <c r="SHG11" s="537"/>
      <c r="SHH11" s="537"/>
      <c r="SHI11" s="537"/>
      <c r="SHJ11" s="537"/>
      <c r="SHK11" s="537"/>
      <c r="SHL11" s="537"/>
      <c r="SHM11" s="537"/>
      <c r="SHN11" s="537"/>
      <c r="SHO11" s="537"/>
      <c r="SHP11" s="537"/>
      <c r="SHQ11" s="537"/>
      <c r="SHR11" s="537"/>
      <c r="SHS11" s="537"/>
      <c r="SHT11" s="537"/>
      <c r="SHU11" s="537"/>
      <c r="SHV11" s="537"/>
      <c r="SHW11" s="537"/>
      <c r="SHX11" s="537"/>
      <c r="SHY11" s="537"/>
      <c r="SHZ11" s="537"/>
      <c r="SIA11" s="537"/>
      <c r="SIB11" s="537"/>
      <c r="SIC11" s="537"/>
      <c r="SID11" s="537"/>
      <c r="SIE11" s="537"/>
      <c r="SIF11" s="537"/>
      <c r="SIG11" s="537"/>
      <c r="SIH11" s="537"/>
      <c r="SII11" s="537"/>
      <c r="SIJ11" s="537"/>
      <c r="SIK11" s="537"/>
      <c r="SIL11" s="537"/>
      <c r="SIM11" s="537"/>
      <c r="SIN11" s="537"/>
      <c r="SIO11" s="537"/>
      <c r="SIP11" s="537"/>
      <c r="SIQ11" s="537"/>
      <c r="SIR11" s="537"/>
      <c r="SIS11" s="537"/>
      <c r="SIT11" s="537"/>
      <c r="SIU11" s="537"/>
      <c r="SIV11" s="537"/>
      <c r="SIW11" s="537"/>
      <c r="SIX11" s="537"/>
      <c r="SIY11" s="537"/>
      <c r="SIZ11" s="537"/>
      <c r="SJA11" s="537"/>
      <c r="SJB11" s="537"/>
      <c r="SJC11" s="537"/>
      <c r="SJD11" s="537"/>
      <c r="SJE11" s="537"/>
      <c r="SJF11" s="537"/>
      <c r="SJG11" s="537"/>
      <c r="SJH11" s="537"/>
      <c r="SJI11" s="537"/>
      <c r="SJJ11" s="537"/>
      <c r="SJK11" s="537"/>
      <c r="SJL11" s="537"/>
      <c r="SJM11" s="537"/>
      <c r="SJN11" s="537"/>
      <c r="SJO11" s="537"/>
      <c r="SJP11" s="537"/>
      <c r="SJQ11" s="537"/>
      <c r="SJR11" s="537"/>
      <c r="SJS11" s="537"/>
      <c r="SJT11" s="537"/>
      <c r="SJU11" s="537"/>
      <c r="SJV11" s="537"/>
      <c r="SJW11" s="537"/>
      <c r="SJX11" s="537"/>
      <c r="SJY11" s="537"/>
      <c r="SJZ11" s="537"/>
      <c r="SKA11" s="537"/>
      <c r="SKB11" s="537"/>
      <c r="SKC11" s="537"/>
      <c r="SKD11" s="537"/>
      <c r="SKE11" s="537"/>
      <c r="SKF11" s="537"/>
      <c r="SKG11" s="537"/>
      <c r="SKH11" s="537"/>
      <c r="SKI11" s="537"/>
      <c r="SKJ11" s="537"/>
      <c r="SKK11" s="537"/>
      <c r="SKL11" s="537"/>
      <c r="SKM11" s="537"/>
      <c r="SKN11" s="537"/>
      <c r="SKO11" s="537"/>
      <c r="SKP11" s="537"/>
      <c r="SKQ11" s="537"/>
      <c r="SKR11" s="537"/>
      <c r="SKS11" s="537"/>
      <c r="SKT11" s="537"/>
      <c r="SKU11" s="537"/>
      <c r="SKV11" s="537"/>
      <c r="SKW11" s="537"/>
      <c r="SKX11" s="537"/>
      <c r="SKY11" s="537"/>
      <c r="SKZ11" s="537"/>
      <c r="SLA11" s="537"/>
      <c r="SLB11" s="537"/>
      <c r="SLC11" s="537"/>
      <c r="SLD11" s="537"/>
      <c r="SLE11" s="537"/>
      <c r="SLF11" s="537"/>
      <c r="SLG11" s="537"/>
      <c r="SLH11" s="537"/>
      <c r="SLI11" s="537"/>
      <c r="SLJ11" s="537"/>
      <c r="SLK11" s="537"/>
      <c r="SLL11" s="537"/>
      <c r="SLM11" s="537"/>
      <c r="SLN11" s="537"/>
      <c r="SLO11" s="537"/>
      <c r="SLP11" s="537"/>
      <c r="SLQ11" s="537"/>
      <c r="SLR11" s="537"/>
      <c r="SLS11" s="537"/>
      <c r="SLT11" s="537"/>
      <c r="SLU11" s="537"/>
      <c r="SLV11" s="537"/>
      <c r="SLW11" s="537"/>
      <c r="SLX11" s="537"/>
      <c r="SLY11" s="537"/>
      <c r="SLZ11" s="537"/>
      <c r="SMA11" s="537"/>
      <c r="SMB11" s="537"/>
      <c r="SMC11" s="537"/>
      <c r="SMD11" s="537"/>
      <c r="SME11" s="537"/>
      <c r="SMF11" s="537"/>
      <c r="SMG11" s="537"/>
      <c r="SMH11" s="537"/>
      <c r="SMI11" s="537"/>
      <c r="SMJ11" s="537"/>
      <c r="SMK11" s="537"/>
      <c r="SML11" s="537"/>
      <c r="SMM11" s="537"/>
      <c r="SMN11" s="537"/>
      <c r="SMO11" s="537"/>
      <c r="SMP11" s="537"/>
      <c r="SMQ11" s="537"/>
      <c r="SMR11" s="537"/>
      <c r="SMS11" s="537"/>
      <c r="SMT11" s="537"/>
      <c r="SMU11" s="537"/>
      <c r="SMV11" s="537"/>
      <c r="SMW11" s="537"/>
      <c r="SMX11" s="537"/>
      <c r="SMY11" s="537"/>
      <c r="SMZ11" s="537"/>
      <c r="SNA11" s="537"/>
      <c r="SNB11" s="537"/>
      <c r="SNC11" s="537"/>
      <c r="SND11" s="537"/>
      <c r="SNE11" s="537"/>
      <c r="SNF11" s="537"/>
      <c r="SNG11" s="537"/>
      <c r="SNH11" s="537"/>
      <c r="SNI11" s="537"/>
      <c r="SNJ11" s="537"/>
      <c r="SNK11" s="537"/>
      <c r="SNL11" s="537"/>
      <c r="SNM11" s="537"/>
      <c r="SNN11" s="537"/>
      <c r="SNO11" s="537"/>
      <c r="SNP11" s="537"/>
      <c r="SNQ11" s="537"/>
      <c r="SNR11" s="537"/>
      <c r="SNS11" s="537"/>
      <c r="SNT11" s="537"/>
      <c r="SNU11" s="537"/>
      <c r="SNV11" s="537"/>
      <c r="SNW11" s="537"/>
      <c r="SNX11" s="537"/>
      <c r="SNY11" s="537"/>
      <c r="SNZ11" s="537"/>
      <c r="SOA11" s="537"/>
      <c r="SOB11" s="537"/>
      <c r="SOC11" s="537"/>
      <c r="SOD11" s="537"/>
      <c r="SOE11" s="537"/>
      <c r="SOF11" s="537"/>
      <c r="SOG11" s="537"/>
      <c r="SOH11" s="537"/>
      <c r="SOI11" s="537"/>
      <c r="SOJ11" s="537"/>
      <c r="SOK11" s="537"/>
      <c r="SOL11" s="537"/>
      <c r="SOM11" s="537"/>
      <c r="SON11" s="537"/>
      <c r="SOO11" s="537"/>
      <c r="SOP11" s="537"/>
      <c r="SOQ11" s="537"/>
      <c r="SOR11" s="537"/>
      <c r="SOS11" s="537"/>
      <c r="SOT11" s="537"/>
      <c r="SOU11" s="537"/>
      <c r="SOV11" s="537"/>
      <c r="SOW11" s="537"/>
      <c r="SOX11" s="537"/>
      <c r="SOY11" s="537"/>
      <c r="SOZ11" s="537"/>
      <c r="SPA11" s="537"/>
      <c r="SPB11" s="537"/>
      <c r="SPC11" s="537"/>
      <c r="SPD11" s="537"/>
      <c r="SPE11" s="537"/>
      <c r="SPF11" s="537"/>
      <c r="SPG11" s="537"/>
      <c r="SPH11" s="537"/>
      <c r="SPI11" s="537"/>
      <c r="SPJ11" s="537"/>
      <c r="SPK11" s="537"/>
      <c r="SPL11" s="537"/>
      <c r="SPM11" s="537"/>
      <c r="SPN11" s="537"/>
      <c r="SPO11" s="537"/>
      <c r="SPP11" s="537"/>
      <c r="SPQ11" s="537"/>
      <c r="SPR11" s="537"/>
      <c r="SPS11" s="537"/>
      <c r="SPT11" s="537"/>
      <c r="SPU11" s="537"/>
      <c r="SPV11" s="537"/>
      <c r="SPW11" s="537"/>
      <c r="SPX11" s="537"/>
      <c r="SPY11" s="537"/>
      <c r="SPZ11" s="537"/>
      <c r="SQA11" s="537"/>
      <c r="SQB11" s="537"/>
      <c r="SQC11" s="537"/>
      <c r="SQD11" s="537"/>
      <c r="SQE11" s="537"/>
      <c r="SQF11" s="537"/>
      <c r="SQG11" s="537"/>
      <c r="SQH11" s="537"/>
      <c r="SQI11" s="537"/>
      <c r="SQJ11" s="537"/>
      <c r="SQK11" s="537"/>
      <c r="SQL11" s="537"/>
      <c r="SQM11" s="537"/>
      <c r="SQN11" s="537"/>
      <c r="SQO11" s="537"/>
      <c r="SQP11" s="537"/>
      <c r="SQQ11" s="537"/>
      <c r="SQR11" s="537"/>
      <c r="SQS11" s="537"/>
      <c r="SQT11" s="537"/>
      <c r="SQU11" s="537"/>
      <c r="SQV11" s="537"/>
      <c r="SQW11" s="537"/>
      <c r="SQX11" s="537"/>
      <c r="SQY11" s="537"/>
      <c r="SQZ11" s="537"/>
      <c r="SRA11" s="537"/>
      <c r="SRB11" s="537"/>
      <c r="SRC11" s="537"/>
      <c r="SRD11" s="537"/>
      <c r="SRE11" s="537"/>
      <c r="SRF11" s="537"/>
      <c r="SRG11" s="537"/>
      <c r="SRH11" s="537"/>
      <c r="SRI11" s="537"/>
      <c r="SRJ11" s="537"/>
      <c r="SRK11" s="537"/>
      <c r="SRL11" s="537"/>
      <c r="SRM11" s="537"/>
      <c r="SRN11" s="537"/>
      <c r="SRO11" s="537"/>
      <c r="SRP11" s="537"/>
      <c r="SRQ11" s="537"/>
      <c r="SRR11" s="537"/>
      <c r="SRS11" s="537"/>
      <c r="SRT11" s="537"/>
      <c r="SRU11" s="537"/>
      <c r="SRV11" s="537"/>
      <c r="SRW11" s="537"/>
      <c r="SRX11" s="537"/>
      <c r="SRY11" s="537"/>
      <c r="SRZ11" s="537"/>
      <c r="SSA11" s="537"/>
      <c r="SSB11" s="537"/>
      <c r="SSC11" s="537"/>
      <c r="SSD11" s="537"/>
      <c r="SSE11" s="537"/>
      <c r="SSF11" s="537"/>
      <c r="SSG11" s="537"/>
      <c r="SSH11" s="537"/>
      <c r="SSI11" s="537"/>
      <c r="SSJ11" s="537"/>
      <c r="SSK11" s="537"/>
      <c r="SSL11" s="537"/>
      <c r="SSM11" s="537"/>
      <c r="SSN11" s="537"/>
      <c r="SSO11" s="537"/>
      <c r="SSP11" s="537"/>
      <c r="SSQ11" s="537"/>
      <c r="SSR11" s="537"/>
      <c r="SSS11" s="537"/>
      <c r="SST11" s="537"/>
      <c r="SSU11" s="537"/>
      <c r="SSV11" s="537"/>
      <c r="SSW11" s="537"/>
      <c r="SSX11" s="537"/>
      <c r="SSY11" s="537"/>
      <c r="SSZ11" s="537"/>
      <c r="STA11" s="537"/>
      <c r="STB11" s="537"/>
      <c r="STC11" s="537"/>
      <c r="STD11" s="537"/>
      <c r="STE11" s="537"/>
      <c r="STF11" s="537"/>
      <c r="STG11" s="537"/>
      <c r="STH11" s="537"/>
      <c r="STI11" s="537"/>
      <c r="STJ11" s="537"/>
      <c r="STK11" s="537"/>
      <c r="STL11" s="537"/>
      <c r="STM11" s="537"/>
      <c r="STN11" s="537"/>
      <c r="STO11" s="537"/>
      <c r="STP11" s="537"/>
      <c r="STQ11" s="537"/>
      <c r="STR11" s="537"/>
      <c r="STS11" s="537"/>
      <c r="STT11" s="537"/>
      <c r="STU11" s="537"/>
      <c r="STV11" s="537"/>
      <c r="STW11" s="537"/>
      <c r="STX11" s="537"/>
      <c r="STY11" s="537"/>
      <c r="STZ11" s="537"/>
      <c r="SUA11" s="537"/>
      <c r="SUB11" s="537"/>
      <c r="SUC11" s="537"/>
      <c r="SUD11" s="537"/>
      <c r="SUE11" s="537"/>
      <c r="SUF11" s="537"/>
      <c r="SUG11" s="537"/>
      <c r="SUH11" s="537"/>
      <c r="SUI11" s="537"/>
      <c r="SUJ11" s="537"/>
      <c r="SUK11" s="537"/>
      <c r="SUL11" s="537"/>
      <c r="SUM11" s="537"/>
      <c r="SUN11" s="537"/>
      <c r="SUO11" s="537"/>
      <c r="SUP11" s="537"/>
      <c r="SUQ11" s="537"/>
      <c r="SUR11" s="537"/>
      <c r="SUS11" s="537"/>
      <c r="SUT11" s="537"/>
      <c r="SUU11" s="537"/>
      <c r="SUV11" s="537"/>
      <c r="SUW11" s="537"/>
      <c r="SUX11" s="537"/>
      <c r="SUY11" s="537"/>
      <c r="SUZ11" s="537"/>
      <c r="SVA11" s="537"/>
      <c r="SVB11" s="537"/>
      <c r="SVC11" s="537"/>
      <c r="SVD11" s="537"/>
      <c r="SVE11" s="537"/>
      <c r="SVF11" s="537"/>
      <c r="SVG11" s="537"/>
      <c r="SVH11" s="537"/>
      <c r="SVI11" s="537"/>
      <c r="SVJ11" s="537"/>
      <c r="SVK11" s="537"/>
      <c r="SVL11" s="537"/>
      <c r="SVM11" s="537"/>
      <c r="SVN11" s="537"/>
      <c r="SVO11" s="537"/>
      <c r="SVP11" s="537"/>
      <c r="SVQ11" s="537"/>
      <c r="SVR11" s="537"/>
      <c r="SVS11" s="537"/>
      <c r="SVT11" s="537"/>
      <c r="SVU11" s="537"/>
      <c r="SVV11" s="537"/>
      <c r="SVW11" s="537"/>
      <c r="SVX11" s="537"/>
      <c r="SVY11" s="537"/>
      <c r="SVZ11" s="537"/>
      <c r="SWA11" s="537"/>
      <c r="SWB11" s="537"/>
      <c r="SWC11" s="537"/>
      <c r="SWD11" s="537"/>
      <c r="SWE11" s="537"/>
      <c r="SWF11" s="537"/>
      <c r="SWG11" s="537"/>
      <c r="SWH11" s="537"/>
      <c r="SWI11" s="537"/>
      <c r="SWJ11" s="537"/>
      <c r="SWK11" s="537"/>
      <c r="SWL11" s="537"/>
      <c r="SWM11" s="537"/>
      <c r="SWN11" s="537"/>
      <c r="SWO11" s="537"/>
      <c r="SWP11" s="537"/>
      <c r="SWQ11" s="537"/>
      <c r="SWR11" s="537"/>
      <c r="SWS11" s="537"/>
      <c r="SWT11" s="537"/>
      <c r="SWU11" s="537"/>
      <c r="SWV11" s="537"/>
      <c r="SWW11" s="537"/>
      <c r="SWX11" s="537"/>
      <c r="SWY11" s="537"/>
      <c r="SWZ11" s="537"/>
      <c r="SXA11" s="537"/>
      <c r="SXB11" s="537"/>
      <c r="SXC11" s="537"/>
      <c r="SXD11" s="537"/>
      <c r="SXE11" s="537"/>
      <c r="SXF11" s="537"/>
      <c r="SXG11" s="537"/>
      <c r="SXH11" s="537"/>
      <c r="SXI11" s="537"/>
      <c r="SXJ11" s="537"/>
      <c r="SXK11" s="537"/>
      <c r="SXL11" s="537"/>
      <c r="SXM11" s="537"/>
      <c r="SXN11" s="537"/>
      <c r="SXO11" s="537"/>
      <c r="SXP11" s="537"/>
      <c r="SXQ11" s="537"/>
      <c r="SXR11" s="537"/>
      <c r="SXS11" s="537"/>
      <c r="SXT11" s="537"/>
      <c r="SXU11" s="537"/>
      <c r="SXV11" s="537"/>
      <c r="SXW11" s="537"/>
      <c r="SXX11" s="537"/>
      <c r="SXY11" s="537"/>
      <c r="SXZ11" s="537"/>
      <c r="SYA11" s="537"/>
      <c r="SYB11" s="537"/>
      <c r="SYC11" s="537"/>
      <c r="SYD11" s="537"/>
      <c r="SYE11" s="537"/>
      <c r="SYF11" s="537"/>
      <c r="SYG11" s="537"/>
      <c r="SYH11" s="537"/>
      <c r="SYI11" s="537"/>
      <c r="SYJ11" s="537"/>
      <c r="SYK11" s="537"/>
      <c r="SYL11" s="537"/>
      <c r="SYM11" s="537"/>
      <c r="SYN11" s="537"/>
      <c r="SYO11" s="537"/>
      <c r="SYP11" s="537"/>
      <c r="SYQ11" s="537"/>
      <c r="SYR11" s="537"/>
      <c r="SYS11" s="537"/>
      <c r="SYT11" s="537"/>
      <c r="SYU11" s="537"/>
      <c r="SYV11" s="537"/>
      <c r="SYW11" s="537"/>
      <c r="SYX11" s="537"/>
      <c r="SYY11" s="537"/>
      <c r="SYZ11" s="537"/>
      <c r="SZA11" s="537"/>
      <c r="SZB11" s="537"/>
      <c r="SZC11" s="537"/>
      <c r="SZD11" s="537"/>
      <c r="SZE11" s="537"/>
      <c r="SZF11" s="537"/>
      <c r="SZG11" s="537"/>
      <c r="SZH11" s="537"/>
      <c r="SZI11" s="537"/>
      <c r="SZJ11" s="537"/>
      <c r="SZK11" s="537"/>
      <c r="SZL11" s="537"/>
      <c r="SZM11" s="537"/>
      <c r="SZN11" s="537"/>
      <c r="SZO11" s="537"/>
      <c r="SZP11" s="537"/>
      <c r="SZQ11" s="537"/>
      <c r="SZR11" s="537"/>
      <c r="SZS11" s="537"/>
      <c r="SZT11" s="537"/>
      <c r="SZU11" s="537"/>
      <c r="SZV11" s="537"/>
      <c r="SZW11" s="537"/>
      <c r="SZX11" s="537"/>
      <c r="SZY11" s="537"/>
      <c r="SZZ11" s="537"/>
      <c r="TAA11" s="537"/>
      <c r="TAB11" s="537"/>
      <c r="TAC11" s="537"/>
      <c r="TAD11" s="537"/>
      <c r="TAE11" s="537"/>
      <c r="TAF11" s="537"/>
      <c r="TAG11" s="537"/>
      <c r="TAH11" s="537"/>
      <c r="TAI11" s="537"/>
      <c r="TAJ11" s="537"/>
      <c r="TAK11" s="537"/>
      <c r="TAL11" s="537"/>
      <c r="TAM11" s="537"/>
      <c r="TAN11" s="537"/>
      <c r="TAO11" s="537"/>
      <c r="TAP11" s="537"/>
      <c r="TAQ11" s="537"/>
      <c r="TAR11" s="537"/>
      <c r="TAS11" s="537"/>
      <c r="TAT11" s="537"/>
      <c r="TAU11" s="537"/>
      <c r="TAV11" s="537"/>
      <c r="TAW11" s="537"/>
      <c r="TAX11" s="537"/>
      <c r="TAY11" s="537"/>
      <c r="TAZ11" s="537"/>
      <c r="TBA11" s="537"/>
      <c r="TBB11" s="537"/>
      <c r="TBC11" s="537"/>
      <c r="TBD11" s="537"/>
      <c r="TBE11" s="537"/>
      <c r="TBF11" s="537"/>
      <c r="TBG11" s="537"/>
      <c r="TBH11" s="537"/>
      <c r="TBI11" s="537"/>
      <c r="TBJ11" s="537"/>
      <c r="TBK11" s="537"/>
      <c r="TBL11" s="537"/>
      <c r="TBM11" s="537"/>
      <c r="TBN11" s="537"/>
      <c r="TBO11" s="537"/>
      <c r="TBP11" s="537"/>
      <c r="TBQ11" s="537"/>
      <c r="TBR11" s="537"/>
      <c r="TBS11" s="537"/>
      <c r="TBT11" s="537"/>
      <c r="TBU11" s="537"/>
      <c r="TBV11" s="537"/>
      <c r="TBW11" s="537"/>
      <c r="TBX11" s="537"/>
      <c r="TBY11" s="537"/>
      <c r="TBZ11" s="537"/>
      <c r="TCA11" s="537"/>
      <c r="TCB11" s="537"/>
      <c r="TCC11" s="537"/>
      <c r="TCD11" s="537"/>
      <c r="TCE11" s="537"/>
      <c r="TCF11" s="537"/>
      <c r="TCG11" s="537"/>
      <c r="TCH11" s="537"/>
      <c r="TCI11" s="537"/>
      <c r="TCJ11" s="537"/>
      <c r="TCK11" s="537"/>
      <c r="TCL11" s="537"/>
      <c r="TCM11" s="537"/>
      <c r="TCN11" s="537"/>
      <c r="TCO11" s="537"/>
      <c r="TCP11" s="537"/>
      <c r="TCQ11" s="537"/>
      <c r="TCR11" s="537"/>
      <c r="TCS11" s="537"/>
      <c r="TCT11" s="537"/>
      <c r="TCU11" s="537"/>
      <c r="TCV11" s="537"/>
      <c r="TCW11" s="537"/>
      <c r="TCX11" s="537"/>
      <c r="TCY11" s="537"/>
      <c r="TCZ11" s="537"/>
      <c r="TDA11" s="537"/>
      <c r="TDB11" s="537"/>
      <c r="TDC11" s="537"/>
      <c r="TDD11" s="537"/>
      <c r="TDE11" s="537"/>
      <c r="TDF11" s="537"/>
      <c r="TDG11" s="537"/>
      <c r="TDH11" s="537"/>
      <c r="TDI11" s="537"/>
      <c r="TDJ11" s="537"/>
      <c r="TDK11" s="537"/>
      <c r="TDL11" s="537"/>
      <c r="TDM11" s="537"/>
      <c r="TDN11" s="537"/>
      <c r="TDO11" s="537"/>
      <c r="TDP11" s="537"/>
      <c r="TDQ11" s="537"/>
      <c r="TDR11" s="537"/>
      <c r="TDS11" s="537"/>
      <c r="TDT11" s="537"/>
      <c r="TDU11" s="537"/>
      <c r="TDV11" s="537"/>
      <c r="TDW11" s="537"/>
      <c r="TDX11" s="537"/>
      <c r="TDY11" s="537"/>
      <c r="TDZ11" s="537"/>
      <c r="TEA11" s="537"/>
      <c r="TEB11" s="537"/>
      <c r="TEC11" s="537"/>
      <c r="TED11" s="537"/>
      <c r="TEE11" s="537"/>
      <c r="TEF11" s="537"/>
      <c r="TEG11" s="537"/>
      <c r="TEH11" s="537"/>
      <c r="TEI11" s="537"/>
      <c r="TEJ11" s="537"/>
      <c r="TEK11" s="537"/>
      <c r="TEL11" s="537"/>
      <c r="TEM11" s="537"/>
      <c r="TEN11" s="537"/>
      <c r="TEO11" s="537"/>
      <c r="TEP11" s="537"/>
      <c r="TEQ11" s="537"/>
      <c r="TER11" s="537"/>
      <c r="TES11" s="537"/>
      <c r="TET11" s="537"/>
      <c r="TEU11" s="537"/>
      <c r="TEV11" s="537"/>
      <c r="TEW11" s="537"/>
      <c r="TEX11" s="537"/>
      <c r="TEY11" s="537"/>
      <c r="TEZ11" s="537"/>
      <c r="TFA11" s="537"/>
      <c r="TFB11" s="537"/>
      <c r="TFC11" s="537"/>
      <c r="TFD11" s="537"/>
      <c r="TFE11" s="537"/>
      <c r="TFF11" s="537"/>
      <c r="TFG11" s="537"/>
      <c r="TFH11" s="537"/>
      <c r="TFI11" s="537"/>
      <c r="TFJ11" s="537"/>
      <c r="TFK11" s="537"/>
      <c r="TFL11" s="537"/>
      <c r="TFM11" s="537"/>
      <c r="TFN11" s="537"/>
      <c r="TFO11" s="537"/>
      <c r="TFP11" s="537"/>
      <c r="TFQ11" s="537"/>
      <c r="TFR11" s="537"/>
      <c r="TFS11" s="537"/>
      <c r="TFT11" s="537"/>
      <c r="TFU11" s="537"/>
      <c r="TFV11" s="537"/>
      <c r="TFW11" s="537"/>
      <c r="TFX11" s="537"/>
      <c r="TFY11" s="537"/>
      <c r="TFZ11" s="537"/>
      <c r="TGA11" s="537"/>
      <c r="TGB11" s="537"/>
      <c r="TGC11" s="537"/>
      <c r="TGD11" s="537"/>
      <c r="TGE11" s="537"/>
      <c r="TGF11" s="537"/>
      <c r="TGG11" s="537"/>
      <c r="TGH11" s="537"/>
      <c r="TGI11" s="537"/>
      <c r="TGJ11" s="537"/>
      <c r="TGK11" s="537"/>
      <c r="TGL11" s="537"/>
      <c r="TGM11" s="537"/>
      <c r="TGN11" s="537"/>
      <c r="TGO11" s="537"/>
      <c r="TGP11" s="537"/>
      <c r="TGQ11" s="537"/>
      <c r="TGR11" s="537"/>
      <c r="TGS11" s="537"/>
      <c r="TGT11" s="537"/>
      <c r="TGU11" s="537"/>
      <c r="TGV11" s="537"/>
      <c r="TGW11" s="537"/>
      <c r="TGX11" s="537"/>
      <c r="TGY11" s="537"/>
      <c r="TGZ11" s="537"/>
      <c r="THA11" s="537"/>
      <c r="THB11" s="537"/>
      <c r="THC11" s="537"/>
      <c r="THD11" s="537"/>
      <c r="THE11" s="537"/>
      <c r="THF11" s="537"/>
      <c r="THG11" s="537"/>
      <c r="THH11" s="537"/>
      <c r="THI11" s="537"/>
      <c r="THJ11" s="537"/>
      <c r="THK11" s="537"/>
      <c r="THL11" s="537"/>
      <c r="THM11" s="537"/>
      <c r="THN11" s="537"/>
      <c r="THO11" s="537"/>
      <c r="THP11" s="537"/>
      <c r="THQ11" s="537"/>
      <c r="THR11" s="537"/>
      <c r="THS11" s="537"/>
      <c r="THT11" s="537"/>
      <c r="THU11" s="537"/>
      <c r="THV11" s="537"/>
      <c r="THW11" s="537"/>
      <c r="THX11" s="537"/>
      <c r="THY11" s="537"/>
      <c r="THZ11" s="537"/>
      <c r="TIA11" s="537"/>
      <c r="TIB11" s="537"/>
      <c r="TIC11" s="537"/>
      <c r="TID11" s="537"/>
      <c r="TIE11" s="537"/>
      <c r="TIF11" s="537"/>
      <c r="TIG11" s="537"/>
      <c r="TIH11" s="537"/>
      <c r="TII11" s="537"/>
      <c r="TIJ11" s="537"/>
      <c r="TIK11" s="537"/>
      <c r="TIL11" s="537"/>
      <c r="TIM11" s="537"/>
      <c r="TIN11" s="537"/>
      <c r="TIO11" s="537"/>
      <c r="TIP11" s="537"/>
      <c r="TIQ11" s="537"/>
      <c r="TIR11" s="537"/>
      <c r="TIS11" s="537"/>
      <c r="TIT11" s="537"/>
      <c r="TIU11" s="537"/>
      <c r="TIV11" s="537"/>
      <c r="TIW11" s="537"/>
      <c r="TIX11" s="537"/>
      <c r="TIY11" s="537"/>
      <c r="TIZ11" s="537"/>
      <c r="TJA11" s="537"/>
      <c r="TJB11" s="537"/>
      <c r="TJC11" s="537"/>
      <c r="TJD11" s="537"/>
      <c r="TJE11" s="537"/>
      <c r="TJF11" s="537"/>
      <c r="TJG11" s="537"/>
      <c r="TJH11" s="537"/>
      <c r="TJI11" s="537"/>
      <c r="TJJ11" s="537"/>
      <c r="TJK11" s="537"/>
      <c r="TJL11" s="537"/>
      <c r="TJM11" s="537"/>
      <c r="TJN11" s="537"/>
      <c r="TJO11" s="537"/>
      <c r="TJP11" s="537"/>
      <c r="TJQ11" s="537"/>
      <c r="TJR11" s="537"/>
      <c r="TJS11" s="537"/>
      <c r="TJT11" s="537"/>
      <c r="TJU11" s="537"/>
      <c r="TJV11" s="537"/>
      <c r="TJW11" s="537"/>
      <c r="TJX11" s="537"/>
      <c r="TJY11" s="537"/>
      <c r="TJZ11" s="537"/>
      <c r="TKA11" s="537"/>
      <c r="TKB11" s="537"/>
      <c r="TKC11" s="537"/>
      <c r="TKD11" s="537"/>
      <c r="TKE11" s="537"/>
      <c r="TKF11" s="537"/>
      <c r="TKG11" s="537"/>
      <c r="TKH11" s="537"/>
      <c r="TKI11" s="537"/>
      <c r="TKJ11" s="537"/>
      <c r="TKK11" s="537"/>
      <c r="TKL11" s="537"/>
      <c r="TKM11" s="537"/>
      <c r="TKN11" s="537"/>
      <c r="TKO11" s="537"/>
      <c r="TKP11" s="537"/>
      <c r="TKQ11" s="537"/>
      <c r="TKR11" s="537"/>
      <c r="TKS11" s="537"/>
      <c r="TKT11" s="537"/>
      <c r="TKU11" s="537"/>
      <c r="TKV11" s="537"/>
      <c r="TKW11" s="537"/>
      <c r="TKX11" s="537"/>
      <c r="TKY11" s="537"/>
      <c r="TKZ11" s="537"/>
      <c r="TLA11" s="537"/>
      <c r="TLB11" s="537"/>
      <c r="TLC11" s="537"/>
      <c r="TLD11" s="537"/>
      <c r="TLE11" s="537"/>
      <c r="TLF11" s="537"/>
      <c r="TLG11" s="537"/>
      <c r="TLH11" s="537"/>
      <c r="TLI11" s="537"/>
      <c r="TLJ11" s="537"/>
      <c r="TLK11" s="537"/>
      <c r="TLL11" s="537"/>
      <c r="TLM11" s="537"/>
      <c r="TLN11" s="537"/>
      <c r="TLO11" s="537"/>
      <c r="TLP11" s="537"/>
      <c r="TLQ11" s="537"/>
      <c r="TLR11" s="537"/>
      <c r="TLS11" s="537"/>
      <c r="TLT11" s="537"/>
      <c r="TLU11" s="537"/>
      <c r="TLV11" s="537"/>
      <c r="TLW11" s="537"/>
      <c r="TLX11" s="537"/>
      <c r="TLY11" s="537"/>
      <c r="TLZ11" s="537"/>
      <c r="TMA11" s="537"/>
      <c r="TMB11" s="537"/>
      <c r="TMC11" s="537"/>
      <c r="TMD11" s="537"/>
      <c r="TME11" s="537"/>
      <c r="TMF11" s="537"/>
      <c r="TMG11" s="537"/>
      <c r="TMH11" s="537"/>
      <c r="TMI11" s="537"/>
      <c r="TMJ11" s="537"/>
      <c r="TMK11" s="537"/>
      <c r="TML11" s="537"/>
      <c r="TMM11" s="537"/>
      <c r="TMN11" s="537"/>
      <c r="TMO11" s="537"/>
      <c r="TMP11" s="537"/>
      <c r="TMQ11" s="537"/>
      <c r="TMR11" s="537"/>
      <c r="TMS11" s="537"/>
      <c r="TMT11" s="537"/>
      <c r="TMU11" s="537"/>
      <c r="TMV11" s="537"/>
      <c r="TMW11" s="537"/>
      <c r="TMX11" s="537"/>
      <c r="TMY11" s="537"/>
      <c r="TMZ11" s="537"/>
      <c r="TNA11" s="537"/>
      <c r="TNB11" s="537"/>
      <c r="TNC11" s="537"/>
      <c r="TND11" s="537"/>
      <c r="TNE11" s="537"/>
      <c r="TNF11" s="537"/>
      <c r="TNG11" s="537"/>
      <c r="TNH11" s="537"/>
      <c r="TNI11" s="537"/>
      <c r="TNJ11" s="537"/>
      <c r="TNK11" s="537"/>
      <c r="TNL11" s="537"/>
      <c r="TNM11" s="537"/>
      <c r="TNN11" s="537"/>
      <c r="TNO11" s="537"/>
      <c r="TNP11" s="537"/>
      <c r="TNQ11" s="537"/>
      <c r="TNR11" s="537"/>
      <c r="TNS11" s="537"/>
      <c r="TNT11" s="537"/>
      <c r="TNU11" s="537"/>
      <c r="TNV11" s="537"/>
      <c r="TNW11" s="537"/>
      <c r="TNX11" s="537"/>
      <c r="TNY11" s="537"/>
      <c r="TNZ11" s="537"/>
      <c r="TOA11" s="537"/>
      <c r="TOB11" s="537"/>
      <c r="TOC11" s="537"/>
      <c r="TOD11" s="537"/>
      <c r="TOE11" s="537"/>
      <c r="TOF11" s="537"/>
      <c r="TOG11" s="537"/>
      <c r="TOH11" s="537"/>
      <c r="TOI11" s="537"/>
      <c r="TOJ11" s="537"/>
      <c r="TOK11" s="537"/>
      <c r="TOL11" s="537"/>
      <c r="TOM11" s="537"/>
      <c r="TON11" s="537"/>
      <c r="TOO11" s="537"/>
      <c r="TOP11" s="537"/>
      <c r="TOQ11" s="537"/>
      <c r="TOR11" s="537"/>
      <c r="TOS11" s="537"/>
      <c r="TOT11" s="537"/>
      <c r="TOU11" s="537"/>
      <c r="TOV11" s="537"/>
      <c r="TOW11" s="537"/>
      <c r="TOX11" s="537"/>
      <c r="TOY11" s="537"/>
      <c r="TOZ11" s="537"/>
      <c r="TPA11" s="537"/>
      <c r="TPB11" s="537"/>
      <c r="TPC11" s="537"/>
      <c r="TPD11" s="537"/>
      <c r="TPE11" s="537"/>
      <c r="TPF11" s="537"/>
      <c r="TPG11" s="537"/>
      <c r="TPH11" s="537"/>
      <c r="TPI11" s="537"/>
      <c r="TPJ11" s="537"/>
      <c r="TPK11" s="537"/>
      <c r="TPL11" s="537"/>
      <c r="TPM11" s="537"/>
      <c r="TPN11" s="537"/>
      <c r="TPO11" s="537"/>
      <c r="TPP11" s="537"/>
      <c r="TPQ11" s="537"/>
      <c r="TPR11" s="537"/>
      <c r="TPS11" s="537"/>
      <c r="TPT11" s="537"/>
      <c r="TPU11" s="537"/>
      <c r="TPV11" s="537"/>
      <c r="TPW11" s="537"/>
      <c r="TPX11" s="537"/>
      <c r="TPY11" s="537"/>
      <c r="TPZ11" s="537"/>
      <c r="TQA11" s="537"/>
      <c r="TQB11" s="537"/>
      <c r="TQC11" s="537"/>
      <c r="TQD11" s="537"/>
      <c r="TQE11" s="537"/>
      <c r="TQF11" s="537"/>
      <c r="TQG11" s="537"/>
      <c r="TQH11" s="537"/>
      <c r="TQI11" s="537"/>
      <c r="TQJ11" s="537"/>
      <c r="TQK11" s="537"/>
      <c r="TQL11" s="537"/>
      <c r="TQM11" s="537"/>
      <c r="TQN11" s="537"/>
      <c r="TQO11" s="537"/>
      <c r="TQP11" s="537"/>
      <c r="TQQ11" s="537"/>
      <c r="TQR11" s="537"/>
      <c r="TQS11" s="537"/>
      <c r="TQT11" s="537"/>
      <c r="TQU11" s="537"/>
      <c r="TQV11" s="537"/>
      <c r="TQW11" s="537"/>
      <c r="TQX11" s="537"/>
      <c r="TQY11" s="537"/>
      <c r="TQZ11" s="537"/>
      <c r="TRA11" s="537"/>
      <c r="TRB11" s="537"/>
      <c r="TRC11" s="537"/>
      <c r="TRD11" s="537"/>
      <c r="TRE11" s="537"/>
      <c r="TRF11" s="537"/>
      <c r="TRG11" s="537"/>
      <c r="TRH11" s="537"/>
      <c r="TRI11" s="537"/>
      <c r="TRJ11" s="537"/>
      <c r="TRK11" s="537"/>
      <c r="TRL11" s="537"/>
      <c r="TRM11" s="537"/>
      <c r="TRN11" s="537"/>
      <c r="TRO11" s="537"/>
      <c r="TRP11" s="537"/>
      <c r="TRQ11" s="537"/>
      <c r="TRR11" s="537"/>
      <c r="TRS11" s="537"/>
      <c r="TRT11" s="537"/>
      <c r="TRU11" s="537"/>
      <c r="TRV11" s="537"/>
      <c r="TRW11" s="537"/>
      <c r="TRX11" s="537"/>
      <c r="TRY11" s="537"/>
      <c r="TRZ11" s="537"/>
      <c r="TSA11" s="537"/>
      <c r="TSB11" s="537"/>
      <c r="TSC11" s="537"/>
      <c r="TSD11" s="537"/>
      <c r="TSE11" s="537"/>
      <c r="TSF11" s="537"/>
      <c r="TSG11" s="537"/>
      <c r="TSH11" s="537"/>
      <c r="TSI11" s="537"/>
      <c r="TSJ11" s="537"/>
      <c r="TSK11" s="537"/>
      <c r="TSL11" s="537"/>
      <c r="TSM11" s="537"/>
      <c r="TSN11" s="537"/>
      <c r="TSO11" s="537"/>
      <c r="TSP11" s="537"/>
      <c r="TSQ11" s="537"/>
      <c r="TSR11" s="537"/>
      <c r="TSS11" s="537"/>
      <c r="TST11" s="537"/>
      <c r="TSU11" s="537"/>
      <c r="TSV11" s="537"/>
      <c r="TSW11" s="537"/>
      <c r="TSX11" s="537"/>
      <c r="TSY11" s="537"/>
      <c r="TSZ11" s="537"/>
      <c r="TTA11" s="537"/>
      <c r="TTB11" s="537"/>
      <c r="TTC11" s="537"/>
      <c r="TTD11" s="537"/>
      <c r="TTE11" s="537"/>
      <c r="TTF11" s="537"/>
      <c r="TTG11" s="537"/>
      <c r="TTH11" s="537"/>
      <c r="TTI11" s="537"/>
      <c r="TTJ11" s="537"/>
      <c r="TTK11" s="537"/>
      <c r="TTL11" s="537"/>
      <c r="TTM11" s="537"/>
      <c r="TTN11" s="537"/>
      <c r="TTO11" s="537"/>
      <c r="TTP11" s="537"/>
      <c r="TTQ11" s="537"/>
      <c r="TTR11" s="537"/>
      <c r="TTS11" s="537"/>
      <c r="TTT11" s="537"/>
      <c r="TTU11" s="537"/>
      <c r="TTV11" s="537"/>
      <c r="TTW11" s="537"/>
      <c r="TTX11" s="537"/>
      <c r="TTY11" s="537"/>
      <c r="TTZ11" s="537"/>
      <c r="TUA11" s="537"/>
      <c r="TUB11" s="537"/>
      <c r="TUC11" s="537"/>
      <c r="TUD11" s="537"/>
      <c r="TUE11" s="537"/>
      <c r="TUF11" s="537"/>
      <c r="TUG11" s="537"/>
      <c r="TUH11" s="537"/>
      <c r="TUI11" s="537"/>
      <c r="TUJ11" s="537"/>
      <c r="TUK11" s="537"/>
      <c r="TUL11" s="537"/>
      <c r="TUM11" s="537"/>
      <c r="TUN11" s="537"/>
      <c r="TUO11" s="537"/>
      <c r="TUP11" s="537"/>
      <c r="TUQ11" s="537"/>
      <c r="TUR11" s="537"/>
      <c r="TUS11" s="537"/>
      <c r="TUT11" s="537"/>
      <c r="TUU11" s="537"/>
      <c r="TUV11" s="537"/>
      <c r="TUW11" s="537"/>
      <c r="TUX11" s="537"/>
      <c r="TUY11" s="537"/>
      <c r="TUZ11" s="537"/>
      <c r="TVA11" s="537"/>
      <c r="TVB11" s="537"/>
      <c r="TVC11" s="537"/>
      <c r="TVD11" s="537"/>
      <c r="TVE11" s="537"/>
      <c r="TVF11" s="537"/>
      <c r="TVG11" s="537"/>
      <c r="TVH11" s="537"/>
      <c r="TVI11" s="537"/>
      <c r="TVJ11" s="537"/>
      <c r="TVK11" s="537"/>
      <c r="TVL11" s="537"/>
      <c r="TVM11" s="537"/>
      <c r="TVN11" s="537"/>
      <c r="TVO11" s="537"/>
      <c r="TVP11" s="537"/>
      <c r="TVQ11" s="537"/>
      <c r="TVR11" s="537"/>
      <c r="TVS11" s="537"/>
      <c r="TVT11" s="537"/>
      <c r="TVU11" s="537"/>
      <c r="TVV11" s="537"/>
      <c r="TVW11" s="537"/>
      <c r="TVX11" s="537"/>
      <c r="TVY11" s="537"/>
      <c r="TVZ11" s="537"/>
      <c r="TWA11" s="537"/>
      <c r="TWB11" s="537"/>
      <c r="TWC11" s="537"/>
      <c r="TWD11" s="537"/>
      <c r="TWE11" s="537"/>
      <c r="TWF11" s="537"/>
      <c r="TWG11" s="537"/>
      <c r="TWH11" s="537"/>
      <c r="TWI11" s="537"/>
      <c r="TWJ11" s="537"/>
      <c r="TWK11" s="537"/>
      <c r="TWL11" s="537"/>
      <c r="TWM11" s="537"/>
      <c r="TWN11" s="537"/>
      <c r="TWO11" s="537"/>
      <c r="TWP11" s="537"/>
      <c r="TWQ11" s="537"/>
      <c r="TWR11" s="537"/>
      <c r="TWS11" s="537"/>
      <c r="TWT11" s="537"/>
      <c r="TWU11" s="537"/>
      <c r="TWV11" s="537"/>
      <c r="TWW11" s="537"/>
      <c r="TWX11" s="537"/>
      <c r="TWY11" s="537"/>
      <c r="TWZ11" s="537"/>
      <c r="TXA11" s="537"/>
      <c r="TXB11" s="537"/>
      <c r="TXC11" s="537"/>
      <c r="TXD11" s="537"/>
      <c r="TXE11" s="537"/>
      <c r="TXF11" s="537"/>
      <c r="TXG11" s="537"/>
      <c r="TXH11" s="537"/>
      <c r="TXI11" s="537"/>
      <c r="TXJ11" s="537"/>
      <c r="TXK11" s="537"/>
      <c r="TXL11" s="537"/>
      <c r="TXM11" s="537"/>
      <c r="TXN11" s="537"/>
      <c r="TXO11" s="537"/>
      <c r="TXP11" s="537"/>
      <c r="TXQ11" s="537"/>
      <c r="TXR11" s="537"/>
      <c r="TXS11" s="537"/>
      <c r="TXT11" s="537"/>
      <c r="TXU11" s="537"/>
      <c r="TXV11" s="537"/>
      <c r="TXW11" s="537"/>
      <c r="TXX11" s="537"/>
      <c r="TXY11" s="537"/>
      <c r="TXZ11" s="537"/>
      <c r="TYA11" s="537"/>
      <c r="TYB11" s="537"/>
      <c r="TYC11" s="537"/>
      <c r="TYD11" s="537"/>
      <c r="TYE11" s="537"/>
      <c r="TYF11" s="537"/>
      <c r="TYG11" s="537"/>
      <c r="TYH11" s="537"/>
      <c r="TYI11" s="537"/>
      <c r="TYJ11" s="537"/>
      <c r="TYK11" s="537"/>
      <c r="TYL11" s="537"/>
      <c r="TYM11" s="537"/>
      <c r="TYN11" s="537"/>
      <c r="TYO11" s="537"/>
      <c r="TYP11" s="537"/>
      <c r="TYQ11" s="537"/>
      <c r="TYR11" s="537"/>
      <c r="TYS11" s="537"/>
      <c r="TYT11" s="537"/>
      <c r="TYU11" s="537"/>
      <c r="TYV11" s="537"/>
      <c r="TYW11" s="537"/>
      <c r="TYX11" s="537"/>
      <c r="TYY11" s="537"/>
      <c r="TYZ11" s="537"/>
      <c r="TZA11" s="537"/>
      <c r="TZB11" s="537"/>
      <c r="TZC11" s="537"/>
      <c r="TZD11" s="537"/>
      <c r="TZE11" s="537"/>
      <c r="TZF11" s="537"/>
      <c r="TZG11" s="537"/>
      <c r="TZH11" s="537"/>
      <c r="TZI11" s="537"/>
      <c r="TZJ11" s="537"/>
      <c r="TZK11" s="537"/>
      <c r="TZL11" s="537"/>
      <c r="TZM11" s="537"/>
      <c r="TZN11" s="537"/>
      <c r="TZO11" s="537"/>
      <c r="TZP11" s="537"/>
      <c r="TZQ11" s="537"/>
      <c r="TZR11" s="537"/>
      <c r="TZS11" s="537"/>
      <c r="TZT11" s="537"/>
      <c r="TZU11" s="537"/>
      <c r="TZV11" s="537"/>
      <c r="TZW11" s="537"/>
      <c r="TZX11" s="537"/>
      <c r="TZY11" s="537"/>
      <c r="TZZ11" s="537"/>
      <c r="UAA11" s="537"/>
      <c r="UAB11" s="537"/>
      <c r="UAC11" s="537"/>
      <c r="UAD11" s="537"/>
      <c r="UAE11" s="537"/>
      <c r="UAF11" s="537"/>
      <c r="UAG11" s="537"/>
      <c r="UAH11" s="537"/>
      <c r="UAI11" s="537"/>
      <c r="UAJ11" s="537"/>
      <c r="UAK11" s="537"/>
      <c r="UAL11" s="537"/>
      <c r="UAM11" s="537"/>
      <c r="UAN11" s="537"/>
      <c r="UAO11" s="537"/>
      <c r="UAP11" s="537"/>
      <c r="UAQ11" s="537"/>
      <c r="UAR11" s="537"/>
      <c r="UAS11" s="537"/>
      <c r="UAT11" s="537"/>
      <c r="UAU11" s="537"/>
      <c r="UAV11" s="537"/>
      <c r="UAW11" s="537"/>
      <c r="UAX11" s="537"/>
      <c r="UAY11" s="537"/>
      <c r="UAZ11" s="537"/>
      <c r="UBA11" s="537"/>
      <c r="UBB11" s="537"/>
      <c r="UBC11" s="537"/>
      <c r="UBD11" s="537"/>
      <c r="UBE11" s="537"/>
      <c r="UBF11" s="537"/>
      <c r="UBG11" s="537"/>
      <c r="UBH11" s="537"/>
      <c r="UBI11" s="537"/>
      <c r="UBJ11" s="537"/>
      <c r="UBK11" s="537"/>
      <c r="UBL11" s="537"/>
      <c r="UBM11" s="537"/>
      <c r="UBN11" s="537"/>
      <c r="UBO11" s="537"/>
      <c r="UBP11" s="537"/>
      <c r="UBQ11" s="537"/>
      <c r="UBR11" s="537"/>
      <c r="UBS11" s="537"/>
      <c r="UBT11" s="537"/>
      <c r="UBU11" s="537"/>
      <c r="UBV11" s="537"/>
      <c r="UBW11" s="537"/>
      <c r="UBX11" s="537"/>
      <c r="UBY11" s="537"/>
      <c r="UBZ11" s="537"/>
      <c r="UCA11" s="537"/>
      <c r="UCB11" s="537"/>
      <c r="UCC11" s="537"/>
      <c r="UCD11" s="537"/>
      <c r="UCE11" s="537"/>
      <c r="UCF11" s="537"/>
      <c r="UCG11" s="537"/>
      <c r="UCH11" s="537"/>
      <c r="UCI11" s="537"/>
      <c r="UCJ11" s="537"/>
      <c r="UCK11" s="537"/>
      <c r="UCL11" s="537"/>
      <c r="UCM11" s="537"/>
      <c r="UCN11" s="537"/>
      <c r="UCO11" s="537"/>
      <c r="UCP11" s="537"/>
      <c r="UCQ11" s="537"/>
      <c r="UCR11" s="537"/>
      <c r="UCS11" s="537"/>
      <c r="UCT11" s="537"/>
      <c r="UCU11" s="537"/>
      <c r="UCV11" s="537"/>
      <c r="UCW11" s="537"/>
      <c r="UCX11" s="537"/>
      <c r="UCY11" s="537"/>
      <c r="UCZ11" s="537"/>
      <c r="UDA11" s="537"/>
      <c r="UDB11" s="537"/>
      <c r="UDC11" s="537"/>
      <c r="UDD11" s="537"/>
      <c r="UDE11" s="537"/>
      <c r="UDF11" s="537"/>
      <c r="UDG11" s="537"/>
      <c r="UDH11" s="537"/>
      <c r="UDI11" s="537"/>
      <c r="UDJ11" s="537"/>
      <c r="UDK11" s="537"/>
      <c r="UDL11" s="537"/>
      <c r="UDM11" s="537"/>
      <c r="UDN11" s="537"/>
      <c r="UDO11" s="537"/>
      <c r="UDP11" s="537"/>
      <c r="UDQ11" s="537"/>
      <c r="UDR11" s="537"/>
      <c r="UDS11" s="537"/>
      <c r="UDT11" s="537"/>
      <c r="UDU11" s="537"/>
      <c r="UDV11" s="537"/>
      <c r="UDW11" s="537"/>
      <c r="UDX11" s="537"/>
      <c r="UDY11" s="537"/>
      <c r="UDZ11" s="537"/>
      <c r="UEA11" s="537"/>
      <c r="UEB11" s="537"/>
      <c r="UEC11" s="537"/>
      <c r="UED11" s="537"/>
      <c r="UEE11" s="537"/>
      <c r="UEF11" s="537"/>
      <c r="UEG11" s="537"/>
      <c r="UEH11" s="537"/>
      <c r="UEI11" s="537"/>
      <c r="UEJ11" s="537"/>
      <c r="UEK11" s="537"/>
      <c r="UEL11" s="537"/>
      <c r="UEM11" s="537"/>
      <c r="UEN11" s="537"/>
      <c r="UEO11" s="537"/>
      <c r="UEP11" s="537"/>
      <c r="UEQ11" s="537"/>
      <c r="UER11" s="537"/>
      <c r="UES11" s="537"/>
      <c r="UET11" s="537"/>
      <c r="UEU11" s="537"/>
      <c r="UEV11" s="537"/>
      <c r="UEW11" s="537"/>
      <c r="UEX11" s="537"/>
      <c r="UEY11" s="537"/>
      <c r="UEZ11" s="537"/>
      <c r="UFA11" s="537"/>
      <c r="UFB11" s="537"/>
      <c r="UFC11" s="537"/>
      <c r="UFD11" s="537"/>
      <c r="UFE11" s="537"/>
      <c r="UFF11" s="537"/>
      <c r="UFG11" s="537"/>
      <c r="UFH11" s="537"/>
      <c r="UFI11" s="537"/>
      <c r="UFJ11" s="537"/>
      <c r="UFK11" s="537"/>
      <c r="UFL11" s="537"/>
      <c r="UFM11" s="537"/>
      <c r="UFN11" s="537"/>
      <c r="UFO11" s="537"/>
      <c r="UFP11" s="537"/>
      <c r="UFQ11" s="537"/>
      <c r="UFR11" s="537"/>
      <c r="UFS11" s="537"/>
      <c r="UFT11" s="537"/>
      <c r="UFU11" s="537"/>
      <c r="UFV11" s="537"/>
      <c r="UFW11" s="537"/>
      <c r="UFX11" s="537"/>
      <c r="UFY11" s="537"/>
      <c r="UFZ11" s="537"/>
      <c r="UGA11" s="537"/>
      <c r="UGB11" s="537"/>
      <c r="UGC11" s="537"/>
      <c r="UGD11" s="537"/>
      <c r="UGE11" s="537"/>
      <c r="UGF11" s="537"/>
      <c r="UGG11" s="537"/>
      <c r="UGH11" s="537"/>
      <c r="UGI11" s="537"/>
      <c r="UGJ11" s="537"/>
      <c r="UGK11" s="537"/>
      <c r="UGL11" s="537"/>
      <c r="UGM11" s="537"/>
      <c r="UGN11" s="537"/>
      <c r="UGO11" s="537"/>
      <c r="UGP11" s="537"/>
      <c r="UGQ11" s="537"/>
      <c r="UGR11" s="537"/>
      <c r="UGS11" s="537"/>
      <c r="UGT11" s="537"/>
      <c r="UGU11" s="537"/>
      <c r="UGV11" s="537"/>
      <c r="UGW11" s="537"/>
      <c r="UGX11" s="537"/>
      <c r="UGY11" s="537"/>
      <c r="UGZ11" s="537"/>
      <c r="UHA11" s="537"/>
      <c r="UHB11" s="537"/>
      <c r="UHC11" s="537"/>
      <c r="UHD11" s="537"/>
      <c r="UHE11" s="537"/>
      <c r="UHF11" s="537"/>
      <c r="UHG11" s="537"/>
      <c r="UHH11" s="537"/>
      <c r="UHI11" s="537"/>
      <c r="UHJ11" s="537"/>
      <c r="UHK11" s="537"/>
      <c r="UHL11" s="537"/>
      <c r="UHM11" s="537"/>
      <c r="UHN11" s="537"/>
      <c r="UHO11" s="537"/>
      <c r="UHP11" s="537"/>
      <c r="UHQ11" s="537"/>
      <c r="UHR11" s="537"/>
      <c r="UHS11" s="537"/>
      <c r="UHT11" s="537"/>
      <c r="UHU11" s="537"/>
      <c r="UHV11" s="537"/>
      <c r="UHW11" s="537"/>
      <c r="UHX11" s="537"/>
      <c r="UHY11" s="537"/>
      <c r="UHZ11" s="537"/>
      <c r="UIA11" s="537"/>
      <c r="UIB11" s="537"/>
      <c r="UIC11" s="537"/>
      <c r="UID11" s="537"/>
      <c r="UIE11" s="537"/>
      <c r="UIF11" s="537"/>
      <c r="UIG11" s="537"/>
      <c r="UIH11" s="537"/>
      <c r="UII11" s="537"/>
      <c r="UIJ11" s="537"/>
      <c r="UIK11" s="537"/>
      <c r="UIL11" s="537"/>
      <c r="UIM11" s="537"/>
      <c r="UIN11" s="537"/>
      <c r="UIO11" s="537"/>
      <c r="UIP11" s="537"/>
      <c r="UIQ11" s="537"/>
      <c r="UIR11" s="537"/>
      <c r="UIS11" s="537"/>
      <c r="UIT11" s="537"/>
      <c r="UIU11" s="537"/>
      <c r="UIV11" s="537"/>
      <c r="UIW11" s="537"/>
      <c r="UIX11" s="537"/>
      <c r="UIY11" s="537"/>
      <c r="UIZ11" s="537"/>
      <c r="UJA11" s="537"/>
      <c r="UJB11" s="537"/>
      <c r="UJC11" s="537"/>
      <c r="UJD11" s="537"/>
      <c r="UJE11" s="537"/>
      <c r="UJF11" s="537"/>
      <c r="UJG11" s="537"/>
      <c r="UJH11" s="537"/>
      <c r="UJI11" s="537"/>
      <c r="UJJ11" s="537"/>
      <c r="UJK11" s="537"/>
      <c r="UJL11" s="537"/>
      <c r="UJM11" s="537"/>
      <c r="UJN11" s="537"/>
      <c r="UJO11" s="537"/>
      <c r="UJP11" s="537"/>
      <c r="UJQ11" s="537"/>
      <c r="UJR11" s="537"/>
      <c r="UJS11" s="537"/>
      <c r="UJT11" s="537"/>
      <c r="UJU11" s="537"/>
      <c r="UJV11" s="537"/>
      <c r="UJW11" s="537"/>
      <c r="UJX11" s="537"/>
      <c r="UJY11" s="537"/>
      <c r="UJZ11" s="537"/>
      <c r="UKA11" s="537"/>
      <c r="UKB11" s="537"/>
      <c r="UKC11" s="537"/>
      <c r="UKD11" s="537"/>
      <c r="UKE11" s="537"/>
      <c r="UKF11" s="537"/>
      <c r="UKG11" s="537"/>
      <c r="UKH11" s="537"/>
      <c r="UKI11" s="537"/>
      <c r="UKJ11" s="537"/>
      <c r="UKK11" s="537"/>
      <c r="UKL11" s="537"/>
      <c r="UKM11" s="537"/>
      <c r="UKN11" s="537"/>
      <c r="UKO11" s="537"/>
      <c r="UKP11" s="537"/>
      <c r="UKQ11" s="537"/>
      <c r="UKR11" s="537"/>
      <c r="UKS11" s="537"/>
      <c r="UKT11" s="537"/>
      <c r="UKU11" s="537"/>
      <c r="UKV11" s="537"/>
      <c r="UKW11" s="537"/>
      <c r="UKX11" s="537"/>
      <c r="UKY11" s="537"/>
      <c r="UKZ11" s="537"/>
      <c r="ULA11" s="537"/>
      <c r="ULB11" s="537"/>
      <c r="ULC11" s="537"/>
      <c r="ULD11" s="537"/>
      <c r="ULE11" s="537"/>
      <c r="ULF11" s="537"/>
      <c r="ULG11" s="537"/>
      <c r="ULH11" s="537"/>
      <c r="ULI11" s="537"/>
      <c r="ULJ11" s="537"/>
      <c r="ULK11" s="537"/>
      <c r="ULL11" s="537"/>
      <c r="ULM11" s="537"/>
      <c r="ULN11" s="537"/>
      <c r="ULO11" s="537"/>
      <c r="ULP11" s="537"/>
      <c r="ULQ11" s="537"/>
      <c r="ULR11" s="537"/>
      <c r="ULS11" s="537"/>
      <c r="ULT11" s="537"/>
      <c r="ULU11" s="537"/>
      <c r="ULV11" s="537"/>
      <c r="ULW11" s="537"/>
      <c r="ULX11" s="537"/>
      <c r="ULY11" s="537"/>
      <c r="ULZ11" s="537"/>
      <c r="UMA11" s="537"/>
      <c r="UMB11" s="537"/>
      <c r="UMC11" s="537"/>
      <c r="UMD11" s="537"/>
      <c r="UME11" s="537"/>
      <c r="UMF11" s="537"/>
      <c r="UMG11" s="537"/>
      <c r="UMH11" s="537"/>
      <c r="UMI11" s="537"/>
      <c r="UMJ11" s="537"/>
      <c r="UMK11" s="537"/>
      <c r="UML11" s="537"/>
      <c r="UMM11" s="537"/>
      <c r="UMN11" s="537"/>
      <c r="UMO11" s="537"/>
      <c r="UMP11" s="537"/>
      <c r="UMQ11" s="537"/>
      <c r="UMR11" s="537"/>
      <c r="UMS11" s="537"/>
      <c r="UMT11" s="537"/>
      <c r="UMU11" s="537"/>
      <c r="UMV11" s="537"/>
      <c r="UMW11" s="537"/>
      <c r="UMX11" s="537"/>
      <c r="UMY11" s="537"/>
      <c r="UMZ11" s="537"/>
      <c r="UNA11" s="537"/>
      <c r="UNB11" s="537"/>
      <c r="UNC11" s="537"/>
      <c r="UND11" s="537"/>
      <c r="UNE11" s="537"/>
      <c r="UNF11" s="537"/>
      <c r="UNG11" s="537"/>
      <c r="UNH11" s="537"/>
      <c r="UNI11" s="537"/>
      <c r="UNJ11" s="537"/>
      <c r="UNK11" s="537"/>
      <c r="UNL11" s="537"/>
      <c r="UNM11" s="537"/>
      <c r="UNN11" s="537"/>
      <c r="UNO11" s="537"/>
      <c r="UNP11" s="537"/>
      <c r="UNQ11" s="537"/>
      <c r="UNR11" s="537"/>
      <c r="UNS11" s="537"/>
      <c r="UNT11" s="537"/>
      <c r="UNU11" s="537"/>
      <c r="UNV11" s="537"/>
      <c r="UNW11" s="537"/>
      <c r="UNX11" s="537"/>
      <c r="UNY11" s="537"/>
      <c r="UNZ11" s="537"/>
      <c r="UOA11" s="537"/>
      <c r="UOB11" s="537"/>
      <c r="UOC11" s="537"/>
      <c r="UOD11" s="537"/>
      <c r="UOE11" s="537"/>
      <c r="UOF11" s="537"/>
      <c r="UOG11" s="537"/>
      <c r="UOH11" s="537"/>
      <c r="UOI11" s="537"/>
      <c r="UOJ11" s="537"/>
      <c r="UOK11" s="537"/>
      <c r="UOL11" s="537"/>
      <c r="UOM11" s="537"/>
      <c r="UON11" s="537"/>
      <c r="UOO11" s="537"/>
      <c r="UOP11" s="537"/>
      <c r="UOQ11" s="537"/>
      <c r="UOR11" s="537"/>
      <c r="UOS11" s="537"/>
      <c r="UOT11" s="537"/>
      <c r="UOU11" s="537"/>
      <c r="UOV11" s="537"/>
      <c r="UOW11" s="537"/>
      <c r="UOX11" s="537"/>
      <c r="UOY11" s="537"/>
      <c r="UOZ11" s="537"/>
      <c r="UPA11" s="537"/>
      <c r="UPB11" s="537"/>
      <c r="UPC11" s="537"/>
      <c r="UPD11" s="537"/>
      <c r="UPE11" s="537"/>
      <c r="UPF11" s="537"/>
      <c r="UPG11" s="537"/>
      <c r="UPH11" s="537"/>
      <c r="UPI11" s="537"/>
      <c r="UPJ11" s="537"/>
      <c r="UPK11" s="537"/>
      <c r="UPL11" s="537"/>
      <c r="UPM11" s="537"/>
      <c r="UPN11" s="537"/>
      <c r="UPO11" s="537"/>
      <c r="UPP11" s="537"/>
      <c r="UPQ11" s="537"/>
      <c r="UPR11" s="537"/>
      <c r="UPS11" s="537"/>
      <c r="UPT11" s="537"/>
      <c r="UPU11" s="537"/>
      <c r="UPV11" s="537"/>
      <c r="UPW11" s="537"/>
      <c r="UPX11" s="537"/>
      <c r="UPY11" s="537"/>
      <c r="UPZ11" s="537"/>
      <c r="UQA11" s="537"/>
      <c r="UQB11" s="537"/>
      <c r="UQC11" s="537"/>
      <c r="UQD11" s="537"/>
      <c r="UQE11" s="537"/>
      <c r="UQF11" s="537"/>
      <c r="UQG11" s="537"/>
      <c r="UQH11" s="537"/>
      <c r="UQI11" s="537"/>
      <c r="UQJ11" s="537"/>
      <c r="UQK11" s="537"/>
      <c r="UQL11" s="537"/>
      <c r="UQM11" s="537"/>
      <c r="UQN11" s="537"/>
      <c r="UQO11" s="537"/>
      <c r="UQP11" s="537"/>
      <c r="UQQ11" s="537"/>
      <c r="UQR11" s="537"/>
      <c r="UQS11" s="537"/>
      <c r="UQT11" s="537"/>
      <c r="UQU11" s="537"/>
      <c r="UQV11" s="537"/>
      <c r="UQW11" s="537"/>
      <c r="UQX11" s="537"/>
      <c r="UQY11" s="537"/>
      <c r="UQZ11" s="537"/>
      <c r="URA11" s="537"/>
      <c r="URB11" s="537"/>
      <c r="URC11" s="537"/>
      <c r="URD11" s="537"/>
      <c r="URE11" s="537"/>
      <c r="URF11" s="537"/>
      <c r="URG11" s="537"/>
      <c r="URH11" s="537"/>
      <c r="URI11" s="537"/>
      <c r="URJ11" s="537"/>
      <c r="URK11" s="537"/>
      <c r="URL11" s="537"/>
      <c r="URM11" s="537"/>
      <c r="URN11" s="537"/>
      <c r="URO11" s="537"/>
      <c r="URP11" s="537"/>
      <c r="URQ11" s="537"/>
      <c r="URR11" s="537"/>
      <c r="URS11" s="537"/>
      <c r="URT11" s="537"/>
      <c r="URU11" s="537"/>
      <c r="URV11" s="537"/>
      <c r="URW11" s="537"/>
      <c r="URX11" s="537"/>
      <c r="URY11" s="537"/>
      <c r="URZ11" s="537"/>
      <c r="USA11" s="537"/>
      <c r="USB11" s="537"/>
      <c r="USC11" s="537"/>
      <c r="USD11" s="537"/>
      <c r="USE11" s="537"/>
      <c r="USF11" s="537"/>
      <c r="USG11" s="537"/>
      <c r="USH11" s="537"/>
      <c r="USI11" s="537"/>
      <c r="USJ11" s="537"/>
      <c r="USK11" s="537"/>
      <c r="USL11" s="537"/>
      <c r="USM11" s="537"/>
      <c r="USN11" s="537"/>
      <c r="USO11" s="537"/>
      <c r="USP11" s="537"/>
      <c r="USQ11" s="537"/>
      <c r="USR11" s="537"/>
      <c r="USS11" s="537"/>
      <c r="UST11" s="537"/>
      <c r="USU11" s="537"/>
      <c r="USV11" s="537"/>
      <c r="USW11" s="537"/>
      <c r="USX11" s="537"/>
      <c r="USY11" s="537"/>
      <c r="USZ11" s="537"/>
      <c r="UTA11" s="537"/>
      <c r="UTB11" s="537"/>
      <c r="UTC11" s="537"/>
      <c r="UTD11" s="537"/>
      <c r="UTE11" s="537"/>
      <c r="UTF11" s="537"/>
      <c r="UTG11" s="537"/>
      <c r="UTH11" s="537"/>
      <c r="UTI11" s="537"/>
      <c r="UTJ11" s="537"/>
      <c r="UTK11" s="537"/>
      <c r="UTL11" s="537"/>
      <c r="UTM11" s="537"/>
      <c r="UTN11" s="537"/>
      <c r="UTO11" s="537"/>
      <c r="UTP11" s="537"/>
      <c r="UTQ11" s="537"/>
      <c r="UTR11" s="537"/>
      <c r="UTS11" s="537"/>
      <c r="UTT11" s="537"/>
      <c r="UTU11" s="537"/>
      <c r="UTV11" s="537"/>
      <c r="UTW11" s="537"/>
      <c r="UTX11" s="537"/>
      <c r="UTY11" s="537"/>
      <c r="UTZ11" s="537"/>
      <c r="UUA11" s="537"/>
      <c r="UUB11" s="537"/>
      <c r="UUC11" s="537"/>
      <c r="UUD11" s="537"/>
      <c r="UUE11" s="537"/>
      <c r="UUF11" s="537"/>
      <c r="UUG11" s="537"/>
      <c r="UUH11" s="537"/>
      <c r="UUI11" s="537"/>
      <c r="UUJ11" s="537"/>
      <c r="UUK11" s="537"/>
      <c r="UUL11" s="537"/>
      <c r="UUM11" s="537"/>
      <c r="UUN11" s="537"/>
      <c r="UUO11" s="537"/>
      <c r="UUP11" s="537"/>
      <c r="UUQ11" s="537"/>
      <c r="UUR11" s="537"/>
      <c r="UUS11" s="537"/>
      <c r="UUT11" s="537"/>
      <c r="UUU11" s="537"/>
      <c r="UUV11" s="537"/>
      <c r="UUW11" s="537"/>
      <c r="UUX11" s="537"/>
      <c r="UUY11" s="537"/>
      <c r="UUZ11" s="537"/>
      <c r="UVA11" s="537"/>
      <c r="UVB11" s="537"/>
      <c r="UVC11" s="537"/>
      <c r="UVD11" s="537"/>
      <c r="UVE11" s="537"/>
      <c r="UVF11" s="537"/>
      <c r="UVG11" s="537"/>
      <c r="UVH11" s="537"/>
      <c r="UVI11" s="537"/>
      <c r="UVJ11" s="537"/>
      <c r="UVK11" s="537"/>
      <c r="UVL11" s="537"/>
      <c r="UVM11" s="537"/>
      <c r="UVN11" s="537"/>
      <c r="UVO11" s="537"/>
      <c r="UVP11" s="537"/>
      <c r="UVQ11" s="537"/>
      <c r="UVR11" s="537"/>
      <c r="UVS11" s="537"/>
      <c r="UVT11" s="537"/>
      <c r="UVU11" s="537"/>
      <c r="UVV11" s="537"/>
      <c r="UVW11" s="537"/>
      <c r="UVX11" s="537"/>
      <c r="UVY11" s="537"/>
      <c r="UVZ11" s="537"/>
      <c r="UWA11" s="537"/>
      <c r="UWB11" s="537"/>
      <c r="UWC11" s="537"/>
      <c r="UWD11" s="537"/>
      <c r="UWE11" s="537"/>
      <c r="UWF11" s="537"/>
      <c r="UWG11" s="537"/>
      <c r="UWH11" s="537"/>
      <c r="UWI11" s="537"/>
      <c r="UWJ11" s="537"/>
      <c r="UWK11" s="537"/>
      <c r="UWL11" s="537"/>
      <c r="UWM11" s="537"/>
      <c r="UWN11" s="537"/>
      <c r="UWO11" s="537"/>
      <c r="UWP11" s="537"/>
      <c r="UWQ11" s="537"/>
      <c r="UWR11" s="537"/>
      <c r="UWS11" s="537"/>
      <c r="UWT11" s="537"/>
      <c r="UWU11" s="537"/>
      <c r="UWV11" s="537"/>
      <c r="UWW11" s="537"/>
      <c r="UWX11" s="537"/>
      <c r="UWY11" s="537"/>
      <c r="UWZ11" s="537"/>
      <c r="UXA11" s="537"/>
      <c r="UXB11" s="537"/>
      <c r="UXC11" s="537"/>
      <c r="UXD11" s="537"/>
      <c r="UXE11" s="537"/>
      <c r="UXF11" s="537"/>
      <c r="UXG11" s="537"/>
      <c r="UXH11" s="537"/>
      <c r="UXI11" s="537"/>
      <c r="UXJ11" s="537"/>
      <c r="UXK11" s="537"/>
      <c r="UXL11" s="537"/>
      <c r="UXM11" s="537"/>
      <c r="UXN11" s="537"/>
      <c r="UXO11" s="537"/>
      <c r="UXP11" s="537"/>
      <c r="UXQ11" s="537"/>
      <c r="UXR11" s="537"/>
      <c r="UXS11" s="537"/>
      <c r="UXT11" s="537"/>
      <c r="UXU11" s="537"/>
      <c r="UXV11" s="537"/>
      <c r="UXW11" s="537"/>
      <c r="UXX11" s="537"/>
      <c r="UXY11" s="537"/>
      <c r="UXZ11" s="537"/>
      <c r="UYA11" s="537"/>
      <c r="UYB11" s="537"/>
      <c r="UYC11" s="537"/>
      <c r="UYD11" s="537"/>
      <c r="UYE11" s="537"/>
      <c r="UYF11" s="537"/>
      <c r="UYG11" s="537"/>
      <c r="UYH11" s="537"/>
      <c r="UYI11" s="537"/>
      <c r="UYJ11" s="537"/>
      <c r="UYK11" s="537"/>
      <c r="UYL11" s="537"/>
      <c r="UYM11" s="537"/>
      <c r="UYN11" s="537"/>
      <c r="UYO11" s="537"/>
      <c r="UYP11" s="537"/>
      <c r="UYQ11" s="537"/>
      <c r="UYR11" s="537"/>
      <c r="UYS11" s="537"/>
      <c r="UYT11" s="537"/>
      <c r="UYU11" s="537"/>
      <c r="UYV11" s="537"/>
      <c r="UYW11" s="537"/>
      <c r="UYX11" s="537"/>
      <c r="UYY11" s="537"/>
      <c r="UYZ11" s="537"/>
      <c r="UZA11" s="537"/>
      <c r="UZB11" s="537"/>
      <c r="UZC11" s="537"/>
      <c r="UZD11" s="537"/>
      <c r="UZE11" s="537"/>
      <c r="UZF11" s="537"/>
      <c r="UZG11" s="537"/>
      <c r="UZH11" s="537"/>
      <c r="UZI11" s="537"/>
      <c r="UZJ11" s="537"/>
      <c r="UZK11" s="537"/>
      <c r="UZL11" s="537"/>
      <c r="UZM11" s="537"/>
      <c r="UZN11" s="537"/>
      <c r="UZO11" s="537"/>
      <c r="UZP11" s="537"/>
      <c r="UZQ11" s="537"/>
      <c r="UZR11" s="537"/>
      <c r="UZS11" s="537"/>
      <c r="UZT11" s="537"/>
      <c r="UZU11" s="537"/>
      <c r="UZV11" s="537"/>
      <c r="UZW11" s="537"/>
      <c r="UZX11" s="537"/>
      <c r="UZY11" s="537"/>
      <c r="UZZ11" s="537"/>
      <c r="VAA11" s="537"/>
      <c r="VAB11" s="537"/>
      <c r="VAC11" s="537"/>
      <c r="VAD11" s="537"/>
      <c r="VAE11" s="537"/>
      <c r="VAF11" s="537"/>
      <c r="VAG11" s="537"/>
      <c r="VAH11" s="537"/>
      <c r="VAI11" s="537"/>
      <c r="VAJ11" s="537"/>
      <c r="VAK11" s="537"/>
      <c r="VAL11" s="537"/>
      <c r="VAM11" s="537"/>
      <c r="VAN11" s="537"/>
      <c r="VAO11" s="537"/>
      <c r="VAP11" s="537"/>
      <c r="VAQ11" s="537"/>
      <c r="VAR11" s="537"/>
      <c r="VAS11" s="537"/>
      <c r="VAT11" s="537"/>
      <c r="VAU11" s="537"/>
      <c r="VAV11" s="537"/>
      <c r="VAW11" s="537"/>
      <c r="VAX11" s="537"/>
      <c r="VAY11" s="537"/>
      <c r="VAZ11" s="537"/>
      <c r="VBA11" s="537"/>
      <c r="VBB11" s="537"/>
      <c r="VBC11" s="537"/>
      <c r="VBD11" s="537"/>
      <c r="VBE11" s="537"/>
      <c r="VBF11" s="537"/>
      <c r="VBG11" s="537"/>
      <c r="VBH11" s="537"/>
      <c r="VBI11" s="537"/>
      <c r="VBJ11" s="537"/>
      <c r="VBK11" s="537"/>
      <c r="VBL11" s="537"/>
      <c r="VBM11" s="537"/>
      <c r="VBN11" s="537"/>
      <c r="VBO11" s="537"/>
      <c r="VBP11" s="537"/>
      <c r="VBQ11" s="537"/>
      <c r="VBR11" s="537"/>
      <c r="VBS11" s="537"/>
      <c r="VBT11" s="537"/>
      <c r="VBU11" s="537"/>
      <c r="VBV11" s="537"/>
      <c r="VBW11" s="537"/>
      <c r="VBX11" s="537"/>
      <c r="VBY11" s="537"/>
      <c r="VBZ11" s="537"/>
      <c r="VCA11" s="537"/>
      <c r="VCB11" s="537"/>
      <c r="VCC11" s="537"/>
      <c r="VCD11" s="537"/>
      <c r="VCE11" s="537"/>
      <c r="VCF11" s="537"/>
      <c r="VCG11" s="537"/>
      <c r="VCH11" s="537"/>
      <c r="VCI11" s="537"/>
      <c r="VCJ11" s="537"/>
      <c r="VCK11" s="537"/>
      <c r="VCL11" s="537"/>
      <c r="VCM11" s="537"/>
      <c r="VCN11" s="537"/>
      <c r="VCO11" s="537"/>
      <c r="VCP11" s="537"/>
      <c r="VCQ11" s="537"/>
      <c r="VCR11" s="537"/>
      <c r="VCS11" s="537"/>
      <c r="VCT11" s="537"/>
      <c r="VCU11" s="537"/>
      <c r="VCV11" s="537"/>
      <c r="VCW11" s="537"/>
      <c r="VCX11" s="537"/>
      <c r="VCY11" s="537"/>
      <c r="VCZ11" s="537"/>
      <c r="VDA11" s="537"/>
      <c r="VDB11" s="537"/>
      <c r="VDC11" s="537"/>
      <c r="VDD11" s="537"/>
      <c r="VDE11" s="537"/>
      <c r="VDF11" s="537"/>
      <c r="VDG11" s="537"/>
      <c r="VDH11" s="537"/>
      <c r="VDI11" s="537"/>
      <c r="VDJ11" s="537"/>
      <c r="VDK11" s="537"/>
      <c r="VDL11" s="537"/>
      <c r="VDM11" s="537"/>
      <c r="VDN11" s="537"/>
      <c r="VDO11" s="537"/>
      <c r="VDP11" s="537"/>
      <c r="VDQ11" s="537"/>
      <c r="VDR11" s="537"/>
      <c r="VDS11" s="537"/>
      <c r="VDT11" s="537"/>
      <c r="VDU11" s="537"/>
      <c r="VDV11" s="537"/>
      <c r="VDW11" s="537"/>
      <c r="VDX11" s="537"/>
      <c r="VDY11" s="537"/>
      <c r="VDZ11" s="537"/>
      <c r="VEA11" s="537"/>
      <c r="VEB11" s="537"/>
      <c r="VEC11" s="537"/>
      <c r="VED11" s="537"/>
      <c r="VEE11" s="537"/>
      <c r="VEF11" s="537"/>
      <c r="VEG11" s="537"/>
      <c r="VEH11" s="537"/>
      <c r="VEI11" s="537"/>
      <c r="VEJ11" s="537"/>
      <c r="VEK11" s="537"/>
      <c r="VEL11" s="537"/>
      <c r="VEM11" s="537"/>
      <c r="VEN11" s="537"/>
      <c r="VEO11" s="537"/>
      <c r="VEP11" s="537"/>
      <c r="VEQ11" s="537"/>
      <c r="VER11" s="537"/>
      <c r="VES11" s="537"/>
      <c r="VET11" s="537"/>
      <c r="VEU11" s="537"/>
      <c r="VEV11" s="537"/>
      <c r="VEW11" s="537"/>
      <c r="VEX11" s="537"/>
      <c r="VEY11" s="537"/>
      <c r="VEZ11" s="537"/>
      <c r="VFA11" s="537"/>
      <c r="VFB11" s="537"/>
      <c r="VFC11" s="537"/>
      <c r="VFD11" s="537"/>
      <c r="VFE11" s="537"/>
      <c r="VFF11" s="537"/>
      <c r="VFG11" s="537"/>
      <c r="VFH11" s="537"/>
      <c r="VFI11" s="537"/>
      <c r="VFJ11" s="537"/>
      <c r="VFK11" s="537"/>
      <c r="VFL11" s="537"/>
      <c r="VFM11" s="537"/>
      <c r="VFN11" s="537"/>
      <c r="VFO11" s="537"/>
      <c r="VFP11" s="537"/>
      <c r="VFQ11" s="537"/>
      <c r="VFR11" s="537"/>
      <c r="VFS11" s="537"/>
      <c r="VFT11" s="537"/>
      <c r="VFU11" s="537"/>
      <c r="VFV11" s="537"/>
      <c r="VFW11" s="537"/>
      <c r="VFX11" s="537"/>
      <c r="VFY11" s="537"/>
      <c r="VFZ11" s="537"/>
      <c r="VGA11" s="537"/>
      <c r="VGB11" s="537"/>
      <c r="VGC11" s="537"/>
      <c r="VGD11" s="537"/>
      <c r="VGE11" s="537"/>
      <c r="VGF11" s="537"/>
      <c r="VGG11" s="537"/>
      <c r="VGH11" s="537"/>
      <c r="VGI11" s="537"/>
      <c r="VGJ11" s="537"/>
      <c r="VGK11" s="537"/>
      <c r="VGL11" s="537"/>
      <c r="VGM11" s="537"/>
      <c r="VGN11" s="537"/>
      <c r="VGO11" s="537"/>
      <c r="VGP11" s="537"/>
      <c r="VGQ11" s="537"/>
      <c r="VGR11" s="537"/>
      <c r="VGS11" s="537"/>
      <c r="VGT11" s="537"/>
      <c r="VGU11" s="537"/>
      <c r="VGV11" s="537"/>
      <c r="VGW11" s="537"/>
      <c r="VGX11" s="537"/>
      <c r="VGY11" s="537"/>
      <c r="VGZ11" s="537"/>
      <c r="VHA11" s="537"/>
      <c r="VHB11" s="537"/>
      <c r="VHC11" s="537"/>
      <c r="VHD11" s="537"/>
      <c r="VHE11" s="537"/>
      <c r="VHF11" s="537"/>
      <c r="VHG11" s="537"/>
      <c r="VHH11" s="537"/>
      <c r="VHI11" s="537"/>
      <c r="VHJ11" s="537"/>
      <c r="VHK11" s="537"/>
      <c r="VHL11" s="537"/>
      <c r="VHM11" s="537"/>
      <c r="VHN11" s="537"/>
      <c r="VHO11" s="537"/>
      <c r="VHP11" s="537"/>
      <c r="VHQ11" s="537"/>
      <c r="VHR11" s="537"/>
      <c r="VHS11" s="537"/>
      <c r="VHT11" s="537"/>
      <c r="VHU11" s="537"/>
      <c r="VHV11" s="537"/>
      <c r="VHW11" s="537"/>
      <c r="VHX11" s="537"/>
      <c r="VHY11" s="537"/>
      <c r="VHZ11" s="537"/>
      <c r="VIA11" s="537"/>
      <c r="VIB11" s="537"/>
      <c r="VIC11" s="537"/>
      <c r="VID11" s="537"/>
      <c r="VIE11" s="537"/>
      <c r="VIF11" s="537"/>
      <c r="VIG11" s="537"/>
      <c r="VIH11" s="537"/>
      <c r="VII11" s="537"/>
      <c r="VIJ11" s="537"/>
      <c r="VIK11" s="537"/>
      <c r="VIL11" s="537"/>
      <c r="VIM11" s="537"/>
      <c r="VIN11" s="537"/>
      <c r="VIO11" s="537"/>
      <c r="VIP11" s="537"/>
      <c r="VIQ11" s="537"/>
      <c r="VIR11" s="537"/>
      <c r="VIS11" s="537"/>
      <c r="VIT11" s="537"/>
      <c r="VIU11" s="537"/>
      <c r="VIV11" s="537"/>
      <c r="VIW11" s="537"/>
      <c r="VIX11" s="537"/>
      <c r="VIY11" s="537"/>
      <c r="VIZ11" s="537"/>
      <c r="VJA11" s="537"/>
      <c r="VJB11" s="537"/>
      <c r="VJC11" s="537"/>
      <c r="VJD11" s="537"/>
      <c r="VJE11" s="537"/>
      <c r="VJF11" s="537"/>
      <c r="VJG11" s="537"/>
      <c r="VJH11" s="537"/>
      <c r="VJI11" s="537"/>
      <c r="VJJ11" s="537"/>
      <c r="VJK11" s="537"/>
      <c r="VJL11" s="537"/>
      <c r="VJM11" s="537"/>
      <c r="VJN11" s="537"/>
      <c r="VJO11" s="537"/>
      <c r="VJP11" s="537"/>
      <c r="VJQ11" s="537"/>
      <c r="VJR11" s="537"/>
      <c r="VJS11" s="537"/>
      <c r="VJT11" s="537"/>
      <c r="VJU11" s="537"/>
      <c r="VJV11" s="537"/>
      <c r="VJW11" s="537"/>
      <c r="VJX11" s="537"/>
      <c r="VJY11" s="537"/>
      <c r="VJZ11" s="537"/>
      <c r="VKA11" s="537"/>
      <c r="VKB11" s="537"/>
      <c r="VKC11" s="537"/>
      <c r="VKD11" s="537"/>
      <c r="VKE11" s="537"/>
      <c r="VKF11" s="537"/>
      <c r="VKG11" s="537"/>
      <c r="VKH11" s="537"/>
      <c r="VKI11" s="537"/>
      <c r="VKJ11" s="537"/>
      <c r="VKK11" s="537"/>
      <c r="VKL11" s="537"/>
      <c r="VKM11" s="537"/>
      <c r="VKN11" s="537"/>
      <c r="VKO11" s="537"/>
      <c r="VKP11" s="537"/>
      <c r="VKQ11" s="537"/>
      <c r="VKR11" s="537"/>
      <c r="VKS11" s="537"/>
      <c r="VKT11" s="537"/>
      <c r="VKU11" s="537"/>
      <c r="VKV11" s="537"/>
      <c r="VKW11" s="537"/>
      <c r="VKX11" s="537"/>
      <c r="VKY11" s="537"/>
      <c r="VKZ11" s="537"/>
      <c r="VLA11" s="537"/>
      <c r="VLB11" s="537"/>
      <c r="VLC11" s="537"/>
      <c r="VLD11" s="537"/>
      <c r="VLE11" s="537"/>
      <c r="VLF11" s="537"/>
      <c r="VLG11" s="537"/>
      <c r="VLH11" s="537"/>
      <c r="VLI11" s="537"/>
      <c r="VLJ11" s="537"/>
      <c r="VLK11" s="537"/>
      <c r="VLL11" s="537"/>
      <c r="VLM11" s="537"/>
      <c r="VLN11" s="537"/>
      <c r="VLO11" s="537"/>
      <c r="VLP11" s="537"/>
      <c r="VLQ11" s="537"/>
      <c r="VLR11" s="537"/>
      <c r="VLS11" s="537"/>
      <c r="VLT11" s="537"/>
      <c r="VLU11" s="537"/>
      <c r="VLV11" s="537"/>
      <c r="VLW11" s="537"/>
      <c r="VLX11" s="537"/>
      <c r="VLY11" s="537"/>
      <c r="VLZ11" s="537"/>
      <c r="VMA11" s="537"/>
      <c r="VMB11" s="537"/>
      <c r="VMC11" s="537"/>
      <c r="VMD11" s="537"/>
      <c r="VME11" s="537"/>
      <c r="VMF11" s="537"/>
      <c r="VMG11" s="537"/>
      <c r="VMH11" s="537"/>
      <c r="VMI11" s="537"/>
      <c r="VMJ11" s="537"/>
      <c r="VMK11" s="537"/>
      <c r="VML11" s="537"/>
      <c r="VMM11" s="537"/>
      <c r="VMN11" s="537"/>
      <c r="VMO11" s="537"/>
      <c r="VMP11" s="537"/>
      <c r="VMQ11" s="537"/>
      <c r="VMR11" s="537"/>
      <c r="VMS11" s="537"/>
      <c r="VMT11" s="537"/>
      <c r="VMU11" s="537"/>
      <c r="VMV11" s="537"/>
      <c r="VMW11" s="537"/>
      <c r="VMX11" s="537"/>
      <c r="VMY11" s="537"/>
      <c r="VMZ11" s="537"/>
      <c r="VNA11" s="537"/>
      <c r="VNB11" s="537"/>
      <c r="VNC11" s="537"/>
      <c r="VND11" s="537"/>
      <c r="VNE11" s="537"/>
      <c r="VNF11" s="537"/>
      <c r="VNG11" s="537"/>
      <c r="VNH11" s="537"/>
      <c r="VNI11" s="537"/>
      <c r="VNJ11" s="537"/>
      <c r="VNK11" s="537"/>
      <c r="VNL11" s="537"/>
      <c r="VNM11" s="537"/>
      <c r="VNN11" s="537"/>
      <c r="VNO11" s="537"/>
      <c r="VNP11" s="537"/>
      <c r="VNQ11" s="537"/>
      <c r="VNR11" s="537"/>
      <c r="VNS11" s="537"/>
      <c r="VNT11" s="537"/>
      <c r="VNU11" s="537"/>
      <c r="VNV11" s="537"/>
      <c r="VNW11" s="537"/>
      <c r="VNX11" s="537"/>
      <c r="VNY11" s="537"/>
      <c r="VNZ11" s="537"/>
      <c r="VOA11" s="537"/>
      <c r="VOB11" s="537"/>
      <c r="VOC11" s="537"/>
      <c r="VOD11" s="537"/>
      <c r="VOE11" s="537"/>
      <c r="VOF11" s="537"/>
      <c r="VOG11" s="537"/>
      <c r="VOH11" s="537"/>
      <c r="VOI11" s="537"/>
      <c r="VOJ11" s="537"/>
      <c r="VOK11" s="537"/>
      <c r="VOL11" s="537"/>
      <c r="VOM11" s="537"/>
      <c r="VON11" s="537"/>
      <c r="VOO11" s="537"/>
      <c r="VOP11" s="537"/>
      <c r="VOQ11" s="537"/>
      <c r="VOR11" s="537"/>
      <c r="VOS11" s="537"/>
      <c r="VOT11" s="537"/>
      <c r="VOU11" s="537"/>
      <c r="VOV11" s="537"/>
      <c r="VOW11" s="537"/>
      <c r="VOX11" s="537"/>
      <c r="VOY11" s="537"/>
      <c r="VOZ11" s="537"/>
      <c r="VPA11" s="537"/>
      <c r="VPB11" s="537"/>
      <c r="VPC11" s="537"/>
      <c r="VPD11" s="537"/>
      <c r="VPE11" s="537"/>
      <c r="VPF11" s="537"/>
      <c r="VPG11" s="537"/>
      <c r="VPH11" s="537"/>
      <c r="VPI11" s="537"/>
      <c r="VPJ11" s="537"/>
      <c r="VPK11" s="537"/>
      <c r="VPL11" s="537"/>
      <c r="VPM11" s="537"/>
      <c r="VPN11" s="537"/>
      <c r="VPO11" s="537"/>
      <c r="VPP11" s="537"/>
      <c r="VPQ11" s="537"/>
      <c r="VPR11" s="537"/>
      <c r="VPS11" s="537"/>
      <c r="VPT11" s="537"/>
      <c r="VPU11" s="537"/>
      <c r="VPV11" s="537"/>
      <c r="VPW11" s="537"/>
      <c r="VPX11" s="537"/>
      <c r="VPY11" s="537"/>
      <c r="VPZ11" s="537"/>
      <c r="VQA11" s="537"/>
      <c r="VQB11" s="537"/>
      <c r="VQC11" s="537"/>
      <c r="VQD11" s="537"/>
      <c r="VQE11" s="537"/>
      <c r="VQF11" s="537"/>
      <c r="VQG11" s="537"/>
      <c r="VQH11" s="537"/>
      <c r="VQI11" s="537"/>
      <c r="VQJ11" s="537"/>
      <c r="VQK11" s="537"/>
      <c r="VQL11" s="537"/>
      <c r="VQM11" s="537"/>
      <c r="VQN11" s="537"/>
      <c r="VQO11" s="537"/>
      <c r="VQP11" s="537"/>
      <c r="VQQ11" s="537"/>
      <c r="VQR11" s="537"/>
      <c r="VQS11" s="537"/>
      <c r="VQT11" s="537"/>
      <c r="VQU11" s="537"/>
      <c r="VQV11" s="537"/>
      <c r="VQW11" s="537"/>
      <c r="VQX11" s="537"/>
      <c r="VQY11" s="537"/>
      <c r="VQZ11" s="537"/>
      <c r="VRA11" s="537"/>
      <c r="VRB11" s="537"/>
      <c r="VRC11" s="537"/>
      <c r="VRD11" s="537"/>
      <c r="VRE11" s="537"/>
      <c r="VRF11" s="537"/>
      <c r="VRG11" s="537"/>
      <c r="VRH11" s="537"/>
      <c r="VRI11" s="537"/>
      <c r="VRJ11" s="537"/>
      <c r="VRK11" s="537"/>
      <c r="VRL11" s="537"/>
      <c r="VRM11" s="537"/>
      <c r="VRN11" s="537"/>
      <c r="VRO11" s="537"/>
      <c r="VRP11" s="537"/>
      <c r="VRQ11" s="537"/>
      <c r="VRR11" s="537"/>
      <c r="VRS11" s="537"/>
      <c r="VRT11" s="537"/>
      <c r="VRU11" s="537"/>
      <c r="VRV11" s="537"/>
      <c r="VRW11" s="537"/>
      <c r="VRX11" s="537"/>
      <c r="VRY11" s="537"/>
      <c r="VRZ11" s="537"/>
      <c r="VSA11" s="537"/>
      <c r="VSB11" s="537"/>
      <c r="VSC11" s="537"/>
      <c r="VSD11" s="537"/>
      <c r="VSE11" s="537"/>
      <c r="VSF11" s="537"/>
      <c r="VSG11" s="537"/>
      <c r="VSH11" s="537"/>
      <c r="VSI11" s="537"/>
      <c r="VSJ11" s="537"/>
      <c r="VSK11" s="537"/>
      <c r="VSL11" s="537"/>
      <c r="VSM11" s="537"/>
      <c r="VSN11" s="537"/>
      <c r="VSO11" s="537"/>
      <c r="VSP11" s="537"/>
      <c r="VSQ11" s="537"/>
      <c r="VSR11" s="537"/>
      <c r="VSS11" s="537"/>
      <c r="VST11" s="537"/>
      <c r="VSU11" s="537"/>
      <c r="VSV11" s="537"/>
      <c r="VSW11" s="537"/>
      <c r="VSX11" s="537"/>
      <c r="VSY11" s="537"/>
      <c r="VSZ11" s="537"/>
      <c r="VTA11" s="537"/>
      <c r="VTB11" s="537"/>
      <c r="VTC11" s="537"/>
      <c r="VTD11" s="537"/>
      <c r="VTE11" s="537"/>
      <c r="VTF11" s="537"/>
      <c r="VTG11" s="537"/>
      <c r="VTH11" s="537"/>
      <c r="VTI11" s="537"/>
      <c r="VTJ11" s="537"/>
      <c r="VTK11" s="537"/>
      <c r="VTL11" s="537"/>
      <c r="VTM11" s="537"/>
      <c r="VTN11" s="537"/>
      <c r="VTO11" s="537"/>
      <c r="VTP11" s="537"/>
      <c r="VTQ11" s="537"/>
      <c r="VTR11" s="537"/>
      <c r="VTS11" s="537"/>
      <c r="VTT11" s="537"/>
      <c r="VTU11" s="537"/>
      <c r="VTV11" s="537"/>
      <c r="VTW11" s="537"/>
      <c r="VTX11" s="537"/>
      <c r="VTY11" s="537"/>
      <c r="VTZ11" s="537"/>
      <c r="VUA11" s="537"/>
      <c r="VUB11" s="537"/>
      <c r="VUC11" s="537"/>
      <c r="VUD11" s="537"/>
      <c r="VUE11" s="537"/>
      <c r="VUF11" s="537"/>
      <c r="VUG11" s="537"/>
      <c r="VUH11" s="537"/>
      <c r="VUI11" s="537"/>
      <c r="VUJ11" s="537"/>
      <c r="VUK11" s="537"/>
      <c r="VUL11" s="537"/>
      <c r="VUM11" s="537"/>
      <c r="VUN11" s="537"/>
      <c r="VUO11" s="537"/>
      <c r="VUP11" s="537"/>
      <c r="VUQ11" s="537"/>
      <c r="VUR11" s="537"/>
      <c r="VUS11" s="537"/>
      <c r="VUT11" s="537"/>
      <c r="VUU11" s="537"/>
      <c r="VUV11" s="537"/>
      <c r="VUW11" s="537"/>
      <c r="VUX11" s="537"/>
      <c r="VUY11" s="537"/>
      <c r="VUZ11" s="537"/>
      <c r="VVA11" s="537"/>
      <c r="VVB11" s="537"/>
      <c r="VVC11" s="537"/>
      <c r="VVD11" s="537"/>
      <c r="VVE11" s="537"/>
      <c r="VVF11" s="537"/>
      <c r="VVG11" s="537"/>
      <c r="VVH11" s="537"/>
      <c r="VVI11" s="537"/>
      <c r="VVJ11" s="537"/>
      <c r="VVK11" s="537"/>
      <c r="VVL11" s="537"/>
      <c r="VVM11" s="537"/>
      <c r="VVN11" s="537"/>
      <c r="VVO11" s="537"/>
      <c r="VVP11" s="537"/>
      <c r="VVQ11" s="537"/>
      <c r="VVR11" s="537"/>
      <c r="VVS11" s="537"/>
      <c r="VVT11" s="537"/>
      <c r="VVU11" s="537"/>
      <c r="VVV11" s="537"/>
      <c r="VVW11" s="537"/>
      <c r="VVX11" s="537"/>
      <c r="VVY11" s="537"/>
      <c r="VVZ11" s="537"/>
      <c r="VWA11" s="537"/>
      <c r="VWB11" s="537"/>
      <c r="VWC11" s="537"/>
      <c r="VWD11" s="537"/>
      <c r="VWE11" s="537"/>
      <c r="VWF11" s="537"/>
      <c r="VWG11" s="537"/>
      <c r="VWH11" s="537"/>
      <c r="VWI11" s="537"/>
      <c r="VWJ11" s="537"/>
      <c r="VWK11" s="537"/>
      <c r="VWL11" s="537"/>
      <c r="VWM11" s="537"/>
      <c r="VWN11" s="537"/>
      <c r="VWO11" s="537"/>
      <c r="VWP11" s="537"/>
      <c r="VWQ11" s="537"/>
      <c r="VWR11" s="537"/>
      <c r="VWS11" s="537"/>
      <c r="VWT11" s="537"/>
      <c r="VWU11" s="537"/>
      <c r="VWV11" s="537"/>
      <c r="VWW11" s="537"/>
      <c r="VWX11" s="537"/>
      <c r="VWY11" s="537"/>
      <c r="VWZ11" s="537"/>
      <c r="VXA11" s="537"/>
      <c r="VXB11" s="537"/>
      <c r="VXC11" s="537"/>
      <c r="VXD11" s="537"/>
      <c r="VXE11" s="537"/>
      <c r="VXF11" s="537"/>
      <c r="VXG11" s="537"/>
      <c r="VXH11" s="537"/>
      <c r="VXI11" s="537"/>
      <c r="VXJ11" s="537"/>
      <c r="VXK11" s="537"/>
      <c r="VXL11" s="537"/>
      <c r="VXM11" s="537"/>
      <c r="VXN11" s="537"/>
      <c r="VXO11" s="537"/>
      <c r="VXP11" s="537"/>
      <c r="VXQ11" s="537"/>
      <c r="VXR11" s="537"/>
      <c r="VXS11" s="537"/>
      <c r="VXT11" s="537"/>
      <c r="VXU11" s="537"/>
      <c r="VXV11" s="537"/>
      <c r="VXW11" s="537"/>
      <c r="VXX11" s="537"/>
      <c r="VXY11" s="537"/>
      <c r="VXZ11" s="537"/>
      <c r="VYA11" s="537"/>
      <c r="VYB11" s="537"/>
      <c r="VYC11" s="537"/>
      <c r="VYD11" s="537"/>
      <c r="VYE11" s="537"/>
      <c r="VYF11" s="537"/>
      <c r="VYG11" s="537"/>
      <c r="VYH11" s="537"/>
      <c r="VYI11" s="537"/>
      <c r="VYJ11" s="537"/>
      <c r="VYK11" s="537"/>
      <c r="VYL11" s="537"/>
      <c r="VYM11" s="537"/>
      <c r="VYN11" s="537"/>
      <c r="VYO11" s="537"/>
      <c r="VYP11" s="537"/>
      <c r="VYQ11" s="537"/>
      <c r="VYR11" s="537"/>
      <c r="VYS11" s="537"/>
      <c r="VYT11" s="537"/>
      <c r="VYU11" s="537"/>
      <c r="VYV11" s="537"/>
      <c r="VYW11" s="537"/>
      <c r="VYX11" s="537"/>
      <c r="VYY11" s="537"/>
      <c r="VYZ11" s="537"/>
      <c r="VZA11" s="537"/>
      <c r="VZB11" s="537"/>
      <c r="VZC11" s="537"/>
      <c r="VZD11" s="537"/>
      <c r="VZE11" s="537"/>
      <c r="VZF11" s="537"/>
      <c r="VZG11" s="537"/>
      <c r="VZH11" s="537"/>
      <c r="VZI11" s="537"/>
      <c r="VZJ11" s="537"/>
      <c r="VZK11" s="537"/>
      <c r="VZL11" s="537"/>
      <c r="VZM11" s="537"/>
      <c r="VZN11" s="537"/>
      <c r="VZO11" s="537"/>
      <c r="VZP11" s="537"/>
      <c r="VZQ11" s="537"/>
      <c r="VZR11" s="537"/>
      <c r="VZS11" s="537"/>
      <c r="VZT11" s="537"/>
      <c r="VZU11" s="537"/>
      <c r="VZV11" s="537"/>
      <c r="VZW11" s="537"/>
      <c r="VZX11" s="537"/>
      <c r="VZY11" s="537"/>
      <c r="VZZ11" s="537"/>
      <c r="WAA11" s="537"/>
      <c r="WAB11" s="537"/>
      <c r="WAC11" s="537"/>
      <c r="WAD11" s="537"/>
      <c r="WAE11" s="537"/>
      <c r="WAF11" s="537"/>
      <c r="WAG11" s="537"/>
      <c r="WAH11" s="537"/>
      <c r="WAI11" s="537"/>
      <c r="WAJ11" s="537"/>
      <c r="WAK11" s="537"/>
      <c r="WAL11" s="537"/>
      <c r="WAM11" s="537"/>
      <c r="WAN11" s="537"/>
      <c r="WAO11" s="537"/>
      <c r="WAP11" s="537"/>
      <c r="WAQ11" s="537"/>
      <c r="WAR11" s="537"/>
      <c r="WAS11" s="537"/>
      <c r="WAT11" s="537"/>
      <c r="WAU11" s="537"/>
      <c r="WAV11" s="537"/>
      <c r="WAW11" s="537"/>
      <c r="WAX11" s="537"/>
      <c r="WAY11" s="537"/>
      <c r="WAZ11" s="537"/>
      <c r="WBA11" s="537"/>
      <c r="WBB11" s="537"/>
      <c r="WBC11" s="537"/>
      <c r="WBD11" s="537"/>
      <c r="WBE11" s="537"/>
      <c r="WBF11" s="537"/>
      <c r="WBG11" s="537"/>
      <c r="WBH11" s="537"/>
      <c r="WBI11" s="537"/>
      <c r="WBJ11" s="537"/>
      <c r="WBK11" s="537"/>
      <c r="WBL11" s="537"/>
      <c r="WBM11" s="537"/>
      <c r="WBN11" s="537"/>
      <c r="WBO11" s="537"/>
      <c r="WBP11" s="537"/>
      <c r="WBQ11" s="537"/>
      <c r="WBR11" s="537"/>
      <c r="WBS11" s="537"/>
      <c r="WBT11" s="537"/>
      <c r="WBU11" s="537"/>
      <c r="WBV11" s="537"/>
      <c r="WBW11" s="537"/>
      <c r="WBX11" s="537"/>
      <c r="WBY11" s="537"/>
      <c r="WBZ11" s="537"/>
      <c r="WCA11" s="537"/>
      <c r="WCB11" s="537"/>
      <c r="WCC11" s="537"/>
      <c r="WCD11" s="537"/>
      <c r="WCE11" s="537"/>
      <c r="WCF11" s="537"/>
      <c r="WCG11" s="537"/>
      <c r="WCH11" s="537"/>
      <c r="WCI11" s="537"/>
      <c r="WCJ11" s="537"/>
      <c r="WCK11" s="537"/>
      <c r="WCL11" s="537"/>
      <c r="WCM11" s="537"/>
      <c r="WCN11" s="537"/>
      <c r="WCO11" s="537"/>
      <c r="WCP11" s="537"/>
      <c r="WCQ11" s="537"/>
      <c r="WCR11" s="537"/>
      <c r="WCS11" s="537"/>
      <c r="WCT11" s="537"/>
      <c r="WCU11" s="537"/>
      <c r="WCV11" s="537"/>
      <c r="WCW11" s="537"/>
      <c r="WCX11" s="537"/>
      <c r="WCY11" s="537"/>
      <c r="WCZ11" s="537"/>
      <c r="WDA11" s="537"/>
      <c r="WDB11" s="537"/>
      <c r="WDC11" s="537"/>
      <c r="WDD11" s="537"/>
      <c r="WDE11" s="537"/>
      <c r="WDF11" s="537"/>
      <c r="WDG11" s="537"/>
      <c r="WDH11" s="537"/>
      <c r="WDI11" s="537"/>
      <c r="WDJ11" s="537"/>
      <c r="WDK11" s="537"/>
      <c r="WDL11" s="537"/>
      <c r="WDM11" s="537"/>
      <c r="WDN11" s="537"/>
      <c r="WDO11" s="537"/>
      <c r="WDP11" s="537"/>
      <c r="WDQ11" s="537"/>
      <c r="WDR11" s="537"/>
      <c r="WDS11" s="537"/>
      <c r="WDT11" s="537"/>
      <c r="WDU11" s="537"/>
      <c r="WDV11" s="537"/>
      <c r="WDW11" s="537"/>
      <c r="WDX11" s="537"/>
      <c r="WDY11" s="537"/>
      <c r="WDZ11" s="537"/>
      <c r="WEA11" s="537"/>
      <c r="WEB11" s="537"/>
      <c r="WEC11" s="537"/>
      <c r="WED11" s="537"/>
      <c r="WEE11" s="537"/>
      <c r="WEF11" s="537"/>
      <c r="WEG11" s="537"/>
      <c r="WEH11" s="537"/>
      <c r="WEI11" s="537"/>
      <c r="WEJ11" s="537"/>
      <c r="WEK11" s="537"/>
      <c r="WEL11" s="537"/>
      <c r="WEM11" s="537"/>
      <c r="WEN11" s="537"/>
      <c r="WEO11" s="537"/>
      <c r="WEP11" s="537"/>
      <c r="WEQ11" s="537"/>
      <c r="WER11" s="537"/>
      <c r="WES11" s="537"/>
      <c r="WET11" s="537"/>
      <c r="WEU11" s="537"/>
      <c r="WEV11" s="537"/>
      <c r="WEW11" s="537"/>
      <c r="WEX11" s="537"/>
      <c r="WEY11" s="537"/>
      <c r="WEZ11" s="537"/>
      <c r="WFA11" s="537"/>
      <c r="WFB11" s="537"/>
      <c r="WFC11" s="537"/>
      <c r="WFD11" s="537"/>
      <c r="WFE11" s="537"/>
      <c r="WFF11" s="537"/>
      <c r="WFG11" s="537"/>
      <c r="WFH11" s="537"/>
      <c r="WFI11" s="537"/>
      <c r="WFJ11" s="537"/>
      <c r="WFK11" s="537"/>
      <c r="WFL11" s="537"/>
      <c r="WFM11" s="537"/>
      <c r="WFN11" s="537"/>
      <c r="WFO11" s="537"/>
      <c r="WFP11" s="537"/>
      <c r="WFQ11" s="537"/>
      <c r="WFR11" s="537"/>
      <c r="WFS11" s="537"/>
      <c r="WFT11" s="537"/>
      <c r="WFU11" s="537"/>
      <c r="WFV11" s="537"/>
      <c r="WFW11" s="537"/>
      <c r="WFX11" s="537"/>
      <c r="WFY11" s="537"/>
      <c r="WFZ11" s="537"/>
      <c r="WGA11" s="537"/>
      <c r="WGB11" s="537"/>
      <c r="WGC11" s="537"/>
      <c r="WGD11" s="537"/>
      <c r="WGE11" s="537"/>
      <c r="WGF11" s="537"/>
      <c r="WGG11" s="537"/>
      <c r="WGH11" s="537"/>
      <c r="WGI11" s="537"/>
      <c r="WGJ11" s="537"/>
      <c r="WGK11" s="537"/>
      <c r="WGL11" s="537"/>
      <c r="WGM11" s="537"/>
      <c r="WGN11" s="537"/>
      <c r="WGO11" s="537"/>
      <c r="WGP11" s="537"/>
      <c r="WGQ11" s="537"/>
      <c r="WGR11" s="537"/>
      <c r="WGS11" s="537"/>
      <c r="WGT11" s="537"/>
      <c r="WGU11" s="537"/>
      <c r="WGV11" s="537"/>
      <c r="WGW11" s="537"/>
      <c r="WGX11" s="537"/>
      <c r="WGY11" s="537"/>
      <c r="WGZ11" s="537"/>
      <c r="WHA11" s="537"/>
      <c r="WHB11" s="537"/>
      <c r="WHC11" s="537"/>
      <c r="WHD11" s="537"/>
      <c r="WHE11" s="537"/>
      <c r="WHF11" s="537"/>
      <c r="WHG11" s="537"/>
      <c r="WHH11" s="537"/>
      <c r="WHI11" s="537"/>
      <c r="WHJ11" s="537"/>
      <c r="WHK11" s="537"/>
      <c r="WHL11" s="537"/>
      <c r="WHM11" s="537"/>
      <c r="WHN11" s="537"/>
      <c r="WHO11" s="537"/>
      <c r="WHP11" s="537"/>
      <c r="WHQ11" s="537"/>
      <c r="WHR11" s="537"/>
      <c r="WHS11" s="537"/>
      <c r="WHT11" s="537"/>
      <c r="WHU11" s="537"/>
      <c r="WHV11" s="537"/>
      <c r="WHW11" s="537"/>
      <c r="WHX11" s="537"/>
      <c r="WHY11" s="537"/>
      <c r="WHZ11" s="537"/>
      <c r="WIA11" s="537"/>
      <c r="WIB11" s="537"/>
      <c r="WIC11" s="537"/>
      <c r="WID11" s="537"/>
      <c r="WIE11" s="537"/>
      <c r="WIF11" s="537"/>
      <c r="WIG11" s="537"/>
      <c r="WIH11" s="537"/>
      <c r="WII11" s="537"/>
      <c r="WIJ11" s="537"/>
      <c r="WIK11" s="537"/>
      <c r="WIL11" s="537"/>
      <c r="WIM11" s="537"/>
      <c r="WIN11" s="537"/>
      <c r="WIO11" s="537"/>
      <c r="WIP11" s="537"/>
      <c r="WIQ11" s="537"/>
      <c r="WIR11" s="537"/>
      <c r="WIS11" s="537"/>
      <c r="WIT11" s="537"/>
      <c r="WIU11" s="537"/>
      <c r="WIV11" s="537"/>
      <c r="WIW11" s="537"/>
      <c r="WIX11" s="537"/>
      <c r="WIY11" s="537"/>
      <c r="WIZ11" s="537"/>
      <c r="WJA11" s="537"/>
      <c r="WJB11" s="537"/>
      <c r="WJC11" s="537"/>
      <c r="WJD11" s="537"/>
      <c r="WJE11" s="537"/>
      <c r="WJF11" s="537"/>
      <c r="WJG11" s="537"/>
      <c r="WJH11" s="537"/>
      <c r="WJI11" s="537"/>
      <c r="WJJ11" s="537"/>
      <c r="WJK11" s="537"/>
      <c r="WJL11" s="537"/>
      <c r="WJM11" s="537"/>
      <c r="WJN11" s="537"/>
      <c r="WJO11" s="537"/>
      <c r="WJP11" s="537"/>
      <c r="WJQ11" s="537"/>
      <c r="WJR11" s="537"/>
      <c r="WJS11" s="537"/>
      <c r="WJT11" s="537"/>
      <c r="WJU11" s="537"/>
      <c r="WJV11" s="537"/>
      <c r="WJW11" s="537"/>
      <c r="WJX11" s="537"/>
      <c r="WJY11" s="537"/>
      <c r="WJZ11" s="537"/>
      <c r="WKA11" s="537"/>
      <c r="WKB11" s="537"/>
      <c r="WKC11" s="537"/>
      <c r="WKD11" s="537"/>
      <c r="WKE11" s="537"/>
      <c r="WKF11" s="537"/>
      <c r="WKG11" s="537"/>
      <c r="WKH11" s="537"/>
      <c r="WKI11" s="537"/>
      <c r="WKJ11" s="537"/>
      <c r="WKK11" s="537"/>
      <c r="WKL11" s="537"/>
      <c r="WKM11" s="537"/>
      <c r="WKN11" s="537"/>
      <c r="WKO11" s="537"/>
      <c r="WKP11" s="537"/>
      <c r="WKQ11" s="537"/>
      <c r="WKR11" s="537"/>
      <c r="WKS11" s="537"/>
      <c r="WKT11" s="537"/>
      <c r="WKU11" s="537"/>
      <c r="WKV11" s="537"/>
      <c r="WKW11" s="537"/>
      <c r="WKX11" s="537"/>
      <c r="WKY11" s="537"/>
      <c r="WKZ11" s="537"/>
      <c r="WLA11" s="537"/>
      <c r="WLB11" s="537"/>
      <c r="WLC11" s="537"/>
      <c r="WLD11" s="537"/>
      <c r="WLE11" s="537"/>
      <c r="WLF11" s="537"/>
      <c r="WLG11" s="537"/>
      <c r="WLH11" s="537"/>
      <c r="WLI11" s="537"/>
      <c r="WLJ11" s="537"/>
      <c r="WLK11" s="537"/>
      <c r="WLL11" s="537"/>
      <c r="WLM11" s="537"/>
      <c r="WLN11" s="537"/>
      <c r="WLO11" s="537"/>
      <c r="WLP11" s="537"/>
      <c r="WLQ11" s="537"/>
      <c r="WLR11" s="537"/>
      <c r="WLS11" s="537"/>
      <c r="WLT11" s="537"/>
      <c r="WLU11" s="537"/>
      <c r="WLV11" s="537"/>
      <c r="WLW11" s="537"/>
      <c r="WLX11" s="537"/>
      <c r="WLY11" s="537"/>
      <c r="WLZ11" s="537"/>
      <c r="WMA11" s="537"/>
      <c r="WMB11" s="537"/>
      <c r="WMC11" s="537"/>
      <c r="WMD11" s="537"/>
      <c r="WME11" s="537"/>
      <c r="WMF11" s="537"/>
      <c r="WMG11" s="537"/>
      <c r="WMH11" s="537"/>
      <c r="WMI11" s="537"/>
      <c r="WMJ11" s="537"/>
      <c r="WMK11" s="537"/>
      <c r="WML11" s="537"/>
      <c r="WMM11" s="537"/>
      <c r="WMN11" s="537"/>
      <c r="WMO11" s="537"/>
      <c r="WMP11" s="537"/>
      <c r="WMQ11" s="537"/>
      <c r="WMR11" s="537"/>
      <c r="WMS11" s="537"/>
      <c r="WMT11" s="537"/>
      <c r="WMU11" s="537"/>
      <c r="WMV11" s="537"/>
      <c r="WMW11" s="537"/>
      <c r="WMX11" s="537"/>
      <c r="WMY11" s="537"/>
      <c r="WMZ11" s="537"/>
      <c r="WNA11" s="537"/>
      <c r="WNB11" s="537"/>
      <c r="WNC11" s="537"/>
      <c r="WND11" s="537"/>
      <c r="WNE11" s="537"/>
      <c r="WNF11" s="537"/>
      <c r="WNG11" s="537"/>
      <c r="WNH11" s="537"/>
      <c r="WNI11" s="537"/>
      <c r="WNJ11" s="537"/>
      <c r="WNK11" s="537"/>
      <c r="WNL11" s="537"/>
      <c r="WNM11" s="537"/>
      <c r="WNN11" s="537"/>
      <c r="WNO11" s="537"/>
      <c r="WNP11" s="537"/>
      <c r="WNQ11" s="537"/>
      <c r="WNR11" s="537"/>
      <c r="WNS11" s="537"/>
      <c r="WNT11" s="537"/>
      <c r="WNU11" s="537"/>
      <c r="WNV11" s="537"/>
      <c r="WNW11" s="537"/>
      <c r="WNX11" s="537"/>
      <c r="WNY11" s="537"/>
      <c r="WNZ11" s="537"/>
      <c r="WOA11" s="537"/>
      <c r="WOB11" s="537"/>
      <c r="WOC11" s="537"/>
      <c r="WOD11" s="537"/>
      <c r="WOE11" s="537"/>
      <c r="WOF11" s="537"/>
      <c r="WOG11" s="537"/>
      <c r="WOH11" s="537"/>
      <c r="WOI11" s="537"/>
      <c r="WOJ11" s="537"/>
      <c r="WOK11" s="537"/>
      <c r="WOL11" s="537"/>
      <c r="WOM11" s="537"/>
      <c r="WON11" s="537"/>
      <c r="WOO11" s="537"/>
      <c r="WOP11" s="537"/>
      <c r="WOQ11" s="537"/>
      <c r="WOR11" s="537"/>
      <c r="WOS11" s="537"/>
      <c r="WOT11" s="537"/>
      <c r="WOU11" s="537"/>
      <c r="WOV11" s="537"/>
      <c r="WOW11" s="537"/>
      <c r="WOX11" s="537"/>
      <c r="WOY11" s="537"/>
      <c r="WOZ11" s="537"/>
      <c r="WPA11" s="537"/>
      <c r="WPB11" s="537"/>
      <c r="WPC11" s="537"/>
      <c r="WPD11" s="537"/>
      <c r="WPE11" s="537"/>
      <c r="WPF11" s="537"/>
      <c r="WPG11" s="537"/>
      <c r="WPH11" s="537"/>
      <c r="WPI11" s="537"/>
      <c r="WPJ11" s="537"/>
      <c r="WPK11" s="537"/>
      <c r="WPL11" s="537"/>
      <c r="WPM11" s="537"/>
      <c r="WPN11" s="537"/>
      <c r="WPO11" s="537"/>
      <c r="WPP11" s="537"/>
      <c r="WPQ11" s="537"/>
      <c r="WPR11" s="537"/>
      <c r="WPS11" s="537"/>
      <c r="WPT11" s="537"/>
      <c r="WPU11" s="537"/>
      <c r="WPV11" s="537"/>
      <c r="WPW11" s="537"/>
      <c r="WPX11" s="537"/>
      <c r="WPY11" s="537"/>
      <c r="WPZ11" s="537"/>
      <c r="WQA11" s="537"/>
      <c r="WQB11" s="537"/>
      <c r="WQC11" s="537"/>
      <c r="WQD11" s="537"/>
      <c r="WQE11" s="537"/>
      <c r="WQF11" s="537"/>
      <c r="WQG11" s="537"/>
      <c r="WQH11" s="537"/>
      <c r="WQI11" s="537"/>
      <c r="WQJ11" s="537"/>
      <c r="WQK11" s="537"/>
      <c r="WQL11" s="537"/>
      <c r="WQM11" s="537"/>
      <c r="WQN11" s="537"/>
      <c r="WQO11" s="537"/>
      <c r="WQP11" s="537"/>
      <c r="WQQ11" s="537"/>
      <c r="WQR11" s="537"/>
      <c r="WQS11" s="537"/>
      <c r="WQT11" s="537"/>
      <c r="WQU11" s="537"/>
      <c r="WQV11" s="537"/>
      <c r="WQW11" s="537"/>
      <c r="WQX11" s="537"/>
      <c r="WQY11" s="537"/>
      <c r="WQZ11" s="537"/>
      <c r="WRA11" s="537"/>
      <c r="WRB11" s="537"/>
      <c r="WRC11" s="537"/>
      <c r="WRD11" s="537"/>
      <c r="WRE11" s="537"/>
      <c r="WRF11" s="537"/>
      <c r="WRG11" s="537"/>
      <c r="WRH11" s="537"/>
      <c r="WRI11" s="537"/>
      <c r="WRJ11" s="537"/>
      <c r="WRK11" s="537"/>
      <c r="WRL11" s="537"/>
      <c r="WRM11" s="537"/>
      <c r="WRN11" s="537"/>
      <c r="WRO11" s="537"/>
      <c r="WRP11" s="537"/>
      <c r="WRQ11" s="537"/>
      <c r="WRR11" s="537"/>
      <c r="WRS11" s="537"/>
      <c r="WRT11" s="537"/>
      <c r="WRU11" s="537"/>
      <c r="WRV11" s="537"/>
      <c r="WRW11" s="537"/>
      <c r="WRX11" s="537"/>
      <c r="WRY11" s="537"/>
      <c r="WRZ11" s="537"/>
      <c r="WSA11" s="537"/>
      <c r="WSB11" s="537"/>
      <c r="WSC11" s="537"/>
      <c r="WSD11" s="537"/>
      <c r="WSE11" s="537"/>
      <c r="WSF11" s="537"/>
      <c r="WSG11" s="537"/>
      <c r="WSH11" s="537"/>
      <c r="WSI11" s="537"/>
      <c r="WSJ11" s="537"/>
      <c r="WSK11" s="537"/>
      <c r="WSL11" s="537"/>
      <c r="WSM11" s="537"/>
      <c r="WSN11" s="537"/>
      <c r="WSO11" s="537"/>
      <c r="WSP11" s="537"/>
      <c r="WSQ11" s="537"/>
      <c r="WSR11" s="537"/>
      <c r="WSS11" s="537"/>
      <c r="WST11" s="537"/>
      <c r="WSU11" s="537"/>
      <c r="WSV11" s="537"/>
      <c r="WSW11" s="537"/>
      <c r="WSX11" s="537"/>
      <c r="WSY11" s="537"/>
      <c r="WSZ11" s="537"/>
      <c r="WTA11" s="537"/>
      <c r="WTB11" s="537"/>
      <c r="WTC11" s="537"/>
      <c r="WTD11" s="537"/>
      <c r="WTE11" s="537"/>
      <c r="WTF11" s="537"/>
      <c r="WTG11" s="537"/>
      <c r="WTH11" s="537"/>
      <c r="WTI11" s="537"/>
      <c r="WTJ11" s="537"/>
      <c r="WTK11" s="537"/>
      <c r="WTL11" s="537"/>
      <c r="WTM11" s="537"/>
      <c r="WTN11" s="537"/>
      <c r="WTO11" s="537"/>
      <c r="WTP11" s="537"/>
      <c r="WTQ11" s="537"/>
      <c r="WTR11" s="537"/>
      <c r="WTS11" s="537"/>
      <c r="WTT11" s="537"/>
      <c r="WTU11" s="537"/>
      <c r="WTV11" s="537"/>
      <c r="WTW11" s="537"/>
      <c r="WTX11" s="537"/>
      <c r="WTY11" s="537"/>
      <c r="WTZ11" s="537"/>
      <c r="WUA11" s="537"/>
      <c r="WUB11" s="537"/>
      <c r="WUC11" s="537"/>
      <c r="WUD11" s="537"/>
      <c r="WUE11" s="537"/>
      <c r="WUF11" s="537"/>
      <c r="WUG11" s="537"/>
      <c r="WUH11" s="537"/>
      <c r="WUI11" s="537"/>
      <c r="WUJ11" s="537"/>
      <c r="WUK11" s="537"/>
      <c r="WUL11" s="537"/>
      <c r="WUM11" s="537"/>
      <c r="WUN11" s="537"/>
      <c r="WUO11" s="537"/>
      <c r="WUP11" s="537"/>
      <c r="WUQ11" s="537"/>
      <c r="WUR11" s="537"/>
      <c r="WUS11" s="537"/>
      <c r="WUT11" s="537"/>
      <c r="WUU11" s="537"/>
      <c r="WUV11" s="537"/>
      <c r="WUW11" s="537"/>
      <c r="WUX11" s="537"/>
      <c r="WUY11" s="537"/>
      <c r="WUZ11" s="537"/>
      <c r="WVA11" s="537"/>
      <c r="WVB11" s="537"/>
      <c r="WVC11" s="537"/>
      <c r="WVD11" s="537"/>
      <c r="WVE11" s="537"/>
      <c r="WVF11" s="537"/>
      <c r="WVG11" s="537"/>
      <c r="WVH11" s="537"/>
      <c r="WVI11" s="537"/>
      <c r="WVJ11" s="537"/>
      <c r="WVK11" s="537"/>
      <c r="WVL11" s="537"/>
      <c r="WVM11" s="537"/>
      <c r="WVN11" s="537"/>
      <c r="WVO11" s="537"/>
      <c r="WVP11" s="537"/>
      <c r="WVQ11" s="537"/>
      <c r="WVR11" s="537"/>
      <c r="WVS11" s="537"/>
      <c r="WVT11" s="537"/>
      <c r="WVU11" s="537"/>
      <c r="WVV11" s="537"/>
      <c r="WVW11" s="537"/>
      <c r="WVX11" s="537"/>
      <c r="WVY11" s="537"/>
      <c r="WVZ11" s="537"/>
      <c r="WWA11" s="537"/>
      <c r="WWB11" s="537"/>
      <c r="WWC11" s="537"/>
      <c r="WWD11" s="537"/>
      <c r="WWE11" s="537"/>
      <c r="WWF11" s="537"/>
      <c r="WWG11" s="537"/>
      <c r="WWH11" s="537"/>
      <c r="WWI11" s="537"/>
      <c r="WWJ11" s="537"/>
      <c r="WWK11" s="537"/>
      <c r="WWL11" s="537"/>
      <c r="WWM11" s="537"/>
      <c r="WWN11" s="537"/>
      <c r="WWO11" s="537"/>
      <c r="WWP11" s="537"/>
      <c r="WWQ11" s="537"/>
      <c r="WWR11" s="537"/>
      <c r="WWS11" s="537"/>
      <c r="WWT11" s="537"/>
      <c r="WWU11" s="537"/>
      <c r="WWV11" s="537"/>
      <c r="WWW11" s="537"/>
      <c r="WWX11" s="537"/>
      <c r="WWY11" s="537"/>
      <c r="WWZ11" s="537"/>
      <c r="WXA11" s="537"/>
      <c r="WXB11" s="537"/>
      <c r="WXC11" s="537"/>
      <c r="WXD11" s="537"/>
      <c r="WXE11" s="537"/>
      <c r="WXF11" s="537"/>
      <c r="WXG11" s="537"/>
      <c r="WXH11" s="537"/>
      <c r="WXI11" s="537"/>
      <c r="WXJ11" s="537"/>
      <c r="WXK11" s="537"/>
      <c r="WXL11" s="537"/>
      <c r="WXM11" s="537"/>
      <c r="WXN11" s="537"/>
      <c r="WXO11" s="537"/>
      <c r="WXP11" s="537"/>
      <c r="WXQ11" s="537"/>
      <c r="WXR11" s="537"/>
      <c r="WXS11" s="537"/>
      <c r="WXT11" s="537"/>
      <c r="WXU11" s="537"/>
      <c r="WXV11" s="537"/>
      <c r="WXW11" s="537"/>
      <c r="WXX11" s="537"/>
      <c r="WXY11" s="537"/>
      <c r="WXZ11" s="537"/>
      <c r="WYA11" s="537"/>
      <c r="WYB11" s="537"/>
      <c r="WYC11" s="537"/>
      <c r="WYD11" s="537"/>
      <c r="WYE11" s="537"/>
      <c r="WYF11" s="537"/>
      <c r="WYG11" s="537"/>
      <c r="WYH11" s="537"/>
      <c r="WYI11" s="537"/>
      <c r="WYJ11" s="537"/>
      <c r="WYK11" s="537"/>
      <c r="WYL11" s="537"/>
      <c r="WYM11" s="537"/>
      <c r="WYN11" s="537"/>
      <c r="WYO11" s="537"/>
      <c r="WYP11" s="537"/>
      <c r="WYQ11" s="537"/>
      <c r="WYR11" s="537"/>
      <c r="WYS11" s="537"/>
      <c r="WYT11" s="537"/>
      <c r="WYU11" s="537"/>
      <c r="WYV11" s="537"/>
      <c r="WYW11" s="537"/>
      <c r="WYX11" s="537"/>
      <c r="WYY11" s="537"/>
      <c r="WYZ11" s="537"/>
      <c r="WZA11" s="537"/>
      <c r="WZB11" s="537"/>
      <c r="WZC11" s="537"/>
      <c r="WZD11" s="537"/>
      <c r="WZE11" s="537"/>
      <c r="WZF11" s="537"/>
      <c r="WZG11" s="537"/>
      <c r="WZH11" s="537"/>
      <c r="WZI11" s="537"/>
      <c r="WZJ11" s="537"/>
      <c r="WZK11" s="537"/>
      <c r="WZL11" s="537"/>
      <c r="WZM11" s="537"/>
      <c r="WZN11" s="537"/>
      <c r="WZO11" s="537"/>
      <c r="WZP11" s="537"/>
      <c r="WZQ11" s="537"/>
      <c r="WZR11" s="537"/>
      <c r="WZS11" s="537"/>
      <c r="WZT11" s="537"/>
      <c r="WZU11" s="537"/>
      <c r="WZV11" s="537"/>
      <c r="WZW11" s="537"/>
      <c r="WZX11" s="537"/>
      <c r="WZY11" s="537"/>
      <c r="WZZ11" s="537"/>
      <c r="XAA11" s="537"/>
      <c r="XAB11" s="537"/>
      <c r="XAC11" s="537"/>
      <c r="XAD11" s="537"/>
      <c r="XAE11" s="537"/>
      <c r="XAF11" s="537"/>
      <c r="XAG11" s="537"/>
      <c r="XAH11" s="537"/>
      <c r="XAI11" s="537"/>
      <c r="XAJ11" s="537"/>
      <c r="XAK11" s="537"/>
      <c r="XAL11" s="537"/>
      <c r="XAM11" s="537"/>
      <c r="XAN11" s="537"/>
      <c r="XAO11" s="537"/>
      <c r="XAP11" s="537"/>
      <c r="XAQ11" s="537"/>
      <c r="XAR11" s="537"/>
      <c r="XAS11" s="537"/>
      <c r="XAT11" s="537"/>
      <c r="XAU11" s="537"/>
      <c r="XAV11" s="537"/>
      <c r="XAW11" s="537"/>
      <c r="XAX11" s="537"/>
      <c r="XAY11" s="537"/>
      <c r="XAZ11" s="537"/>
      <c r="XBA11" s="537"/>
      <c r="XBB11" s="537"/>
      <c r="XBC11" s="537"/>
      <c r="XBD11" s="537"/>
      <c r="XBE11" s="537"/>
      <c r="XBF11" s="537"/>
      <c r="XBG11" s="537"/>
      <c r="XBH11" s="537"/>
      <c r="XBI11" s="537"/>
      <c r="XBJ11" s="537"/>
      <c r="XBK11" s="537"/>
      <c r="XBL11" s="537"/>
      <c r="XBM11" s="537"/>
      <c r="XBN11" s="537"/>
      <c r="XBO11" s="537"/>
      <c r="XBP11" s="537"/>
      <c r="XBQ11" s="537"/>
      <c r="XBR11" s="537"/>
      <c r="XBS11" s="537"/>
      <c r="XBT11" s="537"/>
      <c r="XBU11" s="537"/>
      <c r="XBV11" s="537"/>
      <c r="XBW11" s="537"/>
      <c r="XBX11" s="537"/>
      <c r="XBY11" s="537"/>
      <c r="XBZ11" s="537"/>
      <c r="XCA11" s="537"/>
      <c r="XCB11" s="537"/>
      <c r="XCC11" s="537"/>
      <c r="XCD11" s="537"/>
      <c r="XCE11" s="537"/>
      <c r="XCF11" s="537"/>
      <c r="XCG11" s="537"/>
      <c r="XCH11" s="537"/>
      <c r="XCI11" s="537"/>
      <c r="XCJ11" s="537"/>
      <c r="XCK11" s="537"/>
      <c r="XCL11" s="537"/>
      <c r="XCM11" s="537"/>
      <c r="XCN11" s="537"/>
      <c r="XCO11" s="537"/>
      <c r="XCP11" s="537"/>
      <c r="XCQ11" s="537"/>
      <c r="XCR11" s="537"/>
      <c r="XCS11" s="537"/>
      <c r="XCT11" s="537"/>
      <c r="XCU11" s="537"/>
      <c r="XCV11" s="537"/>
      <c r="XCW11" s="537"/>
      <c r="XCX11" s="537"/>
      <c r="XCY11" s="537"/>
      <c r="XCZ11" s="537"/>
      <c r="XDA11" s="537"/>
      <c r="XDB11" s="537"/>
      <c r="XDC11" s="537"/>
      <c r="XDD11" s="537"/>
      <c r="XDE11" s="537"/>
      <c r="XDF11" s="537"/>
      <c r="XDG11" s="537"/>
      <c r="XDH11" s="537"/>
      <c r="XDI11" s="537"/>
      <c r="XDJ11" s="537"/>
      <c r="XDK11" s="537"/>
      <c r="XDL11" s="537"/>
      <c r="XDM11" s="537"/>
      <c r="XDN11" s="537"/>
      <c r="XDO11" s="537"/>
      <c r="XDP11" s="537"/>
      <c r="XDQ11" s="537"/>
      <c r="XDR11" s="537"/>
      <c r="XDS11" s="537"/>
      <c r="XDT11" s="537"/>
      <c r="XDU11" s="537"/>
      <c r="XDV11" s="537"/>
      <c r="XDW11" s="537"/>
      <c r="XDX11" s="537"/>
      <c r="XDY11" s="537"/>
      <c r="XDZ11" s="537"/>
      <c r="XEA11" s="537"/>
      <c r="XEB11" s="537"/>
      <c r="XEC11" s="537"/>
      <c r="XED11" s="537"/>
      <c r="XEE11" s="537"/>
      <c r="XEF11" s="537"/>
      <c r="XEG11" s="537"/>
      <c r="XEH11" s="537"/>
      <c r="XEI11" s="537"/>
      <c r="XEJ11" s="537"/>
      <c r="XEK11" s="537"/>
      <c r="XEL11" s="537"/>
      <c r="XEM11" s="537"/>
      <c r="XEN11" s="537"/>
      <c r="XEO11" s="537"/>
      <c r="XEP11" s="537"/>
      <c r="XEQ11" s="537"/>
      <c r="XER11" s="537"/>
      <c r="XES11" s="537"/>
      <c r="XET11" s="537"/>
      <c r="XEU11" s="537"/>
      <c r="XEV11" s="537"/>
      <c r="XEW11" s="537"/>
      <c r="XEX11" s="537"/>
      <c r="XEY11" s="537"/>
      <c r="XEZ11" s="537"/>
      <c r="XFA11" s="537"/>
      <c r="XFB11" s="537"/>
    </row>
    <row r="12" spans="1:16382" s="537" customFormat="1" ht="29.1" customHeight="1">
      <c r="A12" s="1846" t="s">
        <v>828</v>
      </c>
      <c r="B12" s="1839">
        <v>64530.16</v>
      </c>
      <c r="C12" s="1840">
        <v>40391.913</v>
      </c>
      <c r="D12" s="1840">
        <v>324.88299999999998</v>
      </c>
      <c r="E12" s="1840">
        <v>55.036000000000001</v>
      </c>
      <c r="F12" s="1840">
        <v>58162.553</v>
      </c>
      <c r="G12" s="1840">
        <v>664.75800000000004</v>
      </c>
      <c r="H12" s="1840">
        <v>1655.348</v>
      </c>
      <c r="I12" s="1840">
        <v>12294.686</v>
      </c>
      <c r="J12" s="1840">
        <v>879.73699999999997</v>
      </c>
      <c r="K12" s="1841">
        <v>178959.07399999999</v>
      </c>
      <c r="L12" s="1847" t="str">
        <f t="shared" ref="L12:L26" si="2">A12</f>
        <v>2025.01~04</v>
      </c>
      <c r="M12" s="1848">
        <v>51507.396000000001</v>
      </c>
      <c r="N12" s="1849">
        <v>62231.481</v>
      </c>
      <c r="O12" s="1849">
        <v>441.92500000000001</v>
      </c>
      <c r="P12" s="1849">
        <v>164.68899999999999</v>
      </c>
      <c r="Q12" s="1849">
        <v>93987.687000000005</v>
      </c>
      <c r="R12" s="1849">
        <v>951.12</v>
      </c>
      <c r="S12" s="1849">
        <v>3235.3339999999998</v>
      </c>
      <c r="T12" s="1849">
        <v>15953.531999999999</v>
      </c>
      <c r="U12" s="1849">
        <v>2001.85</v>
      </c>
      <c r="V12" s="1850">
        <v>230475.01500000001</v>
      </c>
      <c r="W12" s="1851" t="str">
        <f t="shared" si="1"/>
        <v>2025.01~04</v>
      </c>
      <c r="X12" s="1842">
        <v>79.819000000000003</v>
      </c>
      <c r="Y12" s="1843">
        <v>154.06899999999999</v>
      </c>
      <c r="Z12" s="1843">
        <v>136.02600000000001</v>
      </c>
      <c r="AA12" s="1843">
        <v>299.238</v>
      </c>
      <c r="AB12" s="1843">
        <v>161.595</v>
      </c>
      <c r="AC12" s="1843">
        <v>143.078</v>
      </c>
      <c r="AD12" s="1843">
        <v>195.447</v>
      </c>
      <c r="AE12" s="1843">
        <v>129.76</v>
      </c>
      <c r="AF12" s="1843">
        <v>227.55099999999999</v>
      </c>
      <c r="AG12" s="1844">
        <v>128.786</v>
      </c>
      <c r="AH12" s="1852"/>
      <c r="AI12" s="1853"/>
      <c r="AJ12" s="1853"/>
      <c r="AK12" s="1853"/>
      <c r="AL12" s="1853"/>
      <c r="AM12" s="1853"/>
      <c r="AN12" s="1853"/>
      <c r="AO12" s="1853"/>
      <c r="AP12" s="1853"/>
      <c r="AQ12" s="1854"/>
    </row>
    <row r="13" spans="1:16382" s="1854" customFormat="1" ht="29.1" customHeight="1">
      <c r="A13" s="1855">
        <v>2025.04</v>
      </c>
      <c r="B13" s="1856">
        <v>15136.655000000001</v>
      </c>
      <c r="C13" s="1857">
        <v>7845.5370000000003</v>
      </c>
      <c r="D13" s="1857">
        <v>76.41</v>
      </c>
      <c r="E13" s="1857">
        <v>3.9710000000000001</v>
      </c>
      <c r="F13" s="1857">
        <v>13278.341</v>
      </c>
      <c r="G13" s="1857">
        <v>189.67500000000001</v>
      </c>
      <c r="H13" s="1857">
        <v>424.87200000000001</v>
      </c>
      <c r="I13" s="1857">
        <v>3163.1190000000001</v>
      </c>
      <c r="J13" s="1857">
        <v>203.833</v>
      </c>
      <c r="K13" s="1858">
        <v>40322.413999999997</v>
      </c>
      <c r="L13" s="1855">
        <f t="shared" si="2"/>
        <v>2025.04</v>
      </c>
      <c r="M13" s="1856">
        <v>12061.708000000001</v>
      </c>
      <c r="N13" s="1857">
        <v>12311.966</v>
      </c>
      <c r="O13" s="1857">
        <v>101.13200000000001</v>
      </c>
      <c r="P13" s="1857">
        <v>15.573</v>
      </c>
      <c r="Q13" s="1857">
        <v>21159.129000000001</v>
      </c>
      <c r="R13" s="1857">
        <v>263.99299999999999</v>
      </c>
      <c r="S13" s="1857">
        <v>749.24099999999999</v>
      </c>
      <c r="T13" s="1857">
        <v>4285.5079999999998</v>
      </c>
      <c r="U13" s="1857">
        <v>441.50400000000002</v>
      </c>
      <c r="V13" s="1858">
        <v>51389.756999999998</v>
      </c>
      <c r="W13" s="1859">
        <f t="shared" si="1"/>
        <v>2025.04</v>
      </c>
      <c r="X13" s="1860">
        <v>79.685000000000002</v>
      </c>
      <c r="Y13" s="1861">
        <v>156.93</v>
      </c>
      <c r="Z13" s="1861">
        <v>132.35499999999999</v>
      </c>
      <c r="AA13" s="1861">
        <v>392.19400000000002</v>
      </c>
      <c r="AB13" s="1861">
        <v>159.351</v>
      </c>
      <c r="AC13" s="1861">
        <v>139.18199999999999</v>
      </c>
      <c r="AD13" s="1861">
        <v>176.345</v>
      </c>
      <c r="AE13" s="1861">
        <v>135.48400000000001</v>
      </c>
      <c r="AF13" s="1861">
        <v>216.601</v>
      </c>
      <c r="AG13" s="1862">
        <v>127.447</v>
      </c>
      <c r="AH13" s="1863"/>
      <c r="AI13" s="1836"/>
      <c r="AJ13" s="1836"/>
      <c r="AK13" s="1836"/>
      <c r="AL13" s="1836"/>
      <c r="AM13" s="1836"/>
      <c r="AN13" s="1836"/>
      <c r="AO13" s="1836"/>
      <c r="AP13" s="1836"/>
    </row>
    <row r="14" spans="1:16382" s="1854" customFormat="1" ht="29.1" customHeight="1">
      <c r="A14" s="1864">
        <v>2025.05</v>
      </c>
      <c r="B14" s="1830">
        <v>15068.066000000001</v>
      </c>
      <c r="C14" s="1831">
        <v>10163.558000000001</v>
      </c>
      <c r="D14" s="1831">
        <v>5.69</v>
      </c>
      <c r="E14" s="1831">
        <v>3.573</v>
      </c>
      <c r="F14" s="1831">
        <v>11736.550999999999</v>
      </c>
      <c r="G14" s="1831">
        <v>351.11799999999999</v>
      </c>
      <c r="H14" s="1831">
        <v>419.91699999999997</v>
      </c>
      <c r="I14" s="1831">
        <v>3193.6219999999998</v>
      </c>
      <c r="J14" s="1831">
        <v>211.76599999999999</v>
      </c>
      <c r="K14" s="1832">
        <v>41153.860999999997</v>
      </c>
      <c r="L14" s="1864">
        <f t="shared" si="2"/>
        <v>2025.05</v>
      </c>
      <c r="M14" s="1830">
        <v>12060.191000000001</v>
      </c>
      <c r="N14" s="1831">
        <v>15732.321</v>
      </c>
      <c r="O14" s="1831">
        <v>7.5449999999999999</v>
      </c>
      <c r="P14" s="1831">
        <v>15.191000000000001</v>
      </c>
      <c r="Q14" s="1831">
        <v>18475.063999999998</v>
      </c>
      <c r="R14" s="1831">
        <v>480.56700000000001</v>
      </c>
      <c r="S14" s="1831">
        <v>718.06100000000004</v>
      </c>
      <c r="T14" s="1831">
        <v>4328.3680000000004</v>
      </c>
      <c r="U14" s="1831">
        <v>392.041</v>
      </c>
      <c r="V14" s="1832">
        <v>52209.347999999998</v>
      </c>
      <c r="W14" s="633">
        <f t="shared" si="1"/>
        <v>2025.05</v>
      </c>
      <c r="X14" s="1865">
        <v>80.037999999999997</v>
      </c>
      <c r="Y14" s="1834">
        <v>154.791</v>
      </c>
      <c r="Z14" s="1834">
        <v>132.58199999999999</v>
      </c>
      <c r="AA14" s="1834">
        <v>425.12299999999999</v>
      </c>
      <c r="AB14" s="1834">
        <v>157.41499999999999</v>
      </c>
      <c r="AC14" s="1834">
        <v>136.86799999999999</v>
      </c>
      <c r="AD14" s="1834">
        <v>171.001</v>
      </c>
      <c r="AE14" s="1834">
        <v>135.53200000000001</v>
      </c>
      <c r="AF14" s="1834">
        <v>185.12899999999999</v>
      </c>
      <c r="AG14" s="1835">
        <v>126.864</v>
      </c>
      <c r="AH14" s="1852"/>
      <c r="AI14" s="1853"/>
      <c r="AJ14" s="1853"/>
      <c r="AK14" s="1853"/>
      <c r="AL14" s="1853"/>
      <c r="AM14" s="1853"/>
      <c r="AN14" s="1853"/>
      <c r="AO14" s="1853"/>
      <c r="AP14" s="1853"/>
    </row>
    <row r="15" spans="1:16382" s="537" customFormat="1" ht="29.1" customHeight="1">
      <c r="A15" s="1864">
        <v>2025.06</v>
      </c>
      <c r="B15" s="1830">
        <v>14263.22</v>
      </c>
      <c r="C15" s="1831">
        <v>13305.937</v>
      </c>
      <c r="D15" s="1831">
        <v>3.4260000000000002</v>
      </c>
      <c r="E15" s="1831">
        <v>3.3149999999999999</v>
      </c>
      <c r="F15" s="1831">
        <v>11551.235000000001</v>
      </c>
      <c r="G15" s="1831">
        <v>367.11599999999999</v>
      </c>
      <c r="H15" s="1831">
        <v>343.642</v>
      </c>
      <c r="I15" s="1831">
        <v>3033.4870000000001</v>
      </c>
      <c r="J15" s="1831">
        <v>194.90100000000001</v>
      </c>
      <c r="K15" s="1832">
        <v>43066.277999999998</v>
      </c>
      <c r="L15" s="1864">
        <f t="shared" si="2"/>
        <v>2025.06</v>
      </c>
      <c r="M15" s="1830">
        <v>11301.599</v>
      </c>
      <c r="N15" s="1831">
        <v>18882.895</v>
      </c>
      <c r="O15" s="1831">
        <v>4.6829999999999998</v>
      </c>
      <c r="P15" s="1831">
        <v>21.131</v>
      </c>
      <c r="Q15" s="1831">
        <v>18689.151000000002</v>
      </c>
      <c r="R15" s="1831">
        <v>497.60899999999998</v>
      </c>
      <c r="S15" s="1866">
        <v>682.18799999999999</v>
      </c>
      <c r="T15" s="1831">
        <v>3862.3850000000002</v>
      </c>
      <c r="U15" s="1831">
        <v>341.89100000000002</v>
      </c>
      <c r="V15" s="1832">
        <v>54283.531999999999</v>
      </c>
      <c r="W15" s="1864">
        <f t="shared" si="1"/>
        <v>2025.06</v>
      </c>
      <c r="X15" s="1833">
        <v>79.236000000000004</v>
      </c>
      <c r="Y15" s="1834">
        <v>141.91300000000001</v>
      </c>
      <c r="Z15" s="1834">
        <v>136.702</v>
      </c>
      <c r="AA15" s="1834">
        <v>637.47900000000004</v>
      </c>
      <c r="AB15" s="1834">
        <v>161.79400000000001</v>
      </c>
      <c r="AC15" s="1834">
        <v>135.54599999999999</v>
      </c>
      <c r="AD15" s="1834">
        <v>198.517</v>
      </c>
      <c r="AE15" s="1834">
        <v>127.325</v>
      </c>
      <c r="AF15" s="1834">
        <v>175.41800000000001</v>
      </c>
      <c r="AG15" s="1835">
        <v>126.04600000000001</v>
      </c>
      <c r="AH15" s="1863"/>
      <c r="AI15" s="1836"/>
      <c r="AJ15" s="1836"/>
      <c r="AK15" s="1836"/>
      <c r="AL15" s="1836"/>
      <c r="AM15" s="1836"/>
      <c r="AN15" s="1836"/>
      <c r="AO15" s="1836"/>
      <c r="AP15" s="1836"/>
    </row>
    <row r="16" spans="1:16382" s="537" customFormat="1" ht="29.1" customHeight="1">
      <c r="A16" s="1864">
        <v>2025.07</v>
      </c>
      <c r="B16" s="1830">
        <v>14412.816000000001</v>
      </c>
      <c r="C16" s="1831">
        <v>19359.885999999999</v>
      </c>
      <c r="D16" s="1831">
        <v>122.611</v>
      </c>
      <c r="E16" s="1831">
        <v>5.7140000000000004</v>
      </c>
      <c r="F16" s="1831">
        <v>13909.583000000001</v>
      </c>
      <c r="G16" s="1831">
        <v>225.62200000000001</v>
      </c>
      <c r="H16" s="1831">
        <v>345.11900000000003</v>
      </c>
      <c r="I16" s="1831">
        <v>3276.0349999999999</v>
      </c>
      <c r="J16" s="1831">
        <v>196.31899999999999</v>
      </c>
      <c r="K16" s="1832">
        <v>51853.703999999998</v>
      </c>
      <c r="L16" s="1864">
        <f t="shared" si="2"/>
        <v>2025.07</v>
      </c>
      <c r="M16" s="1830">
        <v>11952.878000000001</v>
      </c>
      <c r="N16" s="1831">
        <v>28087.767</v>
      </c>
      <c r="O16" s="1831">
        <v>166.233</v>
      </c>
      <c r="P16" s="1831">
        <v>38.658999999999999</v>
      </c>
      <c r="Q16" s="1831">
        <v>23796.851999999999</v>
      </c>
      <c r="R16" s="1831">
        <v>329.71800000000002</v>
      </c>
      <c r="S16" s="1831">
        <v>798.79700000000003</v>
      </c>
      <c r="T16" s="1831">
        <v>4358.9769999999999</v>
      </c>
      <c r="U16" s="1831">
        <v>474.47800000000001</v>
      </c>
      <c r="V16" s="1832">
        <v>70004.357999999993</v>
      </c>
      <c r="W16" s="633">
        <f t="shared" si="1"/>
        <v>2025.07</v>
      </c>
      <c r="X16" s="1833">
        <v>82.932000000000002</v>
      </c>
      <c r="Y16" s="1834">
        <v>145.08199999999999</v>
      </c>
      <c r="Z16" s="1834">
        <v>135.577</v>
      </c>
      <c r="AA16" s="1834">
        <v>676.58900000000006</v>
      </c>
      <c r="AB16" s="1834">
        <v>171.08199999999999</v>
      </c>
      <c r="AC16" s="1834">
        <v>146.137</v>
      </c>
      <c r="AD16" s="1834">
        <v>231.45500000000001</v>
      </c>
      <c r="AE16" s="1834">
        <v>133.05699999999999</v>
      </c>
      <c r="AF16" s="1834">
        <v>241.68700000000001</v>
      </c>
      <c r="AG16" s="1835">
        <v>135.00399999999999</v>
      </c>
      <c r="AH16" s="1863"/>
      <c r="AI16" s="1836"/>
      <c r="AJ16" s="1836"/>
      <c r="AK16" s="1836"/>
      <c r="AL16" s="1836"/>
      <c r="AM16" s="1836"/>
      <c r="AN16" s="1836"/>
      <c r="AO16" s="1836"/>
      <c r="AP16" s="1836"/>
    </row>
    <row r="17" spans="1:43" s="537" customFormat="1" ht="29.1" customHeight="1">
      <c r="A17" s="1864">
        <v>2025.08</v>
      </c>
      <c r="B17" s="1830">
        <v>13283.527</v>
      </c>
      <c r="C17" s="1831">
        <v>19983.421999999999</v>
      </c>
      <c r="D17" s="1831">
        <v>117.77800000000001</v>
      </c>
      <c r="E17" s="1831">
        <v>9.0169999999999995</v>
      </c>
      <c r="F17" s="1831">
        <v>14774.86</v>
      </c>
      <c r="G17" s="1831">
        <v>234.91</v>
      </c>
      <c r="H17" s="1831">
        <v>295.06200000000001</v>
      </c>
      <c r="I17" s="1831">
        <v>3228.692</v>
      </c>
      <c r="J17" s="1831">
        <v>196.56</v>
      </c>
      <c r="K17" s="1832">
        <v>52123.826999999997</v>
      </c>
      <c r="L17" s="1864">
        <f t="shared" si="2"/>
        <v>2025.08</v>
      </c>
      <c r="M17" s="1830">
        <v>10723.286</v>
      </c>
      <c r="N17" s="1831">
        <v>27811.205999999998</v>
      </c>
      <c r="O17" s="1831">
        <v>155.316</v>
      </c>
      <c r="P17" s="1831">
        <v>50.436</v>
      </c>
      <c r="Q17" s="1831">
        <v>24319.776999999998</v>
      </c>
      <c r="R17" s="1831">
        <v>332.96100000000001</v>
      </c>
      <c r="S17" s="1831">
        <v>711.43200000000002</v>
      </c>
      <c r="T17" s="1831">
        <v>4323.1490000000003</v>
      </c>
      <c r="U17" s="1831">
        <v>389.01</v>
      </c>
      <c r="V17" s="1832">
        <v>68816.572</v>
      </c>
      <c r="W17" s="633">
        <f t="shared" si="1"/>
        <v>2025.08</v>
      </c>
      <c r="X17" s="1833">
        <v>80.725999999999999</v>
      </c>
      <c r="Y17" s="1834">
        <v>139.17099999999999</v>
      </c>
      <c r="Z17" s="1834">
        <v>131.87100000000001</v>
      </c>
      <c r="AA17" s="1834">
        <v>559.31500000000005</v>
      </c>
      <c r="AB17" s="1834">
        <v>164.602</v>
      </c>
      <c r="AC17" s="1834">
        <v>141.739</v>
      </c>
      <c r="AD17" s="1834">
        <v>241.113</v>
      </c>
      <c r="AE17" s="1834">
        <v>133.898</v>
      </c>
      <c r="AF17" s="1834">
        <v>197.90899999999999</v>
      </c>
      <c r="AG17" s="1835">
        <v>132.02500000000001</v>
      </c>
      <c r="AH17" s="1863"/>
      <c r="AI17" s="1836"/>
      <c r="AJ17" s="1836"/>
      <c r="AK17" s="1836"/>
      <c r="AL17" s="1836"/>
      <c r="AM17" s="1836"/>
      <c r="AN17" s="1836"/>
      <c r="AO17" s="1836"/>
      <c r="AP17" s="1836"/>
    </row>
    <row r="18" spans="1:43" s="1854" customFormat="1" ht="29.1" customHeight="1">
      <c r="A18" s="1864">
        <v>2025.09</v>
      </c>
      <c r="B18" s="1830">
        <v>13446.736000000001</v>
      </c>
      <c r="C18" s="1831">
        <v>18014.173999999999</v>
      </c>
      <c r="D18" s="1831">
        <v>89.441000000000003</v>
      </c>
      <c r="E18" s="1831">
        <v>51.414999999999999</v>
      </c>
      <c r="F18" s="1831">
        <v>11315.236999999999</v>
      </c>
      <c r="G18" s="1831">
        <v>329.101</v>
      </c>
      <c r="H18" s="1831">
        <v>292.79899999999998</v>
      </c>
      <c r="I18" s="1831">
        <v>2698.7930000000001</v>
      </c>
      <c r="J18" s="1831">
        <v>173.21199999999999</v>
      </c>
      <c r="K18" s="1832">
        <v>46410.906999999999</v>
      </c>
      <c r="L18" s="1864">
        <f t="shared" si="2"/>
        <v>2025.09</v>
      </c>
      <c r="M18" s="1830">
        <v>9880.7759999999998</v>
      </c>
      <c r="N18" s="1831">
        <v>23482.366000000002</v>
      </c>
      <c r="O18" s="1831">
        <v>103.623</v>
      </c>
      <c r="P18" s="1831">
        <v>226.506</v>
      </c>
      <c r="Q18" s="1831">
        <v>18844.076000000001</v>
      </c>
      <c r="R18" s="1831">
        <v>433.31900000000002</v>
      </c>
      <c r="S18" s="1831">
        <v>638.38099999999997</v>
      </c>
      <c r="T18" s="1831">
        <v>3471.4290000000001</v>
      </c>
      <c r="U18" s="1831">
        <v>438.435</v>
      </c>
      <c r="V18" s="1832">
        <v>57518.91</v>
      </c>
      <c r="W18" s="633">
        <f t="shared" si="1"/>
        <v>2025.09</v>
      </c>
      <c r="X18" s="1833">
        <v>73.480999999999995</v>
      </c>
      <c r="Y18" s="1834">
        <v>130.35499999999999</v>
      </c>
      <c r="Z18" s="1834">
        <v>115.85599999999999</v>
      </c>
      <c r="AA18" s="1834">
        <v>440.548</v>
      </c>
      <c r="AB18" s="1834">
        <v>166.53700000000001</v>
      </c>
      <c r="AC18" s="1834">
        <v>131.66800000000001</v>
      </c>
      <c r="AD18" s="1834">
        <v>218.02699999999999</v>
      </c>
      <c r="AE18" s="1834">
        <v>128.62899999999999</v>
      </c>
      <c r="AF18" s="1834">
        <v>253.12</v>
      </c>
      <c r="AG18" s="1835">
        <v>123.934</v>
      </c>
      <c r="AH18" s="1853"/>
      <c r="AI18" s="1853"/>
      <c r="AJ18" s="1853"/>
      <c r="AK18" s="1853"/>
      <c r="AL18" s="1853"/>
      <c r="AM18" s="1853"/>
      <c r="AN18" s="1853"/>
      <c r="AO18" s="1853"/>
    </row>
    <row r="19" spans="1:43" s="1854" customFormat="1" ht="29.1" customHeight="1">
      <c r="A19" s="1864">
        <v>2025.1</v>
      </c>
      <c r="B19" s="1830">
        <v>12976.349</v>
      </c>
      <c r="C19" s="1831">
        <v>12757.834000000001</v>
      </c>
      <c r="D19" s="1831">
        <v>85.036000000000001</v>
      </c>
      <c r="E19" s="1831">
        <v>3.867</v>
      </c>
      <c r="F19" s="1831">
        <v>11856.915999999999</v>
      </c>
      <c r="G19" s="1831">
        <v>508.57900000000001</v>
      </c>
      <c r="H19" s="1831">
        <v>346.51400000000001</v>
      </c>
      <c r="I19" s="1831">
        <v>2785.9569999999999</v>
      </c>
      <c r="J19" s="1831">
        <v>196.87700000000001</v>
      </c>
      <c r="K19" s="1832">
        <v>41517.928</v>
      </c>
      <c r="L19" s="1864">
        <f t="shared" si="2"/>
        <v>2025.1</v>
      </c>
      <c r="M19" s="1830">
        <v>8121.817</v>
      </c>
      <c r="N19" s="1831">
        <v>15133.415000000001</v>
      </c>
      <c r="O19" s="1831">
        <v>96.545000000000002</v>
      </c>
      <c r="P19" s="1831">
        <v>14.592000000000001</v>
      </c>
      <c r="Q19" s="1831">
        <v>16751.09</v>
      </c>
      <c r="R19" s="1831">
        <v>571.73</v>
      </c>
      <c r="S19" s="1831">
        <v>575.4</v>
      </c>
      <c r="T19" s="1831">
        <v>3152.6170000000002</v>
      </c>
      <c r="U19" s="1831">
        <v>788.19299999999998</v>
      </c>
      <c r="V19" s="1832">
        <v>45205.398000000001</v>
      </c>
      <c r="W19" s="1864">
        <f t="shared" si="1"/>
        <v>2025.1</v>
      </c>
      <c r="X19" s="1833">
        <v>62.588999999999999</v>
      </c>
      <c r="Y19" s="1834">
        <v>118.621</v>
      </c>
      <c r="Z19" s="1834">
        <v>113.53400000000001</v>
      </c>
      <c r="AA19" s="1834">
        <v>377.39</v>
      </c>
      <c r="AB19" s="1834">
        <v>141.27699999999999</v>
      </c>
      <c r="AC19" s="1834">
        <v>112.417</v>
      </c>
      <c r="AD19" s="1834">
        <v>166.054</v>
      </c>
      <c r="AE19" s="1834">
        <v>113.161</v>
      </c>
      <c r="AF19" s="1834">
        <v>400.34800000000001</v>
      </c>
      <c r="AG19" s="1835">
        <v>108.88200000000001</v>
      </c>
      <c r="AH19" s="1836"/>
      <c r="AI19" s="1836"/>
      <c r="AJ19" s="1836"/>
      <c r="AK19" s="1836"/>
      <c r="AL19" s="1836"/>
      <c r="AM19" s="1836"/>
      <c r="AN19" s="1836"/>
      <c r="AO19" s="1836"/>
      <c r="AP19" s="537"/>
      <c r="AQ19" s="537"/>
    </row>
    <row r="20" spans="1:43" s="537" customFormat="1" ht="29.1" customHeight="1">
      <c r="A20" s="1864">
        <v>2025.11</v>
      </c>
      <c r="B20" s="1830">
        <v>12351.019</v>
      </c>
      <c r="C20" s="1831">
        <v>12622.626</v>
      </c>
      <c r="D20" s="1831">
        <v>228.81100000000001</v>
      </c>
      <c r="E20" s="1831">
        <v>3.79</v>
      </c>
      <c r="F20" s="1831">
        <v>12954.499</v>
      </c>
      <c r="G20" s="1831">
        <v>216.69200000000001</v>
      </c>
      <c r="H20" s="1831">
        <v>368.88799999999998</v>
      </c>
      <c r="I20" s="1831">
        <v>2930.0709999999999</v>
      </c>
      <c r="J20" s="1831">
        <v>245.65299999999999</v>
      </c>
      <c r="K20" s="1832">
        <v>41922.046999999999</v>
      </c>
      <c r="L20" s="1864">
        <f t="shared" si="2"/>
        <v>2025.11</v>
      </c>
      <c r="M20" s="1830">
        <v>8181.6930000000002</v>
      </c>
      <c r="N20" s="1831">
        <v>14892.887000000001</v>
      </c>
      <c r="O20" s="1831">
        <v>237.136</v>
      </c>
      <c r="P20" s="1831">
        <v>22.29</v>
      </c>
      <c r="Q20" s="1831">
        <v>17548.539000000001</v>
      </c>
      <c r="R20" s="1831">
        <v>244.23599999999999</v>
      </c>
      <c r="S20" s="1831">
        <v>629.09</v>
      </c>
      <c r="T20" s="1831">
        <v>3114.3009999999999</v>
      </c>
      <c r="U20" s="1831">
        <v>422.83199999999999</v>
      </c>
      <c r="V20" s="1832">
        <v>45293.004999999997</v>
      </c>
      <c r="W20" s="1864">
        <f t="shared" si="1"/>
        <v>2025.11</v>
      </c>
      <c r="X20" s="1833">
        <v>66.242999999999995</v>
      </c>
      <c r="Y20" s="1834">
        <v>117.986</v>
      </c>
      <c r="Z20" s="1834">
        <v>103.63800000000001</v>
      </c>
      <c r="AA20" s="1834">
        <v>588.15899999999999</v>
      </c>
      <c r="AB20" s="1834">
        <v>135.46299999999999</v>
      </c>
      <c r="AC20" s="1834">
        <v>112.711</v>
      </c>
      <c r="AD20" s="1834">
        <v>170.53700000000001</v>
      </c>
      <c r="AE20" s="1834">
        <v>106.288</v>
      </c>
      <c r="AF20" s="1834">
        <v>172.126</v>
      </c>
      <c r="AG20" s="1835">
        <v>108.041</v>
      </c>
      <c r="AI20" s="1836"/>
      <c r="AJ20" s="1836"/>
      <c r="AK20" s="1836"/>
      <c r="AL20" s="1836"/>
      <c r="AM20" s="1836"/>
      <c r="AN20" s="1836"/>
      <c r="AO20" s="1836"/>
      <c r="AP20" s="1836"/>
    </row>
    <row r="21" spans="1:43" s="537" customFormat="1" ht="29.1" customHeight="1">
      <c r="A21" s="1864">
        <v>2025.12</v>
      </c>
      <c r="B21" s="1830">
        <v>14606.263000000001</v>
      </c>
      <c r="C21" s="1831">
        <v>16331.34</v>
      </c>
      <c r="D21" s="1831">
        <v>221.47200000000001</v>
      </c>
      <c r="E21" s="1831">
        <v>23.550999999999998</v>
      </c>
      <c r="F21" s="1831">
        <v>13176.527</v>
      </c>
      <c r="G21" s="1831">
        <v>178.553</v>
      </c>
      <c r="H21" s="1831">
        <v>331.58100000000002</v>
      </c>
      <c r="I21" s="1831">
        <v>3048.2449999999999</v>
      </c>
      <c r="J21" s="1831">
        <v>269.49900000000002</v>
      </c>
      <c r="K21" s="1832">
        <v>48187.031000000003</v>
      </c>
      <c r="L21" s="1864">
        <f t="shared" si="2"/>
        <v>2025.12</v>
      </c>
      <c r="M21" s="1830">
        <v>14628.645</v>
      </c>
      <c r="N21" s="1831">
        <v>18692.995999999999</v>
      </c>
      <c r="O21" s="1831">
        <v>221.86600000000001</v>
      </c>
      <c r="P21" s="1831">
        <v>58.121000000000002</v>
      </c>
      <c r="Q21" s="1831">
        <v>19720.546999999999</v>
      </c>
      <c r="R21" s="1831">
        <v>208.452</v>
      </c>
      <c r="S21" s="1831">
        <v>717.22400000000005</v>
      </c>
      <c r="T21" s="1831">
        <v>3161.904</v>
      </c>
      <c r="U21" s="1831">
        <v>423.09399999999999</v>
      </c>
      <c r="V21" s="1832">
        <v>57832.85</v>
      </c>
      <c r="W21" s="633">
        <f t="shared" si="1"/>
        <v>2025.12</v>
      </c>
      <c r="X21" s="1833">
        <v>100.15300000000001</v>
      </c>
      <c r="Y21" s="1834">
        <v>114.461</v>
      </c>
      <c r="Z21" s="1834">
        <v>100.178</v>
      </c>
      <c r="AA21" s="1834">
        <v>246.78399999999999</v>
      </c>
      <c r="AB21" s="1834">
        <v>149.66399999999999</v>
      </c>
      <c r="AC21" s="1834">
        <v>116.745</v>
      </c>
      <c r="AD21" s="1834">
        <v>216.30500000000001</v>
      </c>
      <c r="AE21" s="1834">
        <v>103.729</v>
      </c>
      <c r="AF21" s="1834">
        <v>156.99299999999999</v>
      </c>
      <c r="AG21" s="1835">
        <v>120.017</v>
      </c>
      <c r="AI21" s="1836"/>
      <c r="AJ21" s="1836"/>
      <c r="AK21" s="1836"/>
      <c r="AL21" s="1836"/>
      <c r="AM21" s="1836"/>
      <c r="AN21" s="1836"/>
      <c r="AO21" s="1836"/>
      <c r="AP21" s="1836"/>
    </row>
    <row r="22" spans="1:43" s="1854" customFormat="1" ht="29.1" customHeight="1">
      <c r="A22" s="1867" t="s">
        <v>829</v>
      </c>
      <c r="B22" s="1868">
        <v>50488.428999999996</v>
      </c>
      <c r="C22" s="1869">
        <v>51935.675999999999</v>
      </c>
      <c r="D22" s="1869">
        <v>15.073</v>
      </c>
      <c r="E22" s="1869">
        <v>23.37</v>
      </c>
      <c r="F22" s="1869">
        <v>57713.356</v>
      </c>
      <c r="G22" s="1869">
        <v>656.83799999999997</v>
      </c>
      <c r="H22" s="1869">
        <v>1103.348</v>
      </c>
      <c r="I22" s="1869">
        <v>12613.241</v>
      </c>
      <c r="J22" s="1869">
        <v>773.55499999999995</v>
      </c>
      <c r="K22" s="1870">
        <v>175322.88500000001</v>
      </c>
      <c r="L22" s="1867" t="str">
        <f t="shared" si="2"/>
        <v>2026.01~04</v>
      </c>
      <c r="M22" s="1868">
        <v>46894.987999999998</v>
      </c>
      <c r="N22" s="1869">
        <v>67665.36</v>
      </c>
      <c r="O22" s="1869">
        <v>55.750999999999998</v>
      </c>
      <c r="P22" s="1869">
        <v>111.024</v>
      </c>
      <c r="Q22" s="1869">
        <v>85897.953999999998</v>
      </c>
      <c r="R22" s="1869">
        <v>858.928</v>
      </c>
      <c r="S22" s="1869">
        <v>2158.3780000000002</v>
      </c>
      <c r="T22" s="1869">
        <v>14736.115</v>
      </c>
      <c r="U22" s="1869">
        <v>2260.5239999999999</v>
      </c>
      <c r="V22" s="1870">
        <v>220639.02100000001</v>
      </c>
      <c r="W22" s="1867" t="str">
        <f t="shared" si="1"/>
        <v>2026.01~04</v>
      </c>
      <c r="X22" s="1871">
        <v>92.882999999999996</v>
      </c>
      <c r="Y22" s="1872">
        <v>130.28700000000001</v>
      </c>
      <c r="Z22" s="1872">
        <v>369.88600000000002</v>
      </c>
      <c r="AA22" s="1872">
        <v>475.07900000000001</v>
      </c>
      <c r="AB22" s="1872">
        <v>148.83500000000001</v>
      </c>
      <c r="AC22" s="1872">
        <v>130.767</v>
      </c>
      <c r="AD22" s="1872">
        <v>195.62100000000001</v>
      </c>
      <c r="AE22" s="1872">
        <v>116.831</v>
      </c>
      <c r="AF22" s="1872">
        <v>292.22500000000002</v>
      </c>
      <c r="AG22" s="1873">
        <v>125.84699999999999</v>
      </c>
      <c r="AH22" s="1852"/>
      <c r="AI22" s="1853"/>
      <c r="AJ22" s="1853"/>
      <c r="AK22" s="1853"/>
      <c r="AL22" s="1853"/>
      <c r="AM22" s="1853"/>
      <c r="AN22" s="1853"/>
      <c r="AO22" s="1853"/>
      <c r="AP22" s="1853"/>
    </row>
    <row r="23" spans="1:43" s="537" customFormat="1" ht="29.1" customHeight="1">
      <c r="A23" s="1855">
        <v>2026.01</v>
      </c>
      <c r="B23" s="1856">
        <v>13817.994000000001</v>
      </c>
      <c r="C23" s="1857">
        <v>16142.835999999999</v>
      </c>
      <c r="D23" s="1857">
        <v>1E-3</v>
      </c>
      <c r="E23" s="1857">
        <v>8.4410000000000007</v>
      </c>
      <c r="F23" s="1857">
        <v>16789.25</v>
      </c>
      <c r="G23" s="1857">
        <v>170.09200000000001</v>
      </c>
      <c r="H23" s="1857">
        <v>288.221</v>
      </c>
      <c r="I23" s="1857">
        <v>3295.8760000000002</v>
      </c>
      <c r="J23" s="1857">
        <v>237.184</v>
      </c>
      <c r="K23" s="1858">
        <v>50749.896000000001</v>
      </c>
      <c r="L23" s="1855">
        <f t="shared" si="2"/>
        <v>2026.01</v>
      </c>
      <c r="M23" s="1856">
        <v>12557.317999999999</v>
      </c>
      <c r="N23" s="1857">
        <v>20580.374</v>
      </c>
      <c r="O23" s="1857">
        <v>21.843</v>
      </c>
      <c r="P23" s="1857">
        <v>42.097999999999999</v>
      </c>
      <c r="Q23" s="1857">
        <v>25490.66</v>
      </c>
      <c r="R23" s="1857">
        <v>222.36</v>
      </c>
      <c r="S23" s="1857">
        <v>659.71</v>
      </c>
      <c r="T23" s="1857">
        <v>3691.4760000000001</v>
      </c>
      <c r="U23" s="1857">
        <v>762.81100000000004</v>
      </c>
      <c r="V23" s="1858">
        <v>64028.65</v>
      </c>
      <c r="W23" s="1859">
        <f t="shared" si="1"/>
        <v>2026.01</v>
      </c>
      <c r="X23" s="1860">
        <v>90.876999999999995</v>
      </c>
      <c r="Y23" s="1861">
        <v>127.489</v>
      </c>
      <c r="Z23" s="1861" t="s">
        <v>1501</v>
      </c>
      <c r="AA23" s="1861">
        <v>498.702</v>
      </c>
      <c r="AB23" s="1861">
        <v>151.827</v>
      </c>
      <c r="AC23" s="1861">
        <v>130.72900000000001</v>
      </c>
      <c r="AD23" s="1861">
        <v>228.89</v>
      </c>
      <c r="AE23" s="1861">
        <v>112.003</v>
      </c>
      <c r="AF23" s="1861">
        <v>321.61099999999999</v>
      </c>
      <c r="AG23" s="1862">
        <v>126.16500000000001</v>
      </c>
      <c r="AI23" s="1836"/>
      <c r="AJ23" s="1836"/>
      <c r="AK23" s="1836"/>
      <c r="AL23" s="1836"/>
      <c r="AM23" s="1836"/>
      <c r="AN23" s="1836"/>
      <c r="AO23" s="1836"/>
      <c r="AP23" s="1836"/>
    </row>
    <row r="24" spans="1:43" s="1854" customFormat="1" ht="29.1" customHeight="1">
      <c r="A24" s="1874">
        <v>2026.02</v>
      </c>
      <c r="B24" s="1875">
        <v>11378.856</v>
      </c>
      <c r="C24" s="1876">
        <v>13115.067999999999</v>
      </c>
      <c r="D24" s="1876">
        <v>15.068</v>
      </c>
      <c r="E24" s="1876">
        <v>5.7169999999999996</v>
      </c>
      <c r="F24" s="1876">
        <v>13769.401</v>
      </c>
      <c r="G24" s="1876">
        <v>153.78800000000001</v>
      </c>
      <c r="H24" s="1876">
        <v>256.786</v>
      </c>
      <c r="I24" s="1876">
        <v>2942.7910000000002</v>
      </c>
      <c r="J24" s="1876">
        <v>198.97499999999999</v>
      </c>
      <c r="K24" s="1877">
        <v>41836.449999999997</v>
      </c>
      <c r="L24" s="1874">
        <f t="shared" si="2"/>
        <v>2026.02</v>
      </c>
      <c r="M24" s="1875">
        <v>10523.77</v>
      </c>
      <c r="N24" s="1876">
        <v>17485.445</v>
      </c>
      <c r="O24" s="1876">
        <v>33.908000000000001</v>
      </c>
      <c r="P24" s="1876">
        <v>30.411000000000001</v>
      </c>
      <c r="Q24" s="1876">
        <v>20981.095000000001</v>
      </c>
      <c r="R24" s="1876">
        <v>200.81399999999999</v>
      </c>
      <c r="S24" s="1876">
        <v>512.04</v>
      </c>
      <c r="T24" s="1876">
        <v>3423.2919999999999</v>
      </c>
      <c r="U24" s="1876">
        <v>488.64400000000001</v>
      </c>
      <c r="V24" s="1877">
        <v>53679.42</v>
      </c>
      <c r="W24" s="1874">
        <f t="shared" si="1"/>
        <v>2026.02</v>
      </c>
      <c r="X24" s="1878">
        <v>92.484999999999999</v>
      </c>
      <c r="Y24" s="1879">
        <v>133.32300000000001</v>
      </c>
      <c r="Z24" s="1879">
        <v>225.03899999999999</v>
      </c>
      <c r="AA24" s="1879">
        <v>531.98699999999997</v>
      </c>
      <c r="AB24" s="1879">
        <v>152.375</v>
      </c>
      <c r="AC24" s="1879">
        <v>130.57900000000001</v>
      </c>
      <c r="AD24" s="1879">
        <v>199.404</v>
      </c>
      <c r="AE24" s="1879">
        <v>116.328</v>
      </c>
      <c r="AF24" s="1879">
        <v>245.58</v>
      </c>
      <c r="AG24" s="1880">
        <v>128.30799999999999</v>
      </c>
      <c r="AH24" s="1881"/>
      <c r="AI24" s="1882"/>
      <c r="AJ24" s="1853"/>
      <c r="AK24" s="1882"/>
      <c r="AL24" s="1882"/>
      <c r="AM24" s="1853"/>
      <c r="AN24" s="1882"/>
      <c r="AO24" s="1882"/>
      <c r="AP24" s="1853"/>
    </row>
    <row r="25" spans="1:43" s="1854" customFormat="1" ht="29.1" customHeight="1">
      <c r="A25" s="1874">
        <v>2026.03</v>
      </c>
      <c r="B25" s="1875">
        <v>12498.844999999999</v>
      </c>
      <c r="C25" s="1876">
        <v>11989.344999999999</v>
      </c>
      <c r="D25" s="1876">
        <v>0</v>
      </c>
      <c r="E25" s="1876">
        <v>5.4509999999999996</v>
      </c>
      <c r="F25" s="1876">
        <v>14915.35</v>
      </c>
      <c r="G25" s="1876">
        <v>148.65899999999999</v>
      </c>
      <c r="H25" s="1876">
        <v>286.24400000000003</v>
      </c>
      <c r="I25" s="1876">
        <v>3159.578</v>
      </c>
      <c r="J25" s="1876">
        <v>202.05</v>
      </c>
      <c r="K25" s="1877">
        <v>43205.523000000001</v>
      </c>
      <c r="L25" s="1874">
        <f t="shared" si="2"/>
        <v>2026.03</v>
      </c>
      <c r="M25" s="1875">
        <v>11469.902</v>
      </c>
      <c r="N25" s="1876">
        <v>15445.519</v>
      </c>
      <c r="O25" s="1876">
        <v>0</v>
      </c>
      <c r="P25" s="1876">
        <v>24.361999999999998</v>
      </c>
      <c r="Q25" s="1876">
        <v>21287.742999999999</v>
      </c>
      <c r="R25" s="1876">
        <v>194.833</v>
      </c>
      <c r="S25" s="1876">
        <v>518.13</v>
      </c>
      <c r="T25" s="1876">
        <v>3636.8589999999999</v>
      </c>
      <c r="U25" s="1876">
        <v>504.50799999999998</v>
      </c>
      <c r="V25" s="1877">
        <v>53081.855000000003</v>
      </c>
      <c r="W25" s="1874">
        <f t="shared" si="1"/>
        <v>2026.03</v>
      </c>
      <c r="X25" s="1878">
        <v>91.768000000000001</v>
      </c>
      <c r="Y25" s="1879">
        <v>128.827</v>
      </c>
      <c r="Z25" s="1879" t="s">
        <v>1501</v>
      </c>
      <c r="AA25" s="1879">
        <v>446.959</v>
      </c>
      <c r="AB25" s="1879">
        <v>142.72399999999999</v>
      </c>
      <c r="AC25" s="1879">
        <v>131.06</v>
      </c>
      <c r="AD25" s="1879">
        <v>181.01</v>
      </c>
      <c r="AE25" s="1879">
        <v>115.10599999999999</v>
      </c>
      <c r="AF25" s="1879">
        <v>249.69399999999999</v>
      </c>
      <c r="AG25" s="1880">
        <v>122.85899999999999</v>
      </c>
      <c r="AI25" s="1853"/>
      <c r="AJ25" s="1853"/>
      <c r="AK25" s="1853"/>
      <c r="AL25" s="1853"/>
      <c r="AM25" s="1853"/>
      <c r="AN25" s="1853"/>
      <c r="AO25" s="1853"/>
      <c r="AQ25" s="1881"/>
    </row>
    <row r="26" spans="1:43" s="537" customFormat="1" ht="29.1" customHeight="1">
      <c r="A26" s="1883">
        <v>2026.04</v>
      </c>
      <c r="B26" s="1884">
        <v>12792.733</v>
      </c>
      <c r="C26" s="1885">
        <v>10688.427</v>
      </c>
      <c r="D26" s="1885">
        <v>4.0000000000000001E-3</v>
      </c>
      <c r="E26" s="1885">
        <v>3.7610000000000001</v>
      </c>
      <c r="F26" s="1885">
        <v>12239.353999999999</v>
      </c>
      <c r="G26" s="1885">
        <v>184.29900000000001</v>
      </c>
      <c r="H26" s="1885">
        <v>272.09699999999998</v>
      </c>
      <c r="I26" s="1885">
        <v>3214.9949999999999</v>
      </c>
      <c r="J26" s="1885">
        <v>135.345</v>
      </c>
      <c r="K26" s="1886">
        <v>39531.016000000003</v>
      </c>
      <c r="L26" s="1883">
        <f t="shared" si="2"/>
        <v>2026.04</v>
      </c>
      <c r="M26" s="1884">
        <v>12343.998</v>
      </c>
      <c r="N26" s="1885">
        <v>14154.022000000001</v>
      </c>
      <c r="O26" s="1885">
        <v>0</v>
      </c>
      <c r="P26" s="1885">
        <v>14.153</v>
      </c>
      <c r="Q26" s="1885">
        <v>18138.455999999998</v>
      </c>
      <c r="R26" s="1885">
        <v>240.92099999999999</v>
      </c>
      <c r="S26" s="1885">
        <v>468.49799999999999</v>
      </c>
      <c r="T26" s="1885">
        <v>3984.4879999999998</v>
      </c>
      <c r="U26" s="1885">
        <v>504.56</v>
      </c>
      <c r="V26" s="1886">
        <v>49849.095000000001</v>
      </c>
      <c r="W26" s="1883">
        <f t="shared" si="1"/>
        <v>2026.04</v>
      </c>
      <c r="X26" s="1887">
        <v>96.492000000000004</v>
      </c>
      <c r="Y26" s="1888">
        <v>132.42400000000001</v>
      </c>
      <c r="Z26" s="1889">
        <v>0.503</v>
      </c>
      <c r="AA26" s="1888">
        <v>376.315</v>
      </c>
      <c r="AB26" s="1888">
        <v>148.19800000000001</v>
      </c>
      <c r="AC26" s="1888">
        <v>130.72300000000001</v>
      </c>
      <c r="AD26" s="1888">
        <v>172.18100000000001</v>
      </c>
      <c r="AE26" s="1888">
        <v>123.935</v>
      </c>
      <c r="AF26" s="1888">
        <v>372.79599999999999</v>
      </c>
      <c r="AG26" s="1890">
        <v>126.101</v>
      </c>
      <c r="AH26" s="201"/>
      <c r="AI26" s="197"/>
      <c r="AJ26" s="197"/>
      <c r="AK26" s="197"/>
      <c r="AL26" s="197"/>
      <c r="AM26" s="197"/>
      <c r="AN26" s="197"/>
      <c r="AO26" s="197"/>
      <c r="AP26" s="201"/>
      <c r="AQ26" s="1854"/>
    </row>
    <row r="27" spans="1:43" s="1854" customFormat="1" ht="3" customHeight="1">
      <c r="A27" s="1891"/>
      <c r="B27" s="1892"/>
      <c r="C27" s="1892"/>
      <c r="D27" s="1892"/>
      <c r="E27" s="1892"/>
      <c r="F27" s="1892"/>
      <c r="G27" s="1892"/>
      <c r="H27" s="1892"/>
      <c r="I27" s="1892"/>
      <c r="J27" s="1892"/>
      <c r="K27" s="1892"/>
      <c r="L27" s="1891"/>
      <c r="M27" s="1892"/>
      <c r="N27" s="1892"/>
      <c r="O27" s="1892"/>
      <c r="P27" s="1892"/>
      <c r="Q27" s="1892"/>
      <c r="R27" s="1892"/>
      <c r="S27" s="1892"/>
      <c r="T27" s="1892"/>
      <c r="U27" s="1892"/>
      <c r="V27" s="1892"/>
      <c r="W27" s="1891"/>
      <c r="X27" s="1893"/>
      <c r="Y27" s="1893"/>
      <c r="Z27" s="1893"/>
      <c r="AA27" s="1893"/>
      <c r="AB27" s="1893"/>
      <c r="AC27" s="1893"/>
      <c r="AD27" s="1893"/>
      <c r="AE27" s="1893"/>
      <c r="AF27" s="1893"/>
      <c r="AG27" s="1893"/>
      <c r="AH27" s="201"/>
      <c r="AI27" s="197"/>
      <c r="AJ27" s="197"/>
      <c r="AK27" s="197"/>
      <c r="AL27" s="197"/>
      <c r="AM27" s="197"/>
      <c r="AN27" s="197"/>
      <c r="AO27" s="197"/>
      <c r="AP27" s="201"/>
      <c r="AQ27" s="201"/>
    </row>
    <row r="28" spans="1:43" s="201" customFormat="1" ht="12" customHeight="1">
      <c r="A28" s="413" t="s">
        <v>1061</v>
      </c>
      <c r="B28" s="413"/>
      <c r="C28" s="413"/>
      <c r="D28" s="413"/>
      <c r="E28" s="413"/>
      <c r="F28" s="413"/>
      <c r="G28" s="413"/>
      <c r="H28" s="413"/>
      <c r="I28" s="413"/>
      <c r="J28" s="413"/>
      <c r="K28" s="413"/>
      <c r="L28" s="413" t="s">
        <v>1062</v>
      </c>
      <c r="M28" s="413"/>
      <c r="N28" s="413"/>
      <c r="O28" s="413"/>
      <c r="P28" s="413"/>
      <c r="Q28" s="413"/>
      <c r="R28" s="413"/>
      <c r="S28" s="413"/>
      <c r="T28" s="413"/>
      <c r="U28" s="413"/>
      <c r="V28" s="413"/>
      <c r="W28" s="413"/>
      <c r="X28" s="413"/>
      <c r="Y28" s="413"/>
      <c r="Z28" s="413"/>
      <c r="AA28" s="413"/>
      <c r="AB28" s="413"/>
      <c r="AC28" s="413"/>
      <c r="AD28" s="413"/>
      <c r="AE28" s="413"/>
      <c r="AF28" s="413"/>
      <c r="AG28" s="413"/>
      <c r="AH28" s="431"/>
      <c r="AI28" s="1819"/>
      <c r="AJ28" s="1819"/>
      <c r="AK28" s="1819"/>
      <c r="AL28" s="1819"/>
      <c r="AM28" s="1819"/>
      <c r="AN28" s="1819"/>
      <c r="AO28" s="1819"/>
      <c r="AP28" s="431"/>
    </row>
    <row r="29" spans="1:43" s="201" customFormat="1" ht="12" customHeight="1">
      <c r="A29" s="413" t="s">
        <v>1063</v>
      </c>
      <c r="B29" s="413"/>
      <c r="C29" s="413"/>
      <c r="D29" s="413"/>
      <c r="E29" s="413"/>
      <c r="F29" s="413"/>
      <c r="G29" s="413"/>
      <c r="H29" s="413"/>
      <c r="I29" s="413"/>
      <c r="J29" s="413"/>
      <c r="K29" s="413"/>
      <c r="L29" s="1894" t="s">
        <v>1064</v>
      </c>
      <c r="M29" s="1894"/>
      <c r="N29" s="1894"/>
      <c r="O29" s="1894"/>
      <c r="P29" s="1894"/>
      <c r="Q29" s="1894"/>
      <c r="R29" s="1894"/>
      <c r="S29" s="1894"/>
      <c r="T29" s="424"/>
      <c r="U29" s="424"/>
      <c r="V29" s="413"/>
      <c r="W29" s="413"/>
      <c r="X29" s="413"/>
      <c r="Y29" s="413"/>
      <c r="Z29" s="413"/>
      <c r="AA29" s="413"/>
      <c r="AB29" s="413"/>
      <c r="AC29" s="413"/>
      <c r="AD29" s="413"/>
      <c r="AE29" s="413"/>
      <c r="AF29" s="413"/>
      <c r="AG29" s="413"/>
      <c r="AH29" s="431"/>
      <c r="AI29" s="1819"/>
      <c r="AJ29" s="1819"/>
      <c r="AK29" s="1819"/>
      <c r="AL29" s="1819"/>
      <c r="AM29" s="1819"/>
      <c r="AN29" s="1819"/>
      <c r="AO29" s="1819"/>
      <c r="AP29" s="431"/>
      <c r="AQ29" s="431"/>
    </row>
    <row r="30" spans="1:43" ht="12" customHeight="1">
      <c r="A30" s="413"/>
      <c r="I30" s="1895"/>
      <c r="J30" s="1895"/>
      <c r="K30" s="1895"/>
      <c r="L30" s="1894" t="s">
        <v>1065</v>
      </c>
      <c r="M30" s="1894"/>
      <c r="N30" s="1894"/>
      <c r="O30" s="1894"/>
      <c r="P30" s="1894"/>
      <c r="Q30" s="1894"/>
      <c r="R30" s="1894"/>
      <c r="S30" s="1894"/>
      <c r="T30" s="1895"/>
      <c r="U30" s="1895"/>
      <c r="V30" s="1895"/>
      <c r="AE30" s="1896"/>
      <c r="AF30" s="1896"/>
      <c r="AG30" s="1896"/>
    </row>
    <row r="31" spans="1:43" ht="12" customHeight="1">
      <c r="A31" s="413"/>
      <c r="I31" s="1895"/>
      <c r="J31" s="1895"/>
      <c r="K31" s="1895"/>
      <c r="L31" s="424" t="s">
        <v>1066</v>
      </c>
      <c r="M31" s="424"/>
      <c r="N31" s="424"/>
      <c r="O31" s="424"/>
      <c r="P31" s="424"/>
      <c r="Q31" s="424"/>
      <c r="R31" s="424"/>
      <c r="S31" s="424"/>
      <c r="T31" s="1895"/>
      <c r="U31" s="1895"/>
      <c r="V31" s="1895"/>
      <c r="AE31" s="1896"/>
      <c r="AF31" s="1896"/>
      <c r="AG31" s="1896"/>
    </row>
    <row r="32" spans="1:43" ht="12.75" customHeight="1">
      <c r="I32" s="1895"/>
      <c r="J32" s="1895"/>
      <c r="K32" s="1895"/>
      <c r="L32" s="537" t="s">
        <v>1067</v>
      </c>
      <c r="T32" s="1895"/>
      <c r="U32" s="1895"/>
      <c r="V32" s="1895"/>
      <c r="AE32" s="1896"/>
      <c r="AF32" s="1896"/>
      <c r="AG32" s="1896"/>
    </row>
    <row r="35" spans="3:5">
      <c r="C35" s="1897"/>
    </row>
    <row r="36" spans="3:5">
      <c r="C36" s="1897"/>
      <c r="E36" s="1897"/>
    </row>
  </sheetData>
  <mergeCells count="8">
    <mergeCell ref="L29:S29"/>
    <mergeCell ref="L30:S30"/>
    <mergeCell ref="A4:A5"/>
    <mergeCell ref="L4:L5"/>
    <mergeCell ref="W4:W5"/>
    <mergeCell ref="AI4:AJ4"/>
    <mergeCell ref="AK4:AM4"/>
    <mergeCell ref="AN4:AP4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2" firstPageNumber="39" orientation="portrait" useFirstPageNumber="1" r:id="rId1"/>
  <headerFooter differentOddEven="1" scaleWithDoc="0" alignWithMargins="0"/>
  <colBreaks count="2" manualBreakCount="2">
    <brk id="11" max="31" man="1"/>
    <brk id="22" max="31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1B0E-0586-40CD-BB2C-422C9BE9AA9D}">
  <sheetPr>
    <tabColor rgb="FF92D050"/>
  </sheetPr>
  <dimension ref="A1:AB31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1.625" style="12" customWidth="1"/>
    <col min="2" max="9" width="10.25" style="12" customWidth="1"/>
    <col min="10" max="10" width="11.625" style="12" customWidth="1"/>
    <col min="11" max="18" width="10.25" style="12" customWidth="1"/>
    <col min="19" max="19" width="11.625" style="12" customWidth="1"/>
    <col min="20" max="27" width="10.25" style="12" customWidth="1"/>
    <col min="28" max="16384" width="10" style="12"/>
  </cols>
  <sheetData>
    <row r="1" spans="1:28" s="271" customFormat="1" ht="20.25" customHeight="1">
      <c r="A1" s="270" t="s">
        <v>1068</v>
      </c>
      <c r="B1" s="1116"/>
      <c r="J1" s="270" t="s">
        <v>1069</v>
      </c>
      <c r="K1" s="1116"/>
      <c r="S1" s="270" t="s">
        <v>1070</v>
      </c>
      <c r="T1" s="1116"/>
    </row>
    <row r="2" spans="1:28" s="274" customFormat="1" ht="17.25">
      <c r="A2" s="274" t="s">
        <v>1071</v>
      </c>
      <c r="J2" s="274" t="s">
        <v>1072</v>
      </c>
      <c r="S2" s="274" t="s">
        <v>1073</v>
      </c>
    </row>
    <row r="3" spans="1:28" s="271" customFormat="1" ht="15" customHeight="1">
      <c r="A3" s="272"/>
      <c r="B3" s="272"/>
      <c r="C3" s="272"/>
      <c r="D3" s="272"/>
      <c r="E3" s="272"/>
      <c r="F3" s="272"/>
      <c r="G3" s="272"/>
      <c r="I3" s="1388" t="s">
        <v>1074</v>
      </c>
      <c r="J3" s="346"/>
      <c r="K3" s="346"/>
      <c r="L3" s="346"/>
      <c r="M3" s="346"/>
      <c r="N3" s="346"/>
      <c r="O3" s="346"/>
      <c r="P3" s="346"/>
      <c r="R3" s="1388" t="s">
        <v>1075</v>
      </c>
      <c r="S3" s="346"/>
      <c r="T3" s="346"/>
      <c r="U3" s="346"/>
      <c r="V3" s="346"/>
      <c r="W3" s="346"/>
      <c r="X3" s="346"/>
      <c r="Y3" s="346"/>
      <c r="AA3" s="1388" t="s">
        <v>1076</v>
      </c>
    </row>
    <row r="4" spans="1:28" s="613" customFormat="1" ht="27.95" customHeight="1">
      <c r="A4" s="283" t="s">
        <v>1053</v>
      </c>
      <c r="B4" s="1898" t="s">
        <v>1054</v>
      </c>
      <c r="C4" s="618"/>
      <c r="D4" s="618"/>
      <c r="E4" s="618"/>
      <c r="F4" s="618"/>
      <c r="G4" s="618"/>
      <c r="H4" s="1899"/>
      <c r="I4" s="619"/>
      <c r="J4" s="283" t="s">
        <v>1053</v>
      </c>
      <c r="K4" s="1898" t="s">
        <v>1055</v>
      </c>
      <c r="L4" s="618"/>
      <c r="M4" s="618"/>
      <c r="N4" s="618"/>
      <c r="O4" s="618"/>
      <c r="P4" s="618"/>
      <c r="Q4" s="1899"/>
      <c r="R4" s="619"/>
      <c r="S4" s="283" t="s">
        <v>1053</v>
      </c>
      <c r="T4" s="1898" t="s">
        <v>1056</v>
      </c>
      <c r="U4" s="618"/>
      <c r="V4" s="618"/>
      <c r="W4" s="618"/>
      <c r="X4" s="618"/>
      <c r="Y4" s="618"/>
      <c r="Z4" s="1899"/>
      <c r="AA4" s="619"/>
    </row>
    <row r="5" spans="1:28" s="627" customFormat="1" ht="27.95" customHeight="1">
      <c r="A5" s="300"/>
      <c r="B5" s="1900" t="s">
        <v>532</v>
      </c>
      <c r="C5" s="302" t="s">
        <v>1077</v>
      </c>
      <c r="D5" s="302" t="s">
        <v>1078</v>
      </c>
      <c r="E5" s="302" t="s">
        <v>1079</v>
      </c>
      <c r="F5" s="302" t="s">
        <v>1080</v>
      </c>
      <c r="G5" s="623" t="s">
        <v>1081</v>
      </c>
      <c r="H5" s="302" t="s">
        <v>1082</v>
      </c>
      <c r="I5" s="621" t="s">
        <v>1057</v>
      </c>
      <c r="J5" s="300"/>
      <c r="K5" s="1900" t="s">
        <v>532</v>
      </c>
      <c r="L5" s="302" t="s">
        <v>1077</v>
      </c>
      <c r="M5" s="302" t="s">
        <v>1078</v>
      </c>
      <c r="N5" s="302" t="s">
        <v>1079</v>
      </c>
      <c r="O5" s="302" t="s">
        <v>1080</v>
      </c>
      <c r="P5" s="623" t="s">
        <v>1081</v>
      </c>
      <c r="Q5" s="302" t="s">
        <v>1082</v>
      </c>
      <c r="R5" s="621" t="s">
        <v>1057</v>
      </c>
      <c r="S5" s="300"/>
      <c r="T5" s="1900" t="s">
        <v>532</v>
      </c>
      <c r="U5" s="302" t="s">
        <v>1077</v>
      </c>
      <c r="V5" s="302" t="s">
        <v>1078</v>
      </c>
      <c r="W5" s="302" t="s">
        <v>1079</v>
      </c>
      <c r="X5" s="302" t="s">
        <v>1080</v>
      </c>
      <c r="Y5" s="623" t="s">
        <v>1081</v>
      </c>
      <c r="Z5" s="302" t="s">
        <v>1082</v>
      </c>
      <c r="AA5" s="621" t="s">
        <v>1083</v>
      </c>
    </row>
    <row r="6" spans="1:28" s="1498" customFormat="1" ht="29.1" customHeight="1">
      <c r="A6" s="321">
        <v>2020</v>
      </c>
      <c r="B6" s="1901">
        <v>156716.93700000001</v>
      </c>
      <c r="C6" s="1902">
        <v>48677.396999999997</v>
      </c>
      <c r="D6" s="1903">
        <v>46265.184999999998</v>
      </c>
      <c r="E6" s="1903">
        <v>37683.633999999998</v>
      </c>
      <c r="F6" s="1903">
        <v>41433.040999999997</v>
      </c>
      <c r="G6" s="1903">
        <v>43026.739000000001</v>
      </c>
      <c r="H6" s="1903">
        <v>141304.18599999999</v>
      </c>
      <c r="I6" s="1904">
        <v>515107.11800000002</v>
      </c>
      <c r="J6" s="321">
        <f t="shared" ref="J6:J26" si="0">A6</f>
        <v>2020</v>
      </c>
      <c r="K6" s="1901">
        <v>95529.876000000004</v>
      </c>
      <c r="L6" s="1902">
        <v>40471.54</v>
      </c>
      <c r="M6" s="1903">
        <v>41539.523000000001</v>
      </c>
      <c r="N6" s="1903">
        <v>35021.915000000001</v>
      </c>
      <c r="O6" s="1903">
        <v>39458.392999999996</v>
      </c>
      <c r="P6" s="1903">
        <v>39808.440999999999</v>
      </c>
      <c r="Q6" s="1903">
        <v>125805.85799999999</v>
      </c>
      <c r="R6" s="1904">
        <v>417635.54700000002</v>
      </c>
      <c r="S6" s="321">
        <f>A6</f>
        <v>2020</v>
      </c>
      <c r="T6" s="1905">
        <v>60.957000000000001</v>
      </c>
      <c r="U6" s="1906">
        <v>83.141999999999996</v>
      </c>
      <c r="V6" s="1907">
        <v>89.786000000000001</v>
      </c>
      <c r="W6" s="1907">
        <v>92.936999999999998</v>
      </c>
      <c r="X6" s="1907">
        <v>95.233999999999995</v>
      </c>
      <c r="Y6" s="1907">
        <v>92.52</v>
      </c>
      <c r="Z6" s="1907">
        <v>89.031999999999996</v>
      </c>
      <c r="AA6" s="1908">
        <v>81.076999999999998</v>
      </c>
    </row>
    <row r="7" spans="1:28" s="1498" customFormat="1" ht="29.1" customHeight="1">
      <c r="A7" s="321">
        <v>2021</v>
      </c>
      <c r="B7" s="1901">
        <v>154843.239</v>
      </c>
      <c r="C7" s="1902">
        <v>43823.563000000002</v>
      </c>
      <c r="D7" s="1903">
        <v>46202.663</v>
      </c>
      <c r="E7" s="1903">
        <v>44468.646000000001</v>
      </c>
      <c r="F7" s="1903">
        <v>48605.428999999996</v>
      </c>
      <c r="G7" s="1903">
        <v>41529.828999999998</v>
      </c>
      <c r="H7" s="1903">
        <v>156512.122</v>
      </c>
      <c r="I7" s="1904">
        <v>535985.49</v>
      </c>
      <c r="J7" s="321">
        <f t="shared" si="0"/>
        <v>2021</v>
      </c>
      <c r="K7" s="1901">
        <v>90695.082999999999</v>
      </c>
      <c r="L7" s="1902">
        <v>45811.707000000002</v>
      </c>
      <c r="M7" s="1903">
        <v>52494.406000000003</v>
      </c>
      <c r="N7" s="1903">
        <v>48251.6</v>
      </c>
      <c r="O7" s="1903">
        <v>56544.13</v>
      </c>
      <c r="P7" s="1903">
        <v>46037.898999999998</v>
      </c>
      <c r="Q7" s="1903">
        <v>178134.45600000001</v>
      </c>
      <c r="R7" s="1904">
        <v>517969.28200000001</v>
      </c>
      <c r="S7" s="321">
        <f>A7</f>
        <v>2021</v>
      </c>
      <c r="T7" s="1905">
        <v>58.572000000000003</v>
      </c>
      <c r="U7" s="1906">
        <v>104.53700000000001</v>
      </c>
      <c r="V7" s="1907">
        <v>113.61799999999999</v>
      </c>
      <c r="W7" s="1907">
        <v>108.50700000000001</v>
      </c>
      <c r="X7" s="1907">
        <v>116.333</v>
      </c>
      <c r="Y7" s="1907">
        <v>110.855</v>
      </c>
      <c r="Z7" s="1907">
        <v>113.815</v>
      </c>
      <c r="AA7" s="1908">
        <v>96.638999999999996</v>
      </c>
    </row>
    <row r="8" spans="1:28" s="532" customFormat="1" ht="29.1" customHeight="1">
      <c r="A8" s="633">
        <v>2022</v>
      </c>
      <c r="B8" s="1909">
        <v>172345.473</v>
      </c>
      <c r="C8" s="1910">
        <v>42176.586000000003</v>
      </c>
      <c r="D8" s="1910">
        <v>44874.635000000002</v>
      </c>
      <c r="E8" s="1911">
        <v>41292.832999999999</v>
      </c>
      <c r="F8" s="1911">
        <v>49591.699000000001</v>
      </c>
      <c r="G8" s="1911">
        <v>37467.970999999998</v>
      </c>
      <c r="H8" s="1911">
        <v>163083.06</v>
      </c>
      <c r="I8" s="1912">
        <v>550832.25899999996</v>
      </c>
      <c r="J8" s="633">
        <f t="shared" si="0"/>
        <v>2022</v>
      </c>
      <c r="K8" s="1909">
        <v>100937.28</v>
      </c>
      <c r="L8" s="1910">
        <v>71533.304999999993</v>
      </c>
      <c r="M8" s="1910">
        <v>85089.944000000003</v>
      </c>
      <c r="N8" s="1911">
        <v>79406.241999999998</v>
      </c>
      <c r="O8" s="1911">
        <v>91824.429000000004</v>
      </c>
      <c r="P8" s="1911">
        <v>66970.509000000005</v>
      </c>
      <c r="Q8" s="1911">
        <v>353432.20500000002</v>
      </c>
      <c r="R8" s="1912">
        <v>849193.91500000004</v>
      </c>
      <c r="S8" s="633">
        <f>A8</f>
        <v>2022</v>
      </c>
      <c r="T8" s="1833">
        <v>58.567</v>
      </c>
      <c r="U8" s="1913">
        <v>169.60400000000001</v>
      </c>
      <c r="V8" s="1913">
        <v>189.61699999999999</v>
      </c>
      <c r="W8" s="1914">
        <v>192.3</v>
      </c>
      <c r="X8" s="1914">
        <v>185.161</v>
      </c>
      <c r="Y8" s="1914">
        <v>178.74100000000001</v>
      </c>
      <c r="Z8" s="1914">
        <v>216.71899999999999</v>
      </c>
      <c r="AA8" s="1915">
        <v>154.166</v>
      </c>
    </row>
    <row r="9" spans="1:28" s="532" customFormat="1" ht="29.1" customHeight="1">
      <c r="A9" s="321">
        <v>2023</v>
      </c>
      <c r="B9" s="1901">
        <v>176567.514</v>
      </c>
      <c r="C9" s="1902">
        <v>38421.661</v>
      </c>
      <c r="D9" s="1903">
        <v>45099.453999999998</v>
      </c>
      <c r="E9" s="1903">
        <v>39514.216</v>
      </c>
      <c r="F9" s="1903">
        <v>38080.741999999998</v>
      </c>
      <c r="G9" s="1903">
        <v>34046.652000000002</v>
      </c>
      <c r="H9" s="1903">
        <v>172242.503</v>
      </c>
      <c r="I9" s="1904">
        <v>543972.74100000004</v>
      </c>
      <c r="J9" s="321">
        <f t="shared" si="0"/>
        <v>2023</v>
      </c>
      <c r="K9" s="1901">
        <v>105780.364</v>
      </c>
      <c r="L9" s="1902">
        <v>56978.892</v>
      </c>
      <c r="M9" s="1903">
        <v>74683.944000000003</v>
      </c>
      <c r="N9" s="1903">
        <v>67008.994999999995</v>
      </c>
      <c r="O9" s="1903">
        <v>72498.027000000002</v>
      </c>
      <c r="P9" s="1903">
        <v>54401.362000000001</v>
      </c>
      <c r="Q9" s="1903">
        <v>322163.44900000002</v>
      </c>
      <c r="R9" s="1904">
        <v>753515.03099999996</v>
      </c>
      <c r="S9" s="321">
        <f>A9</f>
        <v>2023</v>
      </c>
      <c r="T9" s="1905">
        <v>59.908999999999999</v>
      </c>
      <c r="U9" s="1906">
        <v>148.29900000000001</v>
      </c>
      <c r="V9" s="1907">
        <v>165.59800000000001</v>
      </c>
      <c r="W9" s="1907">
        <v>169.58199999999999</v>
      </c>
      <c r="X9" s="1907">
        <v>190.38</v>
      </c>
      <c r="Y9" s="1907">
        <v>159.785</v>
      </c>
      <c r="Z9" s="1907">
        <v>187.041</v>
      </c>
      <c r="AA9" s="1908">
        <v>138.52099999999999</v>
      </c>
      <c r="AB9" s="1916"/>
    </row>
    <row r="10" spans="1:28" s="532" customFormat="1" ht="29.1" customHeight="1">
      <c r="A10" s="321">
        <v>2024</v>
      </c>
      <c r="B10" s="1901">
        <v>185422.04500000001</v>
      </c>
      <c r="C10" s="1902">
        <v>37231.519</v>
      </c>
      <c r="D10" s="1903">
        <v>43951.052000000003</v>
      </c>
      <c r="E10" s="1903">
        <v>35862.123</v>
      </c>
      <c r="F10" s="1903">
        <v>36068.296000000002</v>
      </c>
      <c r="G10" s="1903">
        <v>33328.413</v>
      </c>
      <c r="H10" s="1903">
        <v>177266.36499999999</v>
      </c>
      <c r="I10" s="1904">
        <v>549129.81299999997</v>
      </c>
      <c r="J10" s="321">
        <f t="shared" si="0"/>
        <v>2024</v>
      </c>
      <c r="K10" s="1901">
        <v>131055.209</v>
      </c>
      <c r="L10" s="1902">
        <v>51575.131999999998</v>
      </c>
      <c r="M10" s="1903">
        <v>68558.827000000005</v>
      </c>
      <c r="N10" s="1903">
        <v>58611.966</v>
      </c>
      <c r="O10" s="1903">
        <v>62177</v>
      </c>
      <c r="P10" s="1903">
        <v>50935.652999999998</v>
      </c>
      <c r="Q10" s="1903">
        <v>283661.25</v>
      </c>
      <c r="R10" s="1904">
        <v>706575.03700000001</v>
      </c>
      <c r="S10" s="321">
        <f>A10</f>
        <v>2024</v>
      </c>
      <c r="T10" s="1905">
        <v>70.679000000000002</v>
      </c>
      <c r="U10" s="1906">
        <v>138.52500000000001</v>
      </c>
      <c r="V10" s="1907">
        <v>155.989</v>
      </c>
      <c r="W10" s="1907">
        <v>163.43700000000001</v>
      </c>
      <c r="X10" s="1907">
        <v>172.387</v>
      </c>
      <c r="Y10" s="1907">
        <v>152.83000000000001</v>
      </c>
      <c r="Z10" s="1907">
        <v>160.02000000000001</v>
      </c>
      <c r="AA10" s="1908">
        <v>128.672</v>
      </c>
    </row>
    <row r="11" spans="1:28" s="532" customFormat="1" ht="29.1" customHeight="1">
      <c r="A11" s="1917">
        <v>2025</v>
      </c>
      <c r="B11" s="1918">
        <v>181051.342</v>
      </c>
      <c r="C11" s="1919">
        <v>36790.758999999998</v>
      </c>
      <c r="D11" s="1920">
        <v>36468.476999999999</v>
      </c>
      <c r="E11" s="1920">
        <v>35885.394</v>
      </c>
      <c r="F11" s="1920">
        <v>36305.531999999999</v>
      </c>
      <c r="G11" s="1920">
        <v>32568.329000000002</v>
      </c>
      <c r="H11" s="1920">
        <v>186124.826</v>
      </c>
      <c r="I11" s="1921">
        <v>545194.65800000005</v>
      </c>
      <c r="J11" s="1917">
        <f t="shared" si="0"/>
        <v>2025</v>
      </c>
      <c r="K11" s="1918">
        <v>149235.51699999999</v>
      </c>
      <c r="L11" s="1919">
        <v>49273.364999999998</v>
      </c>
      <c r="M11" s="1920">
        <v>54756.063000000002</v>
      </c>
      <c r="N11" s="1920">
        <v>51672.09</v>
      </c>
      <c r="O11" s="1920">
        <v>58609.417000000001</v>
      </c>
      <c r="P11" s="1920">
        <v>47543.71</v>
      </c>
      <c r="Q11" s="1920">
        <v>270548.82500000001</v>
      </c>
      <c r="R11" s="1921">
        <v>681638.98699999996</v>
      </c>
      <c r="S11" s="1917">
        <f t="shared" ref="S11:S26" si="1">J11</f>
        <v>2025</v>
      </c>
      <c r="T11" s="1922">
        <v>82.427000000000007</v>
      </c>
      <c r="U11" s="1923">
        <v>133.929</v>
      </c>
      <c r="V11" s="1924">
        <v>150.14599999999999</v>
      </c>
      <c r="W11" s="1924">
        <v>143.99199999999999</v>
      </c>
      <c r="X11" s="1924">
        <v>161.434</v>
      </c>
      <c r="Y11" s="1924">
        <v>145.98099999999999</v>
      </c>
      <c r="Z11" s="1924">
        <v>145.35900000000001</v>
      </c>
      <c r="AA11" s="1925">
        <v>125.027</v>
      </c>
    </row>
    <row r="12" spans="1:28" s="532" customFormat="1" ht="29.1" customHeight="1">
      <c r="A12" s="336" t="s">
        <v>828</v>
      </c>
      <c r="B12" s="1901">
        <v>66545.512000000002</v>
      </c>
      <c r="C12" s="1902">
        <v>11738.828</v>
      </c>
      <c r="D12" s="1903">
        <v>10315.892</v>
      </c>
      <c r="E12" s="1903">
        <v>8774.8289999999997</v>
      </c>
      <c r="F12" s="1903">
        <v>9377.2049999999999</v>
      </c>
      <c r="G12" s="1903">
        <v>8993.6839999999993</v>
      </c>
      <c r="H12" s="1903">
        <v>63213.124000000003</v>
      </c>
      <c r="I12" s="1904">
        <v>178959.07399999999</v>
      </c>
      <c r="J12" s="336" t="str">
        <f t="shared" si="0"/>
        <v>2025.01~04</v>
      </c>
      <c r="K12" s="1901">
        <v>55224.533000000003</v>
      </c>
      <c r="L12" s="1902">
        <v>16403.074000000001</v>
      </c>
      <c r="M12" s="1903">
        <v>17026.637999999999</v>
      </c>
      <c r="N12" s="1903">
        <v>14394.191000000001</v>
      </c>
      <c r="O12" s="1903">
        <v>17163.827000000001</v>
      </c>
      <c r="P12" s="1903">
        <v>14553.93</v>
      </c>
      <c r="Q12" s="1903">
        <v>95708.822</v>
      </c>
      <c r="R12" s="1904">
        <v>230475.01500000001</v>
      </c>
      <c r="S12" s="336" t="str">
        <f t="shared" si="1"/>
        <v>2025.01~04</v>
      </c>
      <c r="T12" s="1905">
        <v>82.988</v>
      </c>
      <c r="U12" s="1906">
        <v>139.733</v>
      </c>
      <c r="V12" s="1907">
        <v>165.05199999999999</v>
      </c>
      <c r="W12" s="1907">
        <v>164.04</v>
      </c>
      <c r="X12" s="1907">
        <v>183.03800000000001</v>
      </c>
      <c r="Y12" s="1907">
        <v>161.82400000000001</v>
      </c>
      <c r="Z12" s="1907">
        <v>151.40700000000001</v>
      </c>
      <c r="AA12" s="1908">
        <v>128.786</v>
      </c>
    </row>
    <row r="13" spans="1:28" s="1498" customFormat="1" ht="29.1" customHeight="1">
      <c r="A13" s="337">
        <v>2025.04</v>
      </c>
      <c r="B13" s="1926">
        <v>15671.115</v>
      </c>
      <c r="C13" s="1927">
        <v>2624.1329999999998</v>
      </c>
      <c r="D13" s="1928">
        <v>1588.375</v>
      </c>
      <c r="E13" s="1928">
        <v>1739.7049999999999</v>
      </c>
      <c r="F13" s="1928">
        <v>2156.826</v>
      </c>
      <c r="G13" s="1928">
        <v>1636.7190000000001</v>
      </c>
      <c r="H13" s="1928">
        <v>14905.540999999999</v>
      </c>
      <c r="I13" s="1929">
        <v>40322.413999999997</v>
      </c>
      <c r="J13" s="337">
        <f t="shared" si="0"/>
        <v>2025.04</v>
      </c>
      <c r="K13" s="1926">
        <v>12958.606</v>
      </c>
      <c r="L13" s="1927">
        <v>3755.297</v>
      </c>
      <c r="M13" s="1928">
        <v>2664.5770000000002</v>
      </c>
      <c r="N13" s="1928">
        <v>2856.9850000000001</v>
      </c>
      <c r="O13" s="1928">
        <v>3759.54</v>
      </c>
      <c r="P13" s="1928">
        <v>2819.069</v>
      </c>
      <c r="Q13" s="1928">
        <v>22575.681</v>
      </c>
      <c r="R13" s="1929">
        <v>51389.756999999998</v>
      </c>
      <c r="S13" s="337">
        <f t="shared" si="1"/>
        <v>2025.04</v>
      </c>
      <c r="T13" s="1930">
        <v>82.691000000000003</v>
      </c>
      <c r="U13" s="1931">
        <v>143.10599999999999</v>
      </c>
      <c r="V13" s="1932">
        <v>167.755</v>
      </c>
      <c r="W13" s="1932">
        <v>164.22200000000001</v>
      </c>
      <c r="X13" s="1932">
        <v>174.309</v>
      </c>
      <c r="Y13" s="1932">
        <v>172.239</v>
      </c>
      <c r="Z13" s="1932">
        <v>151.458</v>
      </c>
      <c r="AA13" s="1933">
        <v>127.447</v>
      </c>
    </row>
    <row r="14" spans="1:28" s="1498" customFormat="1" ht="29.1" customHeight="1">
      <c r="A14" s="336">
        <v>2025.05</v>
      </c>
      <c r="B14" s="1901">
        <v>15668.114</v>
      </c>
      <c r="C14" s="1902">
        <v>3082.6419999999998</v>
      </c>
      <c r="D14" s="1903">
        <v>2128.5149999999999</v>
      </c>
      <c r="E14" s="1903">
        <v>2357.9389999999999</v>
      </c>
      <c r="F14" s="1903">
        <v>2878.3029999999999</v>
      </c>
      <c r="G14" s="1903">
        <v>1887.46</v>
      </c>
      <c r="H14" s="1903">
        <v>13150.888999999999</v>
      </c>
      <c r="I14" s="1904">
        <v>41153.860999999997</v>
      </c>
      <c r="J14" s="336">
        <f t="shared" si="0"/>
        <v>2025.05</v>
      </c>
      <c r="K14" s="1901">
        <v>13021.671</v>
      </c>
      <c r="L14" s="1902">
        <v>4356.2070000000003</v>
      </c>
      <c r="M14" s="1903">
        <v>3370.8670000000002</v>
      </c>
      <c r="N14" s="1903">
        <v>3798.4340000000002</v>
      </c>
      <c r="O14" s="1903">
        <v>4773.558</v>
      </c>
      <c r="P14" s="1903">
        <v>3165.9960000000001</v>
      </c>
      <c r="Q14" s="1903">
        <v>19722.615000000002</v>
      </c>
      <c r="R14" s="1904">
        <v>52209.347999999998</v>
      </c>
      <c r="S14" s="336">
        <f t="shared" si="1"/>
        <v>2025.05</v>
      </c>
      <c r="T14" s="1905">
        <v>83.108999999999995</v>
      </c>
      <c r="U14" s="1906">
        <v>141.31399999999999</v>
      </c>
      <c r="V14" s="1907">
        <v>158.36699999999999</v>
      </c>
      <c r="W14" s="1907">
        <v>161.09100000000001</v>
      </c>
      <c r="X14" s="1907">
        <v>165.846</v>
      </c>
      <c r="Y14" s="1907">
        <v>167.738</v>
      </c>
      <c r="Z14" s="1907">
        <v>149.97200000000001</v>
      </c>
      <c r="AA14" s="1908">
        <v>126.864</v>
      </c>
      <c r="AB14" s="1934"/>
    </row>
    <row r="15" spans="1:28" s="532" customFormat="1" ht="29.1" customHeight="1">
      <c r="A15" s="336">
        <v>2025.06</v>
      </c>
      <c r="B15" s="1901">
        <v>14797.039000000001</v>
      </c>
      <c r="C15" s="1902">
        <v>2965.2109999999998</v>
      </c>
      <c r="D15" s="1903">
        <v>2809.69</v>
      </c>
      <c r="E15" s="1903">
        <v>2788.06</v>
      </c>
      <c r="F15" s="1903">
        <v>2700.8870000000002</v>
      </c>
      <c r="G15" s="1903">
        <v>2222.5259999999998</v>
      </c>
      <c r="H15" s="1903">
        <v>14782.864</v>
      </c>
      <c r="I15" s="1904">
        <v>43066.277999999998</v>
      </c>
      <c r="J15" s="336">
        <f t="shared" si="0"/>
        <v>2025.06</v>
      </c>
      <c r="K15" s="1901">
        <v>12236.446</v>
      </c>
      <c r="L15" s="1902">
        <v>4050.39</v>
      </c>
      <c r="M15" s="1903">
        <v>4219.817</v>
      </c>
      <c r="N15" s="1903">
        <v>4138.2219999999998</v>
      </c>
      <c r="O15" s="1903">
        <v>4355.701</v>
      </c>
      <c r="P15" s="1903">
        <v>3459.578</v>
      </c>
      <c r="Q15" s="1903">
        <v>21823.377</v>
      </c>
      <c r="R15" s="1904">
        <v>54283.531999999999</v>
      </c>
      <c r="S15" s="336">
        <f t="shared" si="1"/>
        <v>2025.06</v>
      </c>
      <c r="T15" s="1905">
        <v>82.694999999999993</v>
      </c>
      <c r="U15" s="1906">
        <v>136.59700000000001</v>
      </c>
      <c r="V15" s="1907">
        <v>150.18799999999999</v>
      </c>
      <c r="W15" s="1907">
        <v>148.42699999999999</v>
      </c>
      <c r="X15" s="1907">
        <v>161.26900000000001</v>
      </c>
      <c r="Y15" s="1907">
        <v>155.66</v>
      </c>
      <c r="Z15" s="1907">
        <v>147.626</v>
      </c>
      <c r="AA15" s="1908">
        <v>126.04600000000001</v>
      </c>
    </row>
    <row r="16" spans="1:28" s="532" customFormat="1" ht="29.1" customHeight="1">
      <c r="A16" s="336">
        <v>2025.07</v>
      </c>
      <c r="B16" s="1901">
        <v>14904.388999999999</v>
      </c>
      <c r="C16" s="1902">
        <v>3908.7139999999999</v>
      </c>
      <c r="D16" s="1903">
        <v>4012.5239999999999</v>
      </c>
      <c r="E16" s="1903">
        <v>4114.5039999999999</v>
      </c>
      <c r="F16" s="1903">
        <v>4106.2039999999997</v>
      </c>
      <c r="G16" s="1903">
        <v>3366.8560000000002</v>
      </c>
      <c r="H16" s="1903">
        <v>17440.512999999999</v>
      </c>
      <c r="I16" s="1904">
        <v>51853.703999999998</v>
      </c>
      <c r="J16" s="336">
        <f t="shared" si="0"/>
        <v>2025.07</v>
      </c>
      <c r="K16" s="1901">
        <v>12951.983</v>
      </c>
      <c r="L16" s="1902">
        <v>5642.8969999999999</v>
      </c>
      <c r="M16" s="1903">
        <v>6337.4470000000001</v>
      </c>
      <c r="N16" s="1903">
        <v>6215.7619999999997</v>
      </c>
      <c r="O16" s="1903">
        <v>6656.3789999999999</v>
      </c>
      <c r="P16" s="1903">
        <v>5289.0240000000003</v>
      </c>
      <c r="Q16" s="1903">
        <v>26910.866000000002</v>
      </c>
      <c r="R16" s="1904">
        <v>70004.357999999993</v>
      </c>
      <c r="S16" s="336">
        <f t="shared" si="1"/>
        <v>2025.07</v>
      </c>
      <c r="T16" s="1905">
        <v>86.9</v>
      </c>
      <c r="U16" s="1906">
        <v>144.36699999999999</v>
      </c>
      <c r="V16" s="1907">
        <v>157.94200000000001</v>
      </c>
      <c r="W16" s="1907">
        <v>151.07</v>
      </c>
      <c r="X16" s="1907">
        <v>162.10499999999999</v>
      </c>
      <c r="Y16" s="1907">
        <v>157.09100000000001</v>
      </c>
      <c r="Z16" s="1907">
        <v>154.30099999999999</v>
      </c>
      <c r="AA16" s="1908">
        <v>135.00399999999999</v>
      </c>
      <c r="AB16" s="1935"/>
    </row>
    <row r="17" spans="1:27" s="532" customFormat="1" ht="29.1" customHeight="1">
      <c r="A17" s="336">
        <v>2025.08</v>
      </c>
      <c r="B17" s="1901">
        <v>13728.842000000001</v>
      </c>
      <c r="C17" s="1902">
        <v>3771.21</v>
      </c>
      <c r="D17" s="1903">
        <v>4397.0200000000004</v>
      </c>
      <c r="E17" s="1903">
        <v>4215.8050000000003</v>
      </c>
      <c r="F17" s="1903">
        <v>4467.0889999999999</v>
      </c>
      <c r="G17" s="1903">
        <v>3772.9250000000002</v>
      </c>
      <c r="H17" s="1903">
        <v>17770.937000000002</v>
      </c>
      <c r="I17" s="1904">
        <v>52123.826999999997</v>
      </c>
      <c r="J17" s="336">
        <f t="shared" si="0"/>
        <v>2025.08</v>
      </c>
      <c r="K17" s="1901">
        <v>11634.289000000001</v>
      </c>
      <c r="L17" s="1902">
        <v>5247.982</v>
      </c>
      <c r="M17" s="1903">
        <v>6665.3429999999998</v>
      </c>
      <c r="N17" s="1903">
        <v>6115.4359999999997</v>
      </c>
      <c r="O17" s="1903">
        <v>7056.9759999999997</v>
      </c>
      <c r="P17" s="1903">
        <v>5537.7849999999999</v>
      </c>
      <c r="Q17" s="1903">
        <v>26558.760999999999</v>
      </c>
      <c r="R17" s="1904">
        <v>68816.572</v>
      </c>
      <c r="S17" s="336">
        <f t="shared" si="1"/>
        <v>2025.08</v>
      </c>
      <c r="T17" s="1905">
        <v>84.742999999999995</v>
      </c>
      <c r="U17" s="1906">
        <v>139.15899999999999</v>
      </c>
      <c r="V17" s="1907">
        <v>151.58799999999999</v>
      </c>
      <c r="W17" s="1907">
        <v>145.06</v>
      </c>
      <c r="X17" s="1907">
        <v>157.977</v>
      </c>
      <c r="Y17" s="1907">
        <v>146.77699999999999</v>
      </c>
      <c r="Z17" s="1907">
        <v>149.45099999999999</v>
      </c>
      <c r="AA17" s="1908">
        <v>132.02500000000001</v>
      </c>
    </row>
    <row r="18" spans="1:27" s="532" customFormat="1" ht="29.1" customHeight="1">
      <c r="A18" s="336">
        <v>2025.09</v>
      </c>
      <c r="B18" s="1901">
        <v>13988.775</v>
      </c>
      <c r="C18" s="1902">
        <v>3430.9450000000002</v>
      </c>
      <c r="D18" s="1903">
        <v>3378.377</v>
      </c>
      <c r="E18" s="1903">
        <v>3586.5459999999998</v>
      </c>
      <c r="F18" s="1903">
        <v>3980.944</v>
      </c>
      <c r="G18" s="1903">
        <v>3386.9720000000002</v>
      </c>
      <c r="H18" s="1903">
        <v>14658.349</v>
      </c>
      <c r="I18" s="1904">
        <v>46410.906999999999</v>
      </c>
      <c r="J18" s="336">
        <f t="shared" si="0"/>
        <v>2025.09</v>
      </c>
      <c r="K18" s="1901">
        <v>10837.413</v>
      </c>
      <c r="L18" s="1902">
        <v>4467.7299999999996</v>
      </c>
      <c r="M18" s="1903">
        <v>4933.1620000000003</v>
      </c>
      <c r="N18" s="1903">
        <v>4875.8540000000003</v>
      </c>
      <c r="O18" s="1903">
        <v>5947.4219999999996</v>
      </c>
      <c r="P18" s="1903">
        <v>4663.5709999999999</v>
      </c>
      <c r="Q18" s="1903">
        <v>21793.758000000002</v>
      </c>
      <c r="R18" s="1904">
        <v>57518.91</v>
      </c>
      <c r="S18" s="336">
        <f t="shared" si="1"/>
        <v>2025.09</v>
      </c>
      <c r="T18" s="1905">
        <v>77.471999999999994</v>
      </c>
      <c r="U18" s="1906">
        <v>130.21899999999999</v>
      </c>
      <c r="V18" s="1907">
        <v>146.02199999999999</v>
      </c>
      <c r="W18" s="1907">
        <v>135.94800000000001</v>
      </c>
      <c r="X18" s="1907">
        <v>149.39699999999999</v>
      </c>
      <c r="Y18" s="1907">
        <v>137.691</v>
      </c>
      <c r="Z18" s="1907">
        <v>148.678</v>
      </c>
      <c r="AA18" s="1908">
        <v>123.934</v>
      </c>
    </row>
    <row r="19" spans="1:27" s="532" customFormat="1" ht="29.1" customHeight="1">
      <c r="A19" s="336">
        <v>2025.1</v>
      </c>
      <c r="B19" s="1901">
        <v>13559.816000000001</v>
      </c>
      <c r="C19" s="1902">
        <v>2424.6999999999998</v>
      </c>
      <c r="D19" s="1903">
        <v>2559.6439999999998</v>
      </c>
      <c r="E19" s="1903">
        <v>2852.431</v>
      </c>
      <c r="F19" s="1903">
        <v>2835.942</v>
      </c>
      <c r="G19" s="1903">
        <v>2900.09</v>
      </c>
      <c r="H19" s="1903">
        <v>14385.306</v>
      </c>
      <c r="I19" s="1904">
        <v>41517.928</v>
      </c>
      <c r="J19" s="336">
        <f t="shared" si="0"/>
        <v>2025.1</v>
      </c>
      <c r="K19" s="1901">
        <v>8958.1820000000007</v>
      </c>
      <c r="L19" s="1902">
        <v>2877.6950000000002</v>
      </c>
      <c r="M19" s="1903">
        <v>3405.9859999999999</v>
      </c>
      <c r="N19" s="1903">
        <v>3640.9</v>
      </c>
      <c r="O19" s="1903">
        <v>3973.7919999999999</v>
      </c>
      <c r="P19" s="1903">
        <v>3542.6179999999999</v>
      </c>
      <c r="Q19" s="1903">
        <v>18806.225999999999</v>
      </c>
      <c r="R19" s="1904">
        <v>45205.398000000001</v>
      </c>
      <c r="S19" s="336">
        <f t="shared" si="1"/>
        <v>2025.1</v>
      </c>
      <c r="T19" s="1905">
        <v>66.063999999999993</v>
      </c>
      <c r="U19" s="1906">
        <v>118.68300000000001</v>
      </c>
      <c r="V19" s="1907">
        <v>133.065</v>
      </c>
      <c r="W19" s="1907">
        <v>127.642</v>
      </c>
      <c r="X19" s="1907">
        <v>140.12200000000001</v>
      </c>
      <c r="Y19" s="1907">
        <v>122.155</v>
      </c>
      <c r="Z19" s="1907">
        <v>130.732</v>
      </c>
      <c r="AA19" s="1908">
        <v>108.88200000000001</v>
      </c>
    </row>
    <row r="20" spans="1:27" s="532" customFormat="1" ht="29.1" customHeight="1">
      <c r="A20" s="336">
        <v>2025.11</v>
      </c>
      <c r="B20" s="1901">
        <v>12828.307000000001</v>
      </c>
      <c r="C20" s="1902">
        <v>2315.5839999999998</v>
      </c>
      <c r="D20" s="1903">
        <v>2955.1239999999998</v>
      </c>
      <c r="E20" s="1903">
        <v>3107.43</v>
      </c>
      <c r="F20" s="1903">
        <v>2696.203</v>
      </c>
      <c r="G20" s="1903">
        <v>2755.645</v>
      </c>
      <c r="H20" s="1903">
        <v>15263.754999999999</v>
      </c>
      <c r="I20" s="1904">
        <v>41922.046999999999</v>
      </c>
      <c r="J20" s="336">
        <f t="shared" si="0"/>
        <v>2025.11</v>
      </c>
      <c r="K20" s="1901">
        <v>8926.0709999999999</v>
      </c>
      <c r="L20" s="1902">
        <v>2656.7089999999998</v>
      </c>
      <c r="M20" s="1903">
        <v>3869.5479999999998</v>
      </c>
      <c r="N20" s="1903">
        <v>3623.904</v>
      </c>
      <c r="O20" s="1903">
        <v>3944.3110000000001</v>
      </c>
      <c r="P20" s="1903">
        <v>3299.8009999999999</v>
      </c>
      <c r="Q20" s="1903">
        <v>18972.661</v>
      </c>
      <c r="R20" s="1904">
        <v>45293.004999999997</v>
      </c>
      <c r="S20" s="336">
        <f t="shared" si="1"/>
        <v>2025.11</v>
      </c>
      <c r="T20" s="1905">
        <v>69.581000000000003</v>
      </c>
      <c r="U20" s="1906">
        <v>114.732</v>
      </c>
      <c r="V20" s="1907">
        <v>130.94399999999999</v>
      </c>
      <c r="W20" s="1907">
        <v>116.621</v>
      </c>
      <c r="X20" s="1907">
        <v>146.291</v>
      </c>
      <c r="Y20" s="1907">
        <v>119.747</v>
      </c>
      <c r="Z20" s="1907">
        <v>124.29900000000001</v>
      </c>
      <c r="AA20" s="1908">
        <v>108.041</v>
      </c>
    </row>
    <row r="21" spans="1:27" s="532" customFormat="1" ht="29.1" customHeight="1">
      <c r="A21" s="336">
        <v>2025.12</v>
      </c>
      <c r="B21" s="1901">
        <v>15030.549000000001</v>
      </c>
      <c r="C21" s="1902">
        <v>3152.9259999999999</v>
      </c>
      <c r="D21" s="1903">
        <v>3911.69</v>
      </c>
      <c r="E21" s="1903">
        <v>4087.8510000000001</v>
      </c>
      <c r="F21" s="1903">
        <v>3262.7539999999999</v>
      </c>
      <c r="G21" s="1903">
        <v>3282.1709999999998</v>
      </c>
      <c r="H21" s="1903">
        <v>15459.09</v>
      </c>
      <c r="I21" s="1904">
        <v>48187.031000000003</v>
      </c>
      <c r="J21" s="336">
        <f t="shared" si="0"/>
        <v>2025.12</v>
      </c>
      <c r="K21" s="1901">
        <v>15444.929</v>
      </c>
      <c r="L21" s="1902">
        <v>3570.681</v>
      </c>
      <c r="M21" s="1903">
        <v>4927.2550000000001</v>
      </c>
      <c r="N21" s="1903">
        <v>4869.3879999999999</v>
      </c>
      <c r="O21" s="1903">
        <v>4737.451</v>
      </c>
      <c r="P21" s="1903">
        <v>4031.4070000000002</v>
      </c>
      <c r="Q21" s="1903">
        <v>20251.739000000001</v>
      </c>
      <c r="R21" s="1904">
        <v>57832.85</v>
      </c>
      <c r="S21" s="336">
        <f t="shared" si="1"/>
        <v>2025.12</v>
      </c>
      <c r="T21" s="1905">
        <v>102.75700000000001</v>
      </c>
      <c r="U21" s="1906">
        <v>113.25</v>
      </c>
      <c r="V21" s="1907">
        <v>125.962</v>
      </c>
      <c r="W21" s="1907">
        <v>119.119</v>
      </c>
      <c r="X21" s="1907">
        <v>145.19800000000001</v>
      </c>
      <c r="Y21" s="1907">
        <v>122.827</v>
      </c>
      <c r="Z21" s="1907">
        <v>131.00200000000001</v>
      </c>
      <c r="AA21" s="1908">
        <v>120.017</v>
      </c>
    </row>
    <row r="22" spans="1:27" s="532" customFormat="1" ht="29.1" customHeight="1">
      <c r="A22" s="1655" t="s">
        <v>829</v>
      </c>
      <c r="B22" s="1936">
        <v>51941.559000000001</v>
      </c>
      <c r="C22" s="1937">
        <v>11628.368</v>
      </c>
      <c r="D22" s="1938">
        <v>12416.181</v>
      </c>
      <c r="E22" s="1938">
        <v>12503.307000000001</v>
      </c>
      <c r="F22" s="1938">
        <v>11762.297</v>
      </c>
      <c r="G22" s="1938">
        <v>11731.579</v>
      </c>
      <c r="H22" s="1938">
        <v>63339.595000000001</v>
      </c>
      <c r="I22" s="1939">
        <v>175322.88500000001</v>
      </c>
      <c r="J22" s="1655" t="str">
        <f t="shared" si="0"/>
        <v>2026.01~04</v>
      </c>
      <c r="K22" s="1936">
        <v>49479.008000000002</v>
      </c>
      <c r="L22" s="1937">
        <v>14804.727000000001</v>
      </c>
      <c r="M22" s="1938">
        <v>17511.947</v>
      </c>
      <c r="N22" s="1938">
        <v>17107.965</v>
      </c>
      <c r="O22" s="1938">
        <v>17706.789000000001</v>
      </c>
      <c r="P22" s="1938">
        <v>16134.754999999999</v>
      </c>
      <c r="Q22" s="1938">
        <v>87893.83</v>
      </c>
      <c r="R22" s="1939">
        <v>220639.02100000001</v>
      </c>
      <c r="S22" s="1655" t="str">
        <f t="shared" si="1"/>
        <v>2026.01~04</v>
      </c>
      <c r="T22" s="1940">
        <v>95.259</v>
      </c>
      <c r="U22" s="1941">
        <v>127.316</v>
      </c>
      <c r="V22" s="1942">
        <v>141.041</v>
      </c>
      <c r="W22" s="1942">
        <v>136.828</v>
      </c>
      <c r="X22" s="1942">
        <v>150.53899999999999</v>
      </c>
      <c r="Y22" s="1942">
        <v>137.53299999999999</v>
      </c>
      <c r="Z22" s="1942">
        <v>138.76599999999999</v>
      </c>
      <c r="AA22" s="1943">
        <v>125.84699999999999</v>
      </c>
    </row>
    <row r="23" spans="1:27" s="532" customFormat="1" ht="29.1" customHeight="1">
      <c r="A23" s="337">
        <v>2026.01</v>
      </c>
      <c r="B23" s="1926">
        <v>14192.06</v>
      </c>
      <c r="C23" s="1927">
        <v>3702.1179999999999</v>
      </c>
      <c r="D23" s="1928">
        <v>4039.404</v>
      </c>
      <c r="E23" s="1928">
        <v>3774.9070000000002</v>
      </c>
      <c r="F23" s="1928">
        <v>3855.5320000000002</v>
      </c>
      <c r="G23" s="1928">
        <v>3696.123</v>
      </c>
      <c r="H23" s="1928">
        <v>17489.751</v>
      </c>
      <c r="I23" s="1929">
        <v>50749.896000000001</v>
      </c>
      <c r="J23" s="337">
        <f t="shared" si="0"/>
        <v>2026.01</v>
      </c>
      <c r="K23" s="1926">
        <v>13319.825999999999</v>
      </c>
      <c r="L23" s="1927">
        <v>4581.99</v>
      </c>
      <c r="M23" s="1928">
        <v>5628.1270000000004</v>
      </c>
      <c r="N23" s="1928">
        <v>5114.9290000000001</v>
      </c>
      <c r="O23" s="1928">
        <v>5769.6809999999996</v>
      </c>
      <c r="P23" s="1928">
        <v>4927.0119999999997</v>
      </c>
      <c r="Q23" s="1928">
        <v>24687.083999999999</v>
      </c>
      <c r="R23" s="1929">
        <v>64028.65</v>
      </c>
      <c r="S23" s="337">
        <f t="shared" si="1"/>
        <v>2026.01</v>
      </c>
      <c r="T23" s="1930">
        <v>93.853999999999999</v>
      </c>
      <c r="U23" s="1931">
        <v>123.767</v>
      </c>
      <c r="V23" s="1932">
        <v>139.33099999999999</v>
      </c>
      <c r="W23" s="1932">
        <v>135.49799999999999</v>
      </c>
      <c r="X23" s="1932">
        <v>149.64699999999999</v>
      </c>
      <c r="Y23" s="1932">
        <v>133.30199999999999</v>
      </c>
      <c r="Z23" s="1932">
        <v>141.15199999999999</v>
      </c>
      <c r="AA23" s="1933">
        <v>126.16500000000001</v>
      </c>
    </row>
    <row r="24" spans="1:27" s="532" customFormat="1" ht="29.1" customHeight="1">
      <c r="A24" s="336">
        <v>2026.02</v>
      </c>
      <c r="B24" s="1901">
        <v>11711.89</v>
      </c>
      <c r="C24" s="1902">
        <v>2715.9780000000001</v>
      </c>
      <c r="D24" s="1903">
        <v>3379.73</v>
      </c>
      <c r="E24" s="1903">
        <v>3048.5590000000002</v>
      </c>
      <c r="F24" s="1903">
        <v>2741.306</v>
      </c>
      <c r="G24" s="1903">
        <v>2983.7260000000001</v>
      </c>
      <c r="H24" s="1903">
        <v>15255.259</v>
      </c>
      <c r="I24" s="1904">
        <v>41836.449999999997</v>
      </c>
      <c r="J24" s="336">
        <f t="shared" si="0"/>
        <v>2026.02</v>
      </c>
      <c r="K24" s="1901">
        <v>11128.14</v>
      </c>
      <c r="L24" s="1902">
        <v>3492.701</v>
      </c>
      <c r="M24" s="1903">
        <v>4872.0479999999998</v>
      </c>
      <c r="N24" s="1903">
        <v>4258.0950000000003</v>
      </c>
      <c r="O24" s="1903">
        <v>4315.0630000000001</v>
      </c>
      <c r="P24" s="1903">
        <v>4224.3850000000002</v>
      </c>
      <c r="Q24" s="1903">
        <v>21388.988000000001</v>
      </c>
      <c r="R24" s="1904">
        <v>53679.42</v>
      </c>
      <c r="S24" s="336">
        <f t="shared" si="1"/>
        <v>2026.02</v>
      </c>
      <c r="T24" s="1905">
        <v>95.016000000000005</v>
      </c>
      <c r="U24" s="1906">
        <v>128.59800000000001</v>
      </c>
      <c r="V24" s="1907">
        <v>144.155</v>
      </c>
      <c r="W24" s="1907">
        <v>139.67599999999999</v>
      </c>
      <c r="X24" s="1907">
        <v>157.40899999999999</v>
      </c>
      <c r="Y24" s="1907">
        <v>141.58099999999999</v>
      </c>
      <c r="Z24" s="1907">
        <v>140.20699999999999</v>
      </c>
      <c r="AA24" s="1908">
        <v>128.30799999999999</v>
      </c>
    </row>
    <row r="25" spans="1:27" s="532" customFormat="1" ht="29.1" customHeight="1">
      <c r="A25" s="336">
        <v>2026.03</v>
      </c>
      <c r="B25" s="1901">
        <v>12868.557000000001</v>
      </c>
      <c r="C25" s="1902">
        <v>2546.402</v>
      </c>
      <c r="D25" s="1903">
        <v>3025.3960000000002</v>
      </c>
      <c r="E25" s="1903">
        <v>2668.1439999999998</v>
      </c>
      <c r="F25" s="1903">
        <v>2716.6759999999999</v>
      </c>
      <c r="G25" s="1903">
        <v>2860.9940000000001</v>
      </c>
      <c r="H25" s="1903">
        <v>16519.352999999999</v>
      </c>
      <c r="I25" s="1904">
        <v>43205.523000000001</v>
      </c>
      <c r="J25" s="336">
        <f t="shared" si="0"/>
        <v>2026.03</v>
      </c>
      <c r="K25" s="1901">
        <v>12087.305</v>
      </c>
      <c r="L25" s="1902">
        <v>3240.5250000000001</v>
      </c>
      <c r="M25" s="1903">
        <v>4191.3019999999997</v>
      </c>
      <c r="N25" s="1903">
        <v>3555.502</v>
      </c>
      <c r="O25" s="1903">
        <v>3994.5309999999999</v>
      </c>
      <c r="P25" s="1903">
        <v>3834.7289999999998</v>
      </c>
      <c r="Q25" s="1903">
        <v>22177.962</v>
      </c>
      <c r="R25" s="1904">
        <v>53081.855000000003</v>
      </c>
      <c r="S25" s="336">
        <f t="shared" si="1"/>
        <v>2026.03</v>
      </c>
      <c r="T25" s="1905">
        <v>93.929000000000002</v>
      </c>
      <c r="U25" s="1906">
        <v>127.259</v>
      </c>
      <c r="V25" s="1907">
        <v>138.53700000000001</v>
      </c>
      <c r="W25" s="1907">
        <v>133.25800000000001</v>
      </c>
      <c r="X25" s="1907">
        <v>147.03700000000001</v>
      </c>
      <c r="Y25" s="1907">
        <v>134.035</v>
      </c>
      <c r="Z25" s="1907">
        <v>134.25399999999999</v>
      </c>
      <c r="AA25" s="1908">
        <v>122.85899999999999</v>
      </c>
    </row>
    <row r="26" spans="1:27" s="1498" customFormat="1" ht="29.1" customHeight="1">
      <c r="A26" s="1614">
        <v>2026.04</v>
      </c>
      <c r="B26" s="1944">
        <v>13169.050999999999</v>
      </c>
      <c r="C26" s="1945">
        <v>2663.87</v>
      </c>
      <c r="D26" s="1946">
        <v>1971.65</v>
      </c>
      <c r="E26" s="1946">
        <v>3011.6970000000001</v>
      </c>
      <c r="F26" s="1946">
        <v>2448.7820000000002</v>
      </c>
      <c r="G26" s="1946">
        <v>2190.7350000000001</v>
      </c>
      <c r="H26" s="1946">
        <v>14075.231</v>
      </c>
      <c r="I26" s="1947">
        <v>39531.016000000003</v>
      </c>
      <c r="J26" s="1614">
        <f t="shared" si="0"/>
        <v>2026.04</v>
      </c>
      <c r="K26" s="1944">
        <v>12943.736999999999</v>
      </c>
      <c r="L26" s="1945">
        <v>3489.511</v>
      </c>
      <c r="M26" s="1946">
        <v>2820.471</v>
      </c>
      <c r="N26" s="1946">
        <v>4179.4380000000001</v>
      </c>
      <c r="O26" s="1946">
        <v>3627.5149999999999</v>
      </c>
      <c r="P26" s="1946">
        <v>3148.6280000000002</v>
      </c>
      <c r="Q26" s="1946">
        <v>19639.794999999998</v>
      </c>
      <c r="R26" s="1947">
        <v>49849.095000000001</v>
      </c>
      <c r="S26" s="1614">
        <f t="shared" si="1"/>
        <v>2026.04</v>
      </c>
      <c r="T26" s="1948">
        <v>98.289000000000001</v>
      </c>
      <c r="U26" s="1949">
        <v>130.994</v>
      </c>
      <c r="V26" s="1950">
        <v>143.05099999999999</v>
      </c>
      <c r="W26" s="1950">
        <v>138.774</v>
      </c>
      <c r="X26" s="1950">
        <v>148.13499999999999</v>
      </c>
      <c r="Y26" s="1950">
        <v>143.72499999999999</v>
      </c>
      <c r="Z26" s="1950">
        <v>139.53399999999999</v>
      </c>
      <c r="AA26" s="1951">
        <v>126.101</v>
      </c>
    </row>
    <row r="27" spans="1:27" s="1498" customFormat="1" ht="3" customHeight="1">
      <c r="A27" s="1952"/>
      <c r="B27" s="1953"/>
      <c r="C27" s="1953"/>
      <c r="D27" s="1953"/>
      <c r="E27" s="1953"/>
      <c r="F27" s="1953"/>
      <c r="G27" s="1953"/>
      <c r="H27" s="1953"/>
      <c r="I27" s="1953"/>
      <c r="J27" s="1952"/>
      <c r="K27" s="1953"/>
      <c r="L27" s="1953"/>
      <c r="M27" s="1953"/>
      <c r="N27" s="1953"/>
      <c r="O27" s="1953"/>
      <c r="P27" s="1953"/>
      <c r="Q27" s="1953"/>
      <c r="R27" s="1953"/>
      <c r="S27" s="1952"/>
      <c r="T27" s="1954"/>
      <c r="U27" s="1954"/>
      <c r="V27" s="1954"/>
      <c r="W27" s="1954"/>
      <c r="X27" s="1954"/>
      <c r="Y27" s="1954"/>
      <c r="Z27" s="1954"/>
      <c r="AA27" s="1954"/>
    </row>
    <row r="28" spans="1:27" s="532" customFormat="1" ht="12" customHeight="1">
      <c r="A28" s="346" t="s">
        <v>1061</v>
      </c>
      <c r="B28" s="346"/>
      <c r="C28" s="346"/>
      <c r="D28" s="346"/>
      <c r="E28" s="346"/>
      <c r="F28" s="346"/>
      <c r="G28" s="346"/>
      <c r="H28" s="346"/>
      <c r="I28" s="346"/>
      <c r="J28" s="346" t="s">
        <v>1084</v>
      </c>
      <c r="K28" s="346"/>
      <c r="L28" s="346"/>
      <c r="M28" s="346"/>
      <c r="N28" s="346"/>
      <c r="O28" s="346" t="s">
        <v>1065</v>
      </c>
      <c r="P28" s="346"/>
      <c r="Q28" s="346"/>
      <c r="R28" s="346"/>
      <c r="S28" s="346"/>
      <c r="T28" s="346"/>
      <c r="U28" s="346"/>
      <c r="V28" s="346"/>
      <c r="W28" s="346"/>
      <c r="X28" s="346"/>
      <c r="Y28" s="346"/>
      <c r="Z28" s="346"/>
      <c r="AA28" s="346"/>
    </row>
    <row r="29" spans="1:27" s="271" customFormat="1" ht="12" customHeight="1">
      <c r="A29" s="346" t="s">
        <v>1085</v>
      </c>
      <c r="B29" s="346"/>
      <c r="C29" s="346"/>
      <c r="D29" s="346"/>
      <c r="E29" s="346"/>
      <c r="F29" s="346"/>
      <c r="G29" s="346"/>
      <c r="H29" s="346"/>
      <c r="I29" s="346"/>
      <c r="J29" s="1955" t="s">
        <v>1064</v>
      </c>
      <c r="K29" s="1955"/>
      <c r="L29" s="1955"/>
      <c r="M29" s="1955"/>
      <c r="N29" s="346"/>
      <c r="O29" s="346" t="s">
        <v>1086</v>
      </c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  <c r="AA29" s="346"/>
    </row>
    <row r="30" spans="1:27" s="271" customFormat="1" ht="12" customHeight="1">
      <c r="A30" s="532"/>
      <c r="B30" s="346"/>
      <c r="C30" s="346"/>
      <c r="D30" s="346"/>
      <c r="E30" s="346"/>
      <c r="F30" s="346"/>
      <c r="G30" s="346"/>
      <c r="H30" s="346"/>
      <c r="I30" s="346"/>
      <c r="J30" s="615"/>
      <c r="K30" s="615"/>
      <c r="L30" s="615"/>
      <c r="M30" s="615"/>
      <c r="N30" s="615"/>
      <c r="O30" s="615"/>
      <c r="P30" s="615"/>
      <c r="Q30" s="615"/>
      <c r="R30" s="615"/>
      <c r="S30" s="346"/>
      <c r="T30" s="346"/>
      <c r="U30" s="346"/>
      <c r="V30" s="346"/>
      <c r="W30" s="346"/>
      <c r="X30" s="346"/>
      <c r="Y30" s="346"/>
      <c r="Z30" s="346"/>
      <c r="AA30" s="346"/>
    </row>
    <row r="31" spans="1:27" s="271" customFormat="1" ht="12" customHeight="1">
      <c r="A31" s="346"/>
      <c r="B31" s="346"/>
      <c r="C31" s="682"/>
      <c r="D31" s="682"/>
      <c r="E31" s="682"/>
      <c r="F31" s="682"/>
      <c r="G31" s="682"/>
      <c r="H31" s="682"/>
      <c r="I31" s="282"/>
      <c r="J31" s="615"/>
      <c r="K31" s="346"/>
      <c r="L31" s="682"/>
      <c r="M31" s="682"/>
      <c r="N31" s="346"/>
      <c r="O31" s="346"/>
      <c r="P31" s="346"/>
      <c r="Q31" s="682"/>
      <c r="R31" s="346"/>
      <c r="S31" s="346"/>
      <c r="T31" s="346"/>
      <c r="U31" s="682"/>
      <c r="V31" s="682"/>
      <c r="W31" s="682"/>
      <c r="X31" s="682"/>
      <c r="Y31" s="682"/>
      <c r="Z31" s="682"/>
      <c r="AA31" s="282"/>
    </row>
  </sheetData>
  <mergeCells count="4">
    <mergeCell ref="A4:A5"/>
    <mergeCell ref="J4:J5"/>
    <mergeCell ref="S4:S5"/>
    <mergeCell ref="J29:M29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42" orientation="portrait" useFirstPageNumber="1" r:id="rId1"/>
  <headerFooter differentOddEven="1" scaleWithDoc="0" alignWithMargins="0"/>
  <colBreaks count="1" manualBreakCount="1">
    <brk id="9" max="29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20C6-9520-47C1-A285-03028CACE764}">
  <sheetPr>
    <tabColor rgb="FF92D050"/>
  </sheetPr>
  <dimension ref="A1:F32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5.375" style="12" customWidth="1"/>
    <col min="2" max="5" width="15.5" style="12" customWidth="1"/>
    <col min="6" max="6" width="16.25" style="12" customWidth="1"/>
    <col min="7" max="16384" width="10" style="12"/>
  </cols>
  <sheetData>
    <row r="1" spans="1:6" s="271" customFormat="1" ht="26.25">
      <c r="A1" s="270" t="s">
        <v>1087</v>
      </c>
      <c r="B1" s="1116"/>
    </row>
    <row r="2" spans="1:6" s="274" customFormat="1" ht="17.25">
      <c r="A2" s="274" t="s">
        <v>1088</v>
      </c>
    </row>
    <row r="3" spans="1:6" s="271" customFormat="1" ht="15" customHeight="1">
      <c r="A3" s="272"/>
      <c r="B3" s="272"/>
      <c r="C3" s="272"/>
      <c r="D3" s="272"/>
      <c r="F3" s="1388" t="s">
        <v>1089</v>
      </c>
    </row>
    <row r="4" spans="1:6" s="613" customFormat="1" ht="27.95" customHeight="1">
      <c r="A4" s="283" t="s">
        <v>1053</v>
      </c>
      <c r="B4" s="1898" t="s">
        <v>1090</v>
      </c>
      <c r="C4" s="1956" t="s">
        <v>1091</v>
      </c>
      <c r="D4" s="618"/>
      <c r="E4" s="1957"/>
      <c r="F4" s="619"/>
    </row>
    <row r="5" spans="1:6" s="627" customFormat="1" ht="27.95" customHeight="1">
      <c r="A5" s="300"/>
      <c r="B5" s="1900" t="s">
        <v>1092</v>
      </c>
      <c r="C5" s="302" t="s">
        <v>1093</v>
      </c>
      <c r="D5" s="302" t="s">
        <v>1094</v>
      </c>
      <c r="E5" s="302" t="s">
        <v>1082</v>
      </c>
      <c r="F5" s="621" t="s">
        <v>1095</v>
      </c>
    </row>
    <row r="6" spans="1:6" s="1498" customFormat="1" ht="27.75" customHeight="1">
      <c r="A6" s="321">
        <v>2021</v>
      </c>
      <c r="B6" s="1958">
        <v>94.340100000000007</v>
      </c>
      <c r="C6" s="1959">
        <v>65.532700000000006</v>
      </c>
      <c r="D6" s="1959">
        <v>12.287699999999999</v>
      </c>
      <c r="E6" s="1959">
        <v>18.818300000000001</v>
      </c>
      <c r="F6" s="1960">
        <v>96.6387</v>
      </c>
    </row>
    <row r="7" spans="1:6" s="1498" customFormat="1" ht="27.75" customHeight="1">
      <c r="A7" s="321">
        <v>2022</v>
      </c>
      <c r="B7" s="1958">
        <v>196.65119999999999</v>
      </c>
      <c r="C7" s="1959">
        <v>113.7814</v>
      </c>
      <c r="D7" s="1959">
        <v>12.8688</v>
      </c>
      <c r="E7" s="1959">
        <v>27.5154</v>
      </c>
      <c r="F7" s="1960">
        <v>154.16560000000001</v>
      </c>
    </row>
    <row r="8" spans="1:6" s="1498" customFormat="1" ht="27.75" customHeight="1">
      <c r="A8" s="321">
        <v>2023</v>
      </c>
      <c r="B8" s="1958">
        <v>167.11199999999999</v>
      </c>
      <c r="C8" s="1959">
        <v>110.8952</v>
      </c>
      <c r="D8" s="1959">
        <v>13.7362</v>
      </c>
      <c r="E8" s="1959">
        <v>13.8893</v>
      </c>
      <c r="F8" s="1960">
        <v>138.52070000000001</v>
      </c>
    </row>
    <row r="9" spans="1:6" ht="27.75" customHeight="1">
      <c r="A9" s="321">
        <v>2024</v>
      </c>
      <c r="B9" s="1958">
        <v>128.39340000000001</v>
      </c>
      <c r="C9" s="1959">
        <v>100.9995</v>
      </c>
      <c r="D9" s="1959">
        <v>14.955399999999999</v>
      </c>
      <c r="E9" s="1959">
        <v>12.716900000000001</v>
      </c>
      <c r="F9" s="1960">
        <v>128.67179999999999</v>
      </c>
    </row>
    <row r="10" spans="1:6" ht="27.75" customHeight="1">
      <c r="A10" s="321">
        <v>2025</v>
      </c>
      <c r="B10" s="1958">
        <v>112.72239999999999</v>
      </c>
      <c r="C10" s="1959">
        <v>98.356499999999997</v>
      </c>
      <c r="D10" s="1959">
        <v>15.302</v>
      </c>
      <c r="E10" s="1959">
        <v>11.3682</v>
      </c>
      <c r="F10" s="1960">
        <v>125.02670000000001</v>
      </c>
    </row>
    <row r="11" spans="1:6" ht="27.75" customHeight="1">
      <c r="A11" s="1961" t="s">
        <v>828</v>
      </c>
      <c r="B11" s="1962">
        <v>117.5805</v>
      </c>
      <c r="C11" s="1963">
        <v>100.13200000000001</v>
      </c>
      <c r="D11" s="1963">
        <v>15.722200000000001</v>
      </c>
      <c r="E11" s="1963">
        <v>12.9322</v>
      </c>
      <c r="F11" s="1964">
        <v>128.78639999999999</v>
      </c>
    </row>
    <row r="12" spans="1:6" ht="27.75" customHeight="1">
      <c r="A12" s="328">
        <v>2025.04</v>
      </c>
      <c r="B12" s="1965">
        <v>124.5762</v>
      </c>
      <c r="C12" s="1966">
        <v>104.7514</v>
      </c>
      <c r="D12" s="1966">
        <v>7.8628</v>
      </c>
      <c r="E12" s="1966">
        <v>14.833</v>
      </c>
      <c r="F12" s="1967">
        <v>127.44710000000001</v>
      </c>
    </row>
    <row r="13" spans="1:6" s="1465" customFormat="1" ht="27.75" customHeight="1">
      <c r="A13" s="336">
        <v>2025.05</v>
      </c>
      <c r="B13" s="1958">
        <v>125.4686</v>
      </c>
      <c r="C13" s="1959">
        <v>105.96210000000001</v>
      </c>
      <c r="D13" s="1959">
        <v>7.5152000000000001</v>
      </c>
      <c r="E13" s="1959">
        <v>13.3864</v>
      </c>
      <c r="F13" s="1960">
        <v>126.8638</v>
      </c>
    </row>
    <row r="14" spans="1:6" ht="27.75" customHeight="1">
      <c r="A14" s="336">
        <v>2025.06</v>
      </c>
      <c r="B14" s="1958">
        <v>118.05240000000001</v>
      </c>
      <c r="C14" s="1959">
        <v>102.2734</v>
      </c>
      <c r="D14" s="1959">
        <v>12.7235</v>
      </c>
      <c r="E14" s="1959">
        <v>11.0496</v>
      </c>
      <c r="F14" s="1960">
        <v>126.04649999999999</v>
      </c>
    </row>
    <row r="15" spans="1:6" ht="27.75" customHeight="1">
      <c r="A15" s="336">
        <v>2025.07</v>
      </c>
      <c r="B15" s="1958">
        <v>120.39490000000001</v>
      </c>
      <c r="C15" s="1959">
        <v>106.1408</v>
      </c>
      <c r="D15" s="1959">
        <v>19.797699999999999</v>
      </c>
      <c r="E15" s="1959">
        <v>9.0650999999999993</v>
      </c>
      <c r="F15" s="1960">
        <v>135.00360000000001</v>
      </c>
    </row>
    <row r="16" spans="1:6" ht="27.75" customHeight="1">
      <c r="A16" s="336">
        <v>2025.08</v>
      </c>
      <c r="B16" s="1958">
        <v>117.3986</v>
      </c>
      <c r="C16" s="1959">
        <v>104.6041</v>
      </c>
      <c r="D16" s="1959">
        <v>18.9817</v>
      </c>
      <c r="E16" s="1959">
        <v>8.4393999999999991</v>
      </c>
      <c r="F16" s="1960">
        <v>132.02520000000001</v>
      </c>
    </row>
    <row r="17" spans="1:6" ht="27.75" customHeight="1">
      <c r="A17" s="336">
        <v>2025.09</v>
      </c>
      <c r="B17" s="1958">
        <v>112.9113</v>
      </c>
      <c r="C17" s="1959">
        <v>98.485299999999995</v>
      </c>
      <c r="D17" s="1959">
        <v>15.236700000000001</v>
      </c>
      <c r="E17" s="1959">
        <v>10.212</v>
      </c>
      <c r="F17" s="1960">
        <v>123.934</v>
      </c>
    </row>
    <row r="18" spans="1:6" ht="27.75" customHeight="1">
      <c r="A18" s="336">
        <v>2025.1</v>
      </c>
      <c r="B18" s="1958">
        <v>101.5273</v>
      </c>
      <c r="C18" s="1959">
        <v>87.299800000000005</v>
      </c>
      <c r="D18" s="1959">
        <v>8.1028000000000002</v>
      </c>
      <c r="E18" s="1959">
        <v>13.478999999999999</v>
      </c>
      <c r="F18" s="1960">
        <v>108.88160000000001</v>
      </c>
    </row>
    <row r="19" spans="1:6" ht="27.75" customHeight="1">
      <c r="A19" s="336">
        <v>2025.11</v>
      </c>
      <c r="B19" s="1958">
        <v>94.8125</v>
      </c>
      <c r="C19" s="1959">
        <v>83.505899999999997</v>
      </c>
      <c r="D19" s="1959">
        <v>13.16</v>
      </c>
      <c r="E19" s="1959">
        <v>11.3752</v>
      </c>
      <c r="F19" s="1960">
        <v>108.041</v>
      </c>
    </row>
    <row r="20" spans="1:6" ht="27.75" customHeight="1">
      <c r="A20" s="336">
        <v>2025.12</v>
      </c>
      <c r="B20" s="1958">
        <v>90.438199999999995</v>
      </c>
      <c r="C20" s="1959">
        <v>88.9542</v>
      </c>
      <c r="D20" s="1959">
        <v>22.007200000000001</v>
      </c>
      <c r="E20" s="1959">
        <v>9.0561000000000007</v>
      </c>
      <c r="F20" s="1960">
        <v>120.0175</v>
      </c>
    </row>
    <row r="21" spans="1:6" ht="27.75" customHeight="1">
      <c r="A21" s="1655" t="s">
        <v>829</v>
      </c>
      <c r="B21" s="1968">
        <v>109.7928</v>
      </c>
      <c r="C21" s="1969">
        <v>101.46729999999999</v>
      </c>
      <c r="D21" s="1969">
        <v>13.983599999999999</v>
      </c>
      <c r="E21" s="1969">
        <v>10.3964</v>
      </c>
      <c r="F21" s="1970">
        <v>125.8472</v>
      </c>
    </row>
    <row r="22" spans="1:6" ht="27.75" customHeight="1">
      <c r="A22" s="337">
        <v>2026.01</v>
      </c>
      <c r="B22" s="1965">
        <v>103.5348</v>
      </c>
      <c r="C22" s="1966">
        <v>95.947299999999998</v>
      </c>
      <c r="D22" s="1966">
        <v>20.002099999999999</v>
      </c>
      <c r="E22" s="1966">
        <v>10.2157</v>
      </c>
      <c r="F22" s="1967">
        <v>126.1651</v>
      </c>
    </row>
    <row r="23" spans="1:6" ht="27.75" customHeight="1">
      <c r="A23" s="336">
        <v>2026.02</v>
      </c>
      <c r="B23" s="1958">
        <v>108.52030000000001</v>
      </c>
      <c r="C23" s="1959">
        <v>100.4794</v>
      </c>
      <c r="D23" s="1959">
        <v>16.5473</v>
      </c>
      <c r="E23" s="1959">
        <v>11.2811</v>
      </c>
      <c r="F23" s="1960">
        <v>128.30779999999999</v>
      </c>
    </row>
    <row r="24" spans="1:6" ht="27.75" customHeight="1">
      <c r="A24" s="336">
        <v>2026.03</v>
      </c>
      <c r="B24" s="1958">
        <v>109.98779999999999</v>
      </c>
      <c r="C24" s="1959">
        <v>101.9114</v>
      </c>
      <c r="D24" s="1959">
        <v>11.115600000000001</v>
      </c>
      <c r="E24" s="1959">
        <v>9.8320000000000007</v>
      </c>
      <c r="F24" s="1960">
        <v>122.85899999999999</v>
      </c>
    </row>
    <row r="25" spans="1:6" ht="27.75" customHeight="1">
      <c r="A25" s="1971">
        <v>2026.04</v>
      </c>
      <c r="B25" s="1972">
        <v>118.9241</v>
      </c>
      <c r="C25" s="1973">
        <v>109.114</v>
      </c>
      <c r="D25" s="1973">
        <v>6.6782000000000004</v>
      </c>
      <c r="E25" s="1973">
        <v>10.308999999999999</v>
      </c>
      <c r="F25" s="1974">
        <v>126.10120000000001</v>
      </c>
    </row>
    <row r="26" spans="1:6" s="532" customFormat="1" ht="3" customHeight="1">
      <c r="A26" s="1975"/>
      <c r="B26" s="1975"/>
      <c r="C26" s="1975"/>
      <c r="D26" s="1975"/>
      <c r="E26" s="1975"/>
      <c r="F26" s="1975"/>
    </row>
    <row r="27" spans="1:6" s="532" customFormat="1" ht="11.1" customHeight="1">
      <c r="A27" s="532" t="s">
        <v>1096</v>
      </c>
    </row>
    <row r="28" spans="1:6" s="532" customFormat="1" ht="11.1" customHeight="1">
      <c r="A28" s="532" t="s">
        <v>1097</v>
      </c>
    </row>
    <row r="29" spans="1:6" s="532" customFormat="1" ht="11.1" customHeight="1">
      <c r="A29" s="532" t="s">
        <v>1098</v>
      </c>
    </row>
    <row r="30" spans="1:6" s="532" customFormat="1" ht="11.1" customHeight="1">
      <c r="A30" s="532" t="s">
        <v>1099</v>
      </c>
    </row>
    <row r="31" spans="1:6" s="349" customFormat="1" ht="12" customHeight="1">
      <c r="A31" s="346" t="s">
        <v>1100</v>
      </c>
      <c r="B31" s="346"/>
      <c r="C31" s="682"/>
      <c r="D31" s="346"/>
      <c r="E31" s="346"/>
      <c r="F31" s="282"/>
    </row>
    <row r="32" spans="1:6" ht="4.5" customHeight="1"/>
  </sheetData>
  <mergeCells count="1">
    <mergeCell ref="A4:A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45" orientation="portrait" useFirstPageNumber="1" r:id="rId1"/>
  <headerFooter differentOddEven="1" scaleWithDoc="0"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96AF-C47A-4D75-A076-E917A03EA82E}">
  <sheetPr>
    <tabColor rgb="FF92D050"/>
  </sheetPr>
  <dimension ref="A1:P65"/>
  <sheetViews>
    <sheetView showGridLines="0" view="pageBreakPreview" zoomScale="130" zoomScaleNormal="100" zoomScaleSheetLayoutView="130" workbookViewId="0">
      <pane xSplit="3" ySplit="5" topLeftCell="D14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4.125" style="349" customWidth="1"/>
    <col min="2" max="2" width="4.25" style="349" customWidth="1"/>
    <col min="3" max="3" width="10.75" style="349" customWidth="1"/>
    <col min="4" max="4" width="8.25" style="349" customWidth="1"/>
    <col min="5" max="8" width="10" style="349" customWidth="1"/>
    <col min="9" max="10" width="6.875" style="12" customWidth="1"/>
    <col min="11" max="11" width="9.875" style="349" customWidth="1"/>
    <col min="12" max="12" width="15.375" style="349" bestFit="1" customWidth="1"/>
    <col min="13" max="15" width="10" style="349"/>
    <col min="16" max="16" width="10.875" style="349" customWidth="1"/>
    <col min="17" max="16384" width="10" style="349"/>
  </cols>
  <sheetData>
    <row r="1" spans="1:11" ht="18.75" customHeight="1">
      <c r="A1" s="609" t="s">
        <v>1101</v>
      </c>
      <c r="B1" s="1499"/>
    </row>
    <row r="2" spans="1:11" ht="17.25" customHeight="1">
      <c r="A2" s="274" t="s">
        <v>1102</v>
      </c>
      <c r="B2" s="1499"/>
    </row>
    <row r="3" spans="1:11" ht="9.9499999999999993" customHeight="1"/>
    <row r="4" spans="1:11" ht="12" customHeight="1">
      <c r="A4" s="1976" t="s">
        <v>1103</v>
      </c>
      <c r="B4" s="1977"/>
      <c r="C4" s="1978" t="s">
        <v>1104</v>
      </c>
      <c r="D4" s="1978" t="s">
        <v>1105</v>
      </c>
      <c r="E4" s="1979" t="s">
        <v>1106</v>
      </c>
      <c r="F4" s="1980"/>
      <c r="G4" s="1979" t="s">
        <v>1107</v>
      </c>
      <c r="H4" s="1980"/>
      <c r="I4" s="1981" t="s">
        <v>998</v>
      </c>
      <c r="J4" s="1982"/>
      <c r="K4" s="1983" t="s">
        <v>999</v>
      </c>
    </row>
    <row r="5" spans="1:11" ht="12" customHeight="1">
      <c r="A5" s="1984"/>
      <c r="B5" s="1985"/>
      <c r="C5" s="1986"/>
      <c r="D5" s="1986"/>
      <c r="E5" s="1987" t="s">
        <v>1108</v>
      </c>
      <c r="F5" s="1988" t="s">
        <v>1109</v>
      </c>
      <c r="G5" s="1987" t="s">
        <v>1466</v>
      </c>
      <c r="H5" s="1988" t="s">
        <v>1467</v>
      </c>
      <c r="I5" s="1987" t="s">
        <v>1466</v>
      </c>
      <c r="J5" s="1988" t="s">
        <v>1467</v>
      </c>
      <c r="K5" s="1989" t="s">
        <v>1110</v>
      </c>
    </row>
    <row r="6" spans="1:11" ht="12" customHeight="1">
      <c r="A6" s="1976" t="s">
        <v>1111</v>
      </c>
      <c r="B6" s="1977"/>
      <c r="C6" s="1990" t="s">
        <v>1112</v>
      </c>
      <c r="D6" s="1991" t="s">
        <v>1113</v>
      </c>
      <c r="E6" s="1992">
        <v>525.5</v>
      </c>
      <c r="F6" s="1993">
        <v>525.5</v>
      </c>
      <c r="G6" s="1994" t="s">
        <v>133</v>
      </c>
      <c r="H6" s="1993">
        <v>0</v>
      </c>
      <c r="I6" s="1995">
        <v>-100</v>
      </c>
      <c r="J6" s="1996">
        <v>-100</v>
      </c>
      <c r="K6" s="1997">
        <v>0</v>
      </c>
    </row>
    <row r="7" spans="1:11" ht="12" customHeight="1">
      <c r="A7" s="1998"/>
      <c r="B7" s="1999"/>
      <c r="C7" s="2000" t="s">
        <v>1114</v>
      </c>
      <c r="D7" s="2001" t="s">
        <v>1115</v>
      </c>
      <c r="E7" s="2002">
        <v>1</v>
      </c>
      <c r="F7" s="2003">
        <v>1</v>
      </c>
      <c r="G7" s="2004" t="s">
        <v>133</v>
      </c>
      <c r="H7" s="2003">
        <v>0</v>
      </c>
      <c r="I7" s="1995">
        <v>-100</v>
      </c>
      <c r="J7" s="2005">
        <v>-100</v>
      </c>
      <c r="K7" s="2006">
        <v>0</v>
      </c>
    </row>
    <row r="8" spans="1:11" ht="12" customHeight="1">
      <c r="A8" s="1998"/>
      <c r="B8" s="1999"/>
      <c r="C8" s="2000" t="s">
        <v>1116</v>
      </c>
      <c r="D8" s="2001" t="s">
        <v>1117</v>
      </c>
      <c r="E8" s="2002">
        <v>853.58100000000002</v>
      </c>
      <c r="F8" s="2003">
        <v>440257.39500000002</v>
      </c>
      <c r="G8" s="2007" t="s">
        <v>133</v>
      </c>
      <c r="H8" s="2003">
        <v>0</v>
      </c>
      <c r="I8" s="1995">
        <v>-100</v>
      </c>
      <c r="J8" s="2008">
        <v>-100</v>
      </c>
      <c r="K8" s="2009" t="s">
        <v>133</v>
      </c>
    </row>
    <row r="9" spans="1:11" ht="12" customHeight="1">
      <c r="A9" s="1998"/>
      <c r="B9" s="1999"/>
      <c r="C9" s="2000" t="s">
        <v>127</v>
      </c>
      <c r="D9" s="2001" t="s">
        <v>1118</v>
      </c>
      <c r="E9" s="2002">
        <v>5150.3050000000003</v>
      </c>
      <c r="F9" s="2003">
        <v>93865.648000000001</v>
      </c>
      <c r="G9" s="2007" t="s">
        <v>133</v>
      </c>
      <c r="H9" s="2003">
        <v>0</v>
      </c>
      <c r="I9" s="2010">
        <v>-100</v>
      </c>
      <c r="J9" s="2008">
        <v>-100</v>
      </c>
      <c r="K9" s="2009" t="s">
        <v>133</v>
      </c>
    </row>
    <row r="10" spans="1:11" ht="12" customHeight="1">
      <c r="A10" s="1984"/>
      <c r="B10" s="1985"/>
      <c r="C10" s="2011" t="s">
        <v>1119</v>
      </c>
      <c r="D10" s="2012" t="s">
        <v>123</v>
      </c>
      <c r="E10" s="2013">
        <v>6033.7619999999997</v>
      </c>
      <c r="F10" s="2014">
        <v>213.20599999999999</v>
      </c>
      <c r="G10" s="2015" t="s">
        <v>133</v>
      </c>
      <c r="H10" s="2014">
        <v>0</v>
      </c>
      <c r="I10" s="2016">
        <v>-100</v>
      </c>
      <c r="J10" s="2017">
        <v>-100</v>
      </c>
      <c r="K10" s="2018" t="s">
        <v>133</v>
      </c>
    </row>
    <row r="11" spans="1:11" ht="11.1" customHeight="1">
      <c r="A11" s="1976" t="s">
        <v>1120</v>
      </c>
      <c r="B11" s="2019" t="s">
        <v>1121</v>
      </c>
      <c r="C11" s="1990" t="s">
        <v>1112</v>
      </c>
      <c r="D11" s="1991" t="s">
        <v>1113</v>
      </c>
      <c r="E11" s="2020">
        <v>8.0530000000000008</v>
      </c>
      <c r="F11" s="1993">
        <v>8.0530000000000008</v>
      </c>
      <c r="G11" s="2021">
        <v>8.2889999999999997</v>
      </c>
      <c r="H11" s="1993">
        <v>8.2889999999999997</v>
      </c>
      <c r="I11" s="2022">
        <v>2.9305848752017738</v>
      </c>
      <c r="J11" s="1996">
        <v>2.9305848752017738</v>
      </c>
      <c r="K11" s="1997">
        <v>3.6535698969758737E-2</v>
      </c>
    </row>
    <row r="12" spans="1:11" ht="11.1" customHeight="1">
      <c r="A12" s="1998"/>
      <c r="B12" s="2023"/>
      <c r="C12" s="2000" t="s">
        <v>1114</v>
      </c>
      <c r="D12" s="2001" t="s">
        <v>1115</v>
      </c>
      <c r="E12" s="2002">
        <v>50</v>
      </c>
      <c r="F12" s="2003">
        <v>50</v>
      </c>
      <c r="G12" s="2024">
        <v>51</v>
      </c>
      <c r="H12" s="2003">
        <v>51</v>
      </c>
      <c r="I12" s="2025">
        <v>2</v>
      </c>
      <c r="J12" s="2005">
        <v>2</v>
      </c>
      <c r="K12" s="2006">
        <v>2.5060193602279988E-2</v>
      </c>
    </row>
    <row r="13" spans="1:11" ht="11.1" customHeight="1">
      <c r="A13" s="1998"/>
      <c r="B13" s="2023"/>
      <c r="C13" s="2000" t="s">
        <v>1116</v>
      </c>
      <c r="D13" s="2001" t="s">
        <v>1117</v>
      </c>
      <c r="E13" s="2002">
        <v>974.72400000000005</v>
      </c>
      <c r="F13" s="2003">
        <v>1887.6669999999999</v>
      </c>
      <c r="G13" s="2002">
        <v>1021.114</v>
      </c>
      <c r="H13" s="2003">
        <v>2585.4299999999998</v>
      </c>
      <c r="I13" s="1995">
        <v>4.7592999999999996</v>
      </c>
      <c r="J13" s="2026">
        <v>36.964300000000001</v>
      </c>
      <c r="K13" s="2027">
        <v>3.44E-2</v>
      </c>
    </row>
    <row r="14" spans="1:11" ht="11.1" customHeight="1">
      <c r="A14" s="1998"/>
      <c r="B14" s="2023"/>
      <c r="C14" s="2000" t="s">
        <v>127</v>
      </c>
      <c r="D14" s="2001" t="s">
        <v>1118</v>
      </c>
      <c r="E14" s="2028">
        <v>121.78100000000001</v>
      </c>
      <c r="F14" s="2003">
        <v>227.654</v>
      </c>
      <c r="G14" s="2028">
        <v>114.663</v>
      </c>
      <c r="H14" s="2003">
        <v>277.375</v>
      </c>
      <c r="I14" s="1995">
        <v>-5.8446999999999996</v>
      </c>
      <c r="J14" s="2026">
        <v>21.840800000000002</v>
      </c>
      <c r="K14" s="2027">
        <v>3.2399999999999998E-2</v>
      </c>
    </row>
    <row r="15" spans="1:11" ht="11.1" customHeight="1">
      <c r="A15" s="1998"/>
      <c r="B15" s="2029"/>
      <c r="C15" s="2011" t="s">
        <v>1119</v>
      </c>
      <c r="D15" s="2012" t="s">
        <v>123</v>
      </c>
      <c r="E15" s="2030">
        <v>124.93899999999999</v>
      </c>
      <c r="F15" s="2014">
        <v>120.601</v>
      </c>
      <c r="G15" s="2030">
        <v>112.292</v>
      </c>
      <c r="H15" s="2014">
        <v>107.28400000000001</v>
      </c>
      <c r="I15" s="2031">
        <v>-10.122299999999999</v>
      </c>
      <c r="J15" s="2032">
        <v>-11.0419</v>
      </c>
      <c r="K15" s="2018" t="s">
        <v>133</v>
      </c>
    </row>
    <row r="16" spans="1:11" ht="11.1" customHeight="1">
      <c r="A16" s="1998"/>
      <c r="B16" s="2033" t="s">
        <v>1122</v>
      </c>
      <c r="C16" s="1990" t="s">
        <v>1112</v>
      </c>
      <c r="D16" s="1991" t="s">
        <v>1113</v>
      </c>
      <c r="E16" s="1992">
        <v>16.021000000000001</v>
      </c>
      <c r="F16" s="1993">
        <v>16.021000000000001</v>
      </c>
      <c r="G16" s="2021">
        <v>16.700200000000002</v>
      </c>
      <c r="H16" s="1993">
        <v>16.700200000000002</v>
      </c>
      <c r="I16" s="2034">
        <v>4.2394357405904843</v>
      </c>
      <c r="J16" s="2035">
        <v>4.2394357405904843</v>
      </c>
      <c r="K16" s="1997">
        <v>7.3610022914074674E-2</v>
      </c>
    </row>
    <row r="17" spans="1:11" ht="11.1" customHeight="1">
      <c r="A17" s="1998"/>
      <c r="B17" s="2023"/>
      <c r="C17" s="2000" t="s">
        <v>1114</v>
      </c>
      <c r="D17" s="2001" t="s">
        <v>1115</v>
      </c>
      <c r="E17" s="2002">
        <v>29</v>
      </c>
      <c r="F17" s="2003">
        <v>29</v>
      </c>
      <c r="G17" s="2024">
        <v>32</v>
      </c>
      <c r="H17" s="2003">
        <v>32</v>
      </c>
      <c r="I17" s="1995">
        <v>10.344827586206897</v>
      </c>
      <c r="J17" s="2008">
        <v>10.344827586206897</v>
      </c>
      <c r="K17" s="2006">
        <v>1.5724043044567836E-2</v>
      </c>
    </row>
    <row r="18" spans="1:11" ht="11.1" customHeight="1">
      <c r="A18" s="1998"/>
      <c r="B18" s="2023"/>
      <c r="C18" s="2000" t="s">
        <v>1116</v>
      </c>
      <c r="D18" s="2001" t="s">
        <v>1117</v>
      </c>
      <c r="E18" s="2002">
        <v>3558.0050000000001</v>
      </c>
      <c r="F18" s="2003">
        <v>13668.681</v>
      </c>
      <c r="G18" s="2024">
        <v>3786.0259999999998</v>
      </c>
      <c r="H18" s="2003">
        <v>13271.572</v>
      </c>
      <c r="I18" s="2036">
        <v>6.4086999999999996</v>
      </c>
      <c r="J18" s="2037">
        <v>-2.9051999999999998</v>
      </c>
      <c r="K18" s="2027">
        <v>0.12740000000000001</v>
      </c>
    </row>
    <row r="19" spans="1:11" ht="11.1" customHeight="1">
      <c r="A19" s="1998"/>
      <c r="B19" s="2023"/>
      <c r="C19" s="2000" t="s">
        <v>127</v>
      </c>
      <c r="D19" s="2001" t="s">
        <v>1118</v>
      </c>
      <c r="E19" s="2002">
        <v>443.25599999999997</v>
      </c>
      <c r="F19" s="2003">
        <v>1610.8140000000001</v>
      </c>
      <c r="G19" s="2002">
        <v>450.23399999999998</v>
      </c>
      <c r="H19" s="2003">
        <v>1467.337</v>
      </c>
      <c r="I19" s="2036">
        <v>1.5742</v>
      </c>
      <c r="J19" s="2037">
        <v>-8.9070999999999998</v>
      </c>
      <c r="K19" s="2027">
        <v>0.1273</v>
      </c>
    </row>
    <row r="20" spans="1:11" ht="11.1" customHeight="1">
      <c r="A20" s="1998"/>
      <c r="B20" s="2029"/>
      <c r="C20" s="2011" t="s">
        <v>1119</v>
      </c>
      <c r="D20" s="2012" t="s">
        <v>123</v>
      </c>
      <c r="E20" s="2013">
        <v>124.58</v>
      </c>
      <c r="F20" s="2038">
        <v>117.84699999999999</v>
      </c>
      <c r="G20" s="2013">
        <v>118.92</v>
      </c>
      <c r="H20" s="2038">
        <v>110.562</v>
      </c>
      <c r="I20" s="2039">
        <v>-4.5433000000000003</v>
      </c>
      <c r="J20" s="2040">
        <v>-6.1814</v>
      </c>
      <c r="K20" s="2018" t="s">
        <v>133</v>
      </c>
    </row>
    <row r="21" spans="1:11" ht="11.1" customHeight="1">
      <c r="A21" s="1998"/>
      <c r="B21" s="2033" t="s">
        <v>1123</v>
      </c>
      <c r="C21" s="1990" t="s">
        <v>1112</v>
      </c>
      <c r="D21" s="1991" t="s">
        <v>1113</v>
      </c>
      <c r="E21" s="1992">
        <v>0.24869999999999998</v>
      </c>
      <c r="F21" s="1993">
        <v>0.24869999999999998</v>
      </c>
      <c r="G21" s="2021">
        <v>0.24869999999999998</v>
      </c>
      <c r="H21" s="1993">
        <v>0.24869999999999998</v>
      </c>
      <c r="I21" s="2022">
        <v>0</v>
      </c>
      <c r="J21" s="1996">
        <v>0</v>
      </c>
      <c r="K21" s="1997">
        <v>1.0962032010832425E-3</v>
      </c>
    </row>
    <row r="22" spans="1:11" ht="11.1" customHeight="1">
      <c r="A22" s="1998"/>
      <c r="B22" s="2023"/>
      <c r="C22" s="2000" t="s">
        <v>1114</v>
      </c>
      <c r="D22" s="2001" t="s">
        <v>1115</v>
      </c>
      <c r="E22" s="2002">
        <v>7</v>
      </c>
      <c r="F22" s="2003">
        <v>7</v>
      </c>
      <c r="G22" s="2024">
        <v>7</v>
      </c>
      <c r="H22" s="2003">
        <v>7</v>
      </c>
      <c r="I22" s="2025">
        <v>0</v>
      </c>
      <c r="J22" s="2005">
        <v>0</v>
      </c>
      <c r="K22" s="2006">
        <v>3.4396344159992138E-3</v>
      </c>
    </row>
    <row r="23" spans="1:11" ht="11.1" customHeight="1">
      <c r="A23" s="1998"/>
      <c r="B23" s="2023"/>
      <c r="C23" s="2000" t="s">
        <v>1116</v>
      </c>
      <c r="D23" s="2001" t="s">
        <v>1117</v>
      </c>
      <c r="E23" s="2002">
        <v>4.9589999999999996</v>
      </c>
      <c r="F23" s="2003">
        <v>14.829000000000001</v>
      </c>
      <c r="G23" s="2002">
        <v>4.1970000000000001</v>
      </c>
      <c r="H23" s="2003">
        <v>23.047000000000001</v>
      </c>
      <c r="I23" s="2025">
        <v>-15.366</v>
      </c>
      <c r="J23" s="2005">
        <v>55.418399999999998</v>
      </c>
      <c r="K23" s="2027">
        <v>1E-4</v>
      </c>
    </row>
    <row r="24" spans="1:11" ht="11.1" customHeight="1">
      <c r="A24" s="1998"/>
      <c r="B24" s="2023"/>
      <c r="C24" s="2000" t="s">
        <v>127</v>
      </c>
      <c r="D24" s="2001" t="s">
        <v>1118</v>
      </c>
      <c r="E24" s="2007">
        <v>0.61799999999999999</v>
      </c>
      <c r="F24" s="2003">
        <v>1.748</v>
      </c>
      <c r="G24" s="2007">
        <v>0.499</v>
      </c>
      <c r="H24" s="2003">
        <v>2.5019999999999998</v>
      </c>
      <c r="I24" s="1995">
        <v>-19.211200000000002</v>
      </c>
      <c r="J24" s="2005">
        <v>43.143099999999997</v>
      </c>
      <c r="K24" s="2027">
        <v>1E-4</v>
      </c>
    </row>
    <row r="25" spans="1:11" ht="11.1" customHeight="1">
      <c r="A25" s="1998"/>
      <c r="B25" s="2029"/>
      <c r="C25" s="2011" t="s">
        <v>1119</v>
      </c>
      <c r="D25" s="2012" t="s">
        <v>123</v>
      </c>
      <c r="E25" s="2013">
        <v>124.58</v>
      </c>
      <c r="F25" s="2014">
        <v>117.85599999999999</v>
      </c>
      <c r="G25" s="2013">
        <v>118.919</v>
      </c>
      <c r="H25" s="2014">
        <v>108.547</v>
      </c>
      <c r="I25" s="2031">
        <v>-4.5434000000000001</v>
      </c>
      <c r="J25" s="2005">
        <v>-7.8982000000000001</v>
      </c>
      <c r="K25" s="2018" t="s">
        <v>133</v>
      </c>
    </row>
    <row r="26" spans="1:11" ht="11.1" customHeight="1">
      <c r="A26" s="1998"/>
      <c r="B26" s="2033" t="s">
        <v>1124</v>
      </c>
      <c r="C26" s="1990" t="s">
        <v>1112</v>
      </c>
      <c r="D26" s="1991" t="s">
        <v>1113</v>
      </c>
      <c r="E26" s="1992">
        <v>5.944</v>
      </c>
      <c r="F26" s="1993">
        <v>5.944</v>
      </c>
      <c r="G26" s="2021">
        <v>5.734</v>
      </c>
      <c r="H26" s="1993">
        <v>5.734</v>
      </c>
      <c r="I26" s="2041">
        <v>-3.532974427994616</v>
      </c>
      <c r="J26" s="2042">
        <v>-3.532974427994616</v>
      </c>
      <c r="K26" s="1997">
        <v>2.5273941113837208E-2</v>
      </c>
    </row>
    <row r="27" spans="1:11" ht="11.1" customHeight="1">
      <c r="A27" s="1998"/>
      <c r="B27" s="2023"/>
      <c r="C27" s="2000" t="s">
        <v>1114</v>
      </c>
      <c r="D27" s="2001" t="s">
        <v>1115</v>
      </c>
      <c r="E27" s="2002">
        <v>18</v>
      </c>
      <c r="F27" s="2003">
        <v>18</v>
      </c>
      <c r="G27" s="2024">
        <v>17</v>
      </c>
      <c r="H27" s="2003">
        <v>17</v>
      </c>
      <c r="I27" s="2025">
        <v>-5.5555555555555554</v>
      </c>
      <c r="J27" s="2005">
        <v>-5.5555555555555554</v>
      </c>
      <c r="K27" s="2006">
        <v>8.353397867426662E-3</v>
      </c>
    </row>
    <row r="28" spans="1:11" ht="11.1" customHeight="1">
      <c r="A28" s="1998"/>
      <c r="B28" s="2023"/>
      <c r="C28" s="2000" t="s">
        <v>1116</v>
      </c>
      <c r="D28" s="2001" t="s">
        <v>1117</v>
      </c>
      <c r="E28" s="2002">
        <v>2518.58</v>
      </c>
      <c r="F28" s="2003">
        <v>10344.825999999999</v>
      </c>
      <c r="G28" s="2024">
        <v>2376.2950000000001</v>
      </c>
      <c r="H28" s="2003">
        <v>9282.8169999999991</v>
      </c>
      <c r="I28" s="2025">
        <v>-5.649</v>
      </c>
      <c r="J28" s="2005">
        <v>-10.266</v>
      </c>
      <c r="K28" s="2027">
        <v>0</v>
      </c>
    </row>
    <row r="29" spans="1:11" ht="11.1" customHeight="1">
      <c r="A29" s="1998"/>
      <c r="B29" s="2023"/>
      <c r="C29" s="2000" t="s">
        <v>127</v>
      </c>
      <c r="D29" s="2001" t="s">
        <v>1118</v>
      </c>
      <c r="E29" s="2002">
        <v>313.76499999999999</v>
      </c>
      <c r="F29" s="2003">
        <v>1217.097</v>
      </c>
      <c r="G29" s="2024">
        <v>282.589</v>
      </c>
      <c r="H29" s="2003">
        <v>1025.2840000000001</v>
      </c>
      <c r="I29" s="2025">
        <v>-9.9359999999999999</v>
      </c>
      <c r="J29" s="2005">
        <v>-15.76</v>
      </c>
      <c r="K29" s="2027">
        <v>0</v>
      </c>
    </row>
    <row r="30" spans="1:11" ht="11.1" customHeight="1">
      <c r="A30" s="1998"/>
      <c r="B30" s="2029"/>
      <c r="C30" s="2011" t="s">
        <v>1119</v>
      </c>
      <c r="D30" s="2012" t="s">
        <v>123</v>
      </c>
      <c r="E30" s="2013">
        <v>124.58</v>
      </c>
      <c r="F30" s="2014">
        <v>117.65300000000001</v>
      </c>
      <c r="G30" s="2043">
        <v>118.92</v>
      </c>
      <c r="H30" s="2014">
        <v>110.45</v>
      </c>
      <c r="I30" s="2044">
        <v>-4.5430000000000001</v>
      </c>
      <c r="J30" s="2045">
        <v>-6.1219999999999999</v>
      </c>
      <c r="K30" s="2018" t="s">
        <v>133</v>
      </c>
    </row>
    <row r="31" spans="1:11" ht="11.1" customHeight="1">
      <c r="A31" s="1998"/>
      <c r="B31" s="2033" t="s">
        <v>1125</v>
      </c>
      <c r="C31" s="1990" t="s">
        <v>1112</v>
      </c>
      <c r="D31" s="1991" t="s">
        <v>1113</v>
      </c>
      <c r="E31" s="1992">
        <v>0.08</v>
      </c>
      <c r="F31" s="1993">
        <v>0.08</v>
      </c>
      <c r="G31" s="2021">
        <v>0.08</v>
      </c>
      <c r="H31" s="1993">
        <v>0.08</v>
      </c>
      <c r="I31" s="2041">
        <v>0</v>
      </c>
      <c r="J31" s="2046">
        <v>0</v>
      </c>
      <c r="K31" s="1997">
        <v>3.5261864128130038E-4</v>
      </c>
    </row>
    <row r="32" spans="1:11" ht="11.1" customHeight="1">
      <c r="A32" s="1998"/>
      <c r="B32" s="2023"/>
      <c r="C32" s="2000" t="s">
        <v>1114</v>
      </c>
      <c r="D32" s="2001" t="s">
        <v>1115</v>
      </c>
      <c r="E32" s="2002">
        <v>1</v>
      </c>
      <c r="F32" s="2003">
        <v>1</v>
      </c>
      <c r="G32" s="2024">
        <v>1</v>
      </c>
      <c r="H32" s="2003">
        <v>1</v>
      </c>
      <c r="I32" s="2010">
        <v>0</v>
      </c>
      <c r="J32" s="2008">
        <v>0</v>
      </c>
      <c r="K32" s="2006">
        <v>4.9137634514274486E-4</v>
      </c>
    </row>
    <row r="33" spans="1:16" ht="11.1" customHeight="1">
      <c r="A33" s="1998"/>
      <c r="B33" s="2023"/>
      <c r="C33" s="2000" t="s">
        <v>1116</v>
      </c>
      <c r="D33" s="2001" t="s">
        <v>1117</v>
      </c>
      <c r="E33" s="2007">
        <v>1.7929999999999999</v>
      </c>
      <c r="F33" s="2003">
        <v>6.4809999999999999</v>
      </c>
      <c r="G33" s="2047">
        <v>1.5840000000000001</v>
      </c>
      <c r="H33" s="2048">
        <v>6.6289999999999996</v>
      </c>
      <c r="I33" s="2049">
        <v>-11.656000000000001</v>
      </c>
      <c r="J33" s="2050">
        <v>2.2839999999999998</v>
      </c>
      <c r="K33" s="2051" t="s">
        <v>133</v>
      </c>
    </row>
    <row r="34" spans="1:16" ht="11.1" customHeight="1">
      <c r="A34" s="1998"/>
      <c r="B34" s="2023"/>
      <c r="C34" s="2000" t="s">
        <v>127</v>
      </c>
      <c r="D34" s="2001" t="s">
        <v>1118</v>
      </c>
      <c r="E34" s="2007">
        <v>0.223</v>
      </c>
      <c r="F34" s="2003">
        <v>0.76600000000000001</v>
      </c>
      <c r="G34" s="2047">
        <v>0.188</v>
      </c>
      <c r="H34" s="2048">
        <v>0.72899999999999998</v>
      </c>
      <c r="I34" s="2049">
        <v>-15.67</v>
      </c>
      <c r="J34" s="2050">
        <v>-4.8159999999999998</v>
      </c>
      <c r="K34" s="2051" t="s">
        <v>133</v>
      </c>
    </row>
    <row r="35" spans="1:16" ht="11.1" customHeight="1">
      <c r="A35" s="1998"/>
      <c r="B35" s="2029"/>
      <c r="C35" s="2011" t="s">
        <v>1119</v>
      </c>
      <c r="D35" s="2012" t="s">
        <v>123</v>
      </c>
      <c r="E35" s="2015">
        <v>124.57899999999999</v>
      </c>
      <c r="F35" s="2014">
        <v>118.173</v>
      </c>
      <c r="G35" s="2052">
        <v>118.92</v>
      </c>
      <c r="H35" s="2053">
        <v>109.97</v>
      </c>
      <c r="I35" s="2054">
        <v>-4.5430000000000001</v>
      </c>
      <c r="J35" s="2055">
        <v>-6.9409999999999998</v>
      </c>
      <c r="K35" s="2056" t="s">
        <v>133</v>
      </c>
    </row>
    <row r="36" spans="1:16" ht="11.1" customHeight="1">
      <c r="A36" s="1998"/>
      <c r="B36" s="2033" t="s">
        <v>1126</v>
      </c>
      <c r="C36" s="1990" t="s">
        <v>1112</v>
      </c>
      <c r="D36" s="1991" t="s">
        <v>1113</v>
      </c>
      <c r="E36" s="1992">
        <v>19065.253399997557</v>
      </c>
      <c r="F36" s="1993">
        <v>19065.253399997557</v>
      </c>
      <c r="G36" s="2021">
        <v>21714.374639997735</v>
      </c>
      <c r="H36" s="1993">
        <v>21714.374639997735</v>
      </c>
      <c r="I36" s="2057">
        <v>13.895022449586314</v>
      </c>
      <c r="J36" s="2058">
        <v>13.895022449586314</v>
      </c>
      <c r="K36" s="1997">
        <v>95.711166022864106</v>
      </c>
    </row>
    <row r="37" spans="1:16" ht="11.1" customHeight="1">
      <c r="A37" s="1998"/>
      <c r="B37" s="2023"/>
      <c r="C37" s="2000" t="s">
        <v>1114</v>
      </c>
      <c r="D37" s="2001" t="s">
        <v>1115</v>
      </c>
      <c r="E37" s="2002">
        <v>177838</v>
      </c>
      <c r="F37" s="2003">
        <v>177838</v>
      </c>
      <c r="G37" s="2024">
        <v>203380</v>
      </c>
      <c r="H37" s="2003">
        <v>203380</v>
      </c>
      <c r="I37" s="2025">
        <v>14.36250969983918</v>
      </c>
      <c r="J37" s="2005">
        <v>14.36250969983918</v>
      </c>
      <c r="K37" s="2006">
        <v>99.936121075131439</v>
      </c>
    </row>
    <row r="38" spans="1:16" ht="11.1" customHeight="1">
      <c r="A38" s="1998"/>
      <c r="B38" s="2023"/>
      <c r="C38" s="2000" t="s">
        <v>1116</v>
      </c>
      <c r="D38" s="2001" t="s">
        <v>1117</v>
      </c>
      <c r="E38" s="2002">
        <v>2711863.7</v>
      </c>
      <c r="F38" s="2003">
        <v>8282329.7199999997</v>
      </c>
      <c r="G38" s="2024">
        <v>2813696.3080000002</v>
      </c>
      <c r="H38" s="2003">
        <v>9459769.3990000002</v>
      </c>
      <c r="I38" s="2025">
        <v>3.7551000000000001</v>
      </c>
      <c r="J38" s="2005">
        <v>14.2163</v>
      </c>
      <c r="K38" s="2027">
        <v>94.682400000000001</v>
      </c>
    </row>
    <row r="39" spans="1:16" ht="11.1" customHeight="1">
      <c r="A39" s="1998"/>
      <c r="B39" s="2023"/>
      <c r="C39" s="2000" t="s">
        <v>127</v>
      </c>
      <c r="D39" s="2001" t="s">
        <v>1118</v>
      </c>
      <c r="E39" s="2002">
        <v>341100.82400000002</v>
      </c>
      <c r="F39" s="2003">
        <v>990402.68400000001</v>
      </c>
      <c r="G39" s="2024">
        <v>334973.65299999999</v>
      </c>
      <c r="H39" s="2003">
        <v>1051536.2919999999</v>
      </c>
      <c r="I39" s="2025">
        <v>-1.7963</v>
      </c>
      <c r="J39" s="2005">
        <v>6.1726000000000001</v>
      </c>
      <c r="K39" s="2027">
        <v>94.709299999999999</v>
      </c>
    </row>
    <row r="40" spans="1:16" ht="11.1" customHeight="1">
      <c r="A40" s="1998"/>
      <c r="B40" s="2029"/>
      <c r="C40" s="2011" t="s">
        <v>1119</v>
      </c>
      <c r="D40" s="2012" t="s">
        <v>123</v>
      </c>
      <c r="E40" s="2013">
        <v>125.78100000000001</v>
      </c>
      <c r="F40" s="2014">
        <v>119.58</v>
      </c>
      <c r="G40" s="2043">
        <v>119.051</v>
      </c>
      <c r="H40" s="2014">
        <v>111.15900000000001</v>
      </c>
      <c r="I40" s="2025">
        <v>-5.3505000000000003</v>
      </c>
      <c r="J40" s="2005">
        <v>-7.0425000000000004</v>
      </c>
      <c r="K40" s="2018" t="s">
        <v>133</v>
      </c>
    </row>
    <row r="41" spans="1:16" ht="12" customHeight="1">
      <c r="A41" s="1998"/>
      <c r="B41" s="2059" t="s">
        <v>1127</v>
      </c>
      <c r="C41" s="1990" t="s">
        <v>1112</v>
      </c>
      <c r="D41" s="1991" t="s">
        <v>1113</v>
      </c>
      <c r="E41" s="2020">
        <v>19095.600099997559</v>
      </c>
      <c r="F41" s="2060">
        <v>19095.600099997555</v>
      </c>
      <c r="G41" s="2021">
        <v>21745.42653999773</v>
      </c>
      <c r="H41" s="1993">
        <v>21745.42653999773</v>
      </c>
      <c r="I41" s="2041">
        <v>13.876633497370477</v>
      </c>
      <c r="J41" s="2042">
        <v>13.8766334973705</v>
      </c>
      <c r="K41" s="1997">
        <v>95.848034507704114</v>
      </c>
    </row>
    <row r="42" spans="1:16" ht="12" customHeight="1">
      <c r="A42" s="1998"/>
      <c r="B42" s="1999"/>
      <c r="C42" s="2000" t="s">
        <v>1114</v>
      </c>
      <c r="D42" s="2001" t="s">
        <v>1115</v>
      </c>
      <c r="E42" s="2002">
        <v>177943</v>
      </c>
      <c r="F42" s="2003">
        <v>177943</v>
      </c>
      <c r="G42" s="2024">
        <v>203488</v>
      </c>
      <c r="H42" s="2003">
        <v>203488</v>
      </c>
      <c r="I42" s="2025">
        <v>14.355720652118936</v>
      </c>
      <c r="J42" s="2005">
        <v>14.355720652118936</v>
      </c>
      <c r="K42" s="2006">
        <v>99.989189720406856</v>
      </c>
    </row>
    <row r="43" spans="1:16" ht="12" customHeight="1">
      <c r="A43" s="1998"/>
      <c r="B43" s="1999"/>
      <c r="C43" s="2000" t="s">
        <v>1116</v>
      </c>
      <c r="D43" s="2001" t="s">
        <v>1117</v>
      </c>
      <c r="E43" s="2002">
        <v>2718921.7609999999</v>
      </c>
      <c r="F43" s="2003">
        <v>8308252.2039999999</v>
      </c>
      <c r="G43" s="2024">
        <v>2820885.5240000002</v>
      </c>
      <c r="H43" s="2003">
        <v>9484938.8939999994</v>
      </c>
      <c r="I43" s="2025">
        <v>3.7502</v>
      </c>
      <c r="J43" s="2005">
        <v>14.1629</v>
      </c>
      <c r="K43" s="2027">
        <v>94.924300000000002</v>
      </c>
    </row>
    <row r="44" spans="1:16" ht="12" customHeight="1">
      <c r="A44" s="1998"/>
      <c r="B44" s="1999"/>
      <c r="C44" s="2000" t="s">
        <v>127</v>
      </c>
      <c r="D44" s="2001" t="s">
        <v>1118</v>
      </c>
      <c r="E44" s="2002">
        <v>341980.467</v>
      </c>
      <c r="F44" s="2003">
        <v>993460.76199999999</v>
      </c>
      <c r="G44" s="2024">
        <v>335821.82699999999</v>
      </c>
      <c r="H44" s="2003">
        <v>1054309.5190000001</v>
      </c>
      <c r="I44" s="2025">
        <v>-1.8008999999999999</v>
      </c>
      <c r="J44" s="2005">
        <v>6.1249000000000002</v>
      </c>
      <c r="K44" s="2027">
        <v>94.949100000000001</v>
      </c>
    </row>
    <row r="45" spans="1:16" ht="12" customHeight="1">
      <c r="A45" s="1984"/>
      <c r="B45" s="1985"/>
      <c r="C45" s="2011" t="s">
        <v>1119</v>
      </c>
      <c r="D45" s="2012" t="s">
        <v>123</v>
      </c>
      <c r="E45" s="2061">
        <v>125.77800000000001</v>
      </c>
      <c r="F45" s="2062">
        <v>119.575</v>
      </c>
      <c r="G45" s="2063">
        <v>119.048</v>
      </c>
      <c r="H45" s="2062">
        <v>111.15600000000001</v>
      </c>
      <c r="I45" s="2044">
        <v>-5.3503999999999996</v>
      </c>
      <c r="J45" s="2045">
        <v>-7.0407999999999999</v>
      </c>
      <c r="K45" s="2018" t="s">
        <v>133</v>
      </c>
    </row>
    <row r="46" spans="1:16" ht="12" customHeight="1">
      <c r="A46" s="1976" t="s">
        <v>1128</v>
      </c>
      <c r="B46" s="1977"/>
      <c r="C46" s="1990" t="s">
        <v>1112</v>
      </c>
      <c r="D46" s="1991" t="s">
        <v>1113</v>
      </c>
      <c r="E46" s="1992">
        <v>610.53</v>
      </c>
      <c r="F46" s="1993">
        <v>610.53</v>
      </c>
      <c r="G46" s="2021">
        <v>937.22199999999998</v>
      </c>
      <c r="H46" s="1993">
        <v>937.22199999999998</v>
      </c>
      <c r="I46" s="2041">
        <v>53.509573649124533</v>
      </c>
      <c r="J46" s="2046">
        <v>53.509573649124533</v>
      </c>
      <c r="K46" s="1997">
        <v>4.1310243527367865</v>
      </c>
      <c r="M46" s="2064"/>
      <c r="N46" s="2064"/>
      <c r="O46" s="2064"/>
      <c r="P46" s="2064"/>
    </row>
    <row r="47" spans="1:16" ht="12" customHeight="1">
      <c r="A47" s="1998"/>
      <c r="B47" s="1999"/>
      <c r="C47" s="2000" t="s">
        <v>1114</v>
      </c>
      <c r="D47" s="2001" t="s">
        <v>1115</v>
      </c>
      <c r="E47" s="2002">
        <v>12</v>
      </c>
      <c r="F47" s="2003">
        <v>12</v>
      </c>
      <c r="G47" s="2024">
        <v>12</v>
      </c>
      <c r="H47" s="2003">
        <v>12</v>
      </c>
      <c r="I47" s="1995">
        <v>0</v>
      </c>
      <c r="J47" s="2008">
        <v>0</v>
      </c>
      <c r="K47" s="2006">
        <v>5.8965161417129383E-3</v>
      </c>
    </row>
    <row r="48" spans="1:16" ht="12" customHeight="1">
      <c r="A48" s="1998"/>
      <c r="B48" s="1999"/>
      <c r="C48" s="2000" t="s">
        <v>1116</v>
      </c>
      <c r="D48" s="2001" t="s">
        <v>1117</v>
      </c>
      <c r="E48" s="2065">
        <v>20626.2</v>
      </c>
      <c r="F48" s="2003">
        <v>93233.001999999993</v>
      </c>
      <c r="G48" s="2066">
        <v>150186.75200000001</v>
      </c>
      <c r="H48" s="2048">
        <v>774962.62199999997</v>
      </c>
      <c r="I48" s="2067">
        <v>628.13580000000002</v>
      </c>
      <c r="J48" s="2008">
        <v>731.2106</v>
      </c>
      <c r="K48" s="2068">
        <v>5.0538999999999996</v>
      </c>
      <c r="M48" s="2069"/>
      <c r="P48" s="2069"/>
    </row>
    <row r="49" spans="1:16" ht="12" customHeight="1">
      <c r="A49" s="1998"/>
      <c r="B49" s="1999"/>
      <c r="C49" s="2000" t="s">
        <v>127</v>
      </c>
      <c r="D49" s="2001" t="s">
        <v>1118</v>
      </c>
      <c r="E49" s="2065">
        <v>2509.3240000000001</v>
      </c>
      <c r="F49" s="2003">
        <v>10563.722</v>
      </c>
      <c r="G49" s="2066">
        <v>17787.168000000001</v>
      </c>
      <c r="H49" s="2048">
        <v>84518.544999999998</v>
      </c>
      <c r="I49" s="2066">
        <v>608.84320000000002</v>
      </c>
      <c r="J49" s="2008">
        <v>700.08299999999997</v>
      </c>
      <c r="K49" s="2068">
        <v>5.0290999999999997</v>
      </c>
      <c r="M49" s="2069"/>
      <c r="P49" s="2069"/>
    </row>
    <row r="50" spans="1:16" ht="12" customHeight="1">
      <c r="A50" s="1984"/>
      <c r="B50" s="1985"/>
      <c r="C50" s="2011" t="s">
        <v>1119</v>
      </c>
      <c r="D50" s="2012" t="s">
        <v>123</v>
      </c>
      <c r="E50" s="2070">
        <v>121.657</v>
      </c>
      <c r="F50" s="2014">
        <v>113.30500000000001</v>
      </c>
      <c r="G50" s="2071">
        <v>118.434</v>
      </c>
      <c r="H50" s="2053">
        <v>109.06100000000001</v>
      </c>
      <c r="I50" s="2072">
        <v>-2.6496</v>
      </c>
      <c r="J50" s="2032">
        <v>-3.7448000000000001</v>
      </c>
      <c r="K50" s="2073" t="s">
        <v>133</v>
      </c>
      <c r="M50" s="2064"/>
      <c r="P50" s="2064"/>
    </row>
    <row r="51" spans="1:16" ht="12" customHeight="1">
      <c r="A51" s="1976" t="s">
        <v>1129</v>
      </c>
      <c r="B51" s="1977"/>
      <c r="C51" s="1990" t="s">
        <v>1112</v>
      </c>
      <c r="D51" s="1991" t="s">
        <v>1113</v>
      </c>
      <c r="E51" s="1992">
        <v>3.851</v>
      </c>
      <c r="F51" s="1993">
        <v>3.851</v>
      </c>
      <c r="G51" s="1992">
        <v>4.7510000000000003</v>
      </c>
      <c r="H51" s="1993">
        <v>4.7510000000000003</v>
      </c>
      <c r="I51" s="2074">
        <v>23.370553103090117</v>
      </c>
      <c r="J51" s="1996">
        <v>23.370553103090117</v>
      </c>
      <c r="K51" s="1997">
        <v>2.0941139559093228E-2</v>
      </c>
      <c r="M51" s="2064"/>
      <c r="N51" s="2064"/>
      <c r="O51" s="2064"/>
      <c r="P51" s="2064"/>
    </row>
    <row r="52" spans="1:16" ht="12" customHeight="1">
      <c r="A52" s="1998"/>
      <c r="B52" s="1999"/>
      <c r="C52" s="2000" t="s">
        <v>1114</v>
      </c>
      <c r="D52" s="2001" t="s">
        <v>1115</v>
      </c>
      <c r="E52" s="2002">
        <v>9</v>
      </c>
      <c r="F52" s="2003">
        <v>9</v>
      </c>
      <c r="G52" s="2002">
        <v>10</v>
      </c>
      <c r="H52" s="2003">
        <v>10</v>
      </c>
      <c r="I52" s="1995">
        <v>11.111111111111111</v>
      </c>
      <c r="J52" s="2008">
        <v>11.111111111111111</v>
      </c>
      <c r="K52" s="2006">
        <v>4.9137634514274482E-3</v>
      </c>
    </row>
    <row r="53" spans="1:16" ht="12" customHeight="1">
      <c r="A53" s="1998"/>
      <c r="B53" s="1999"/>
      <c r="C53" s="2000" t="s">
        <v>1116</v>
      </c>
      <c r="D53" s="2001" t="s">
        <v>1117</v>
      </c>
      <c r="E53" s="2075">
        <v>775.45899999999995</v>
      </c>
      <c r="F53" s="2003">
        <v>2559.502</v>
      </c>
      <c r="G53" s="2075">
        <v>647.78499999999997</v>
      </c>
      <c r="H53" s="2003">
        <v>2729.962</v>
      </c>
      <c r="I53" s="1995">
        <v>-16.463999999999999</v>
      </c>
      <c r="J53" s="2008">
        <v>6.66</v>
      </c>
      <c r="K53" s="2027">
        <v>2.1999999999999999E-2</v>
      </c>
      <c r="M53" s="2069"/>
      <c r="P53" s="2069"/>
    </row>
    <row r="54" spans="1:16" ht="12" customHeight="1">
      <c r="A54" s="1998"/>
      <c r="B54" s="1999"/>
      <c r="C54" s="2000" t="s">
        <v>127</v>
      </c>
      <c r="D54" s="2001" t="s">
        <v>1118</v>
      </c>
      <c r="E54" s="2075">
        <v>96.606999999999999</v>
      </c>
      <c r="F54" s="2003">
        <v>302.89600000000002</v>
      </c>
      <c r="G54" s="2075">
        <v>77.034999999999997</v>
      </c>
      <c r="H54" s="2003">
        <v>300.428</v>
      </c>
      <c r="I54" s="2010">
        <v>-20.260000000000002</v>
      </c>
      <c r="J54" s="2008">
        <v>-0.81499999999999995</v>
      </c>
      <c r="K54" s="2006">
        <v>2.1999999999999999E-2</v>
      </c>
      <c r="M54" s="2069"/>
      <c r="P54" s="2069"/>
    </row>
    <row r="55" spans="1:16" ht="12" customHeight="1">
      <c r="A55" s="1984"/>
      <c r="B55" s="1985"/>
      <c r="C55" s="2011" t="s">
        <v>1119</v>
      </c>
      <c r="D55" s="2012" t="s">
        <v>123</v>
      </c>
      <c r="E55" s="2070">
        <v>124.58</v>
      </c>
      <c r="F55" s="2014">
        <v>118.342</v>
      </c>
      <c r="G55" s="2070">
        <v>118.92</v>
      </c>
      <c r="H55" s="2014">
        <v>110.048</v>
      </c>
      <c r="I55" s="2016">
        <v>-4.5430000000000001</v>
      </c>
      <c r="J55" s="2032">
        <v>-7.008</v>
      </c>
      <c r="K55" s="2018" t="s">
        <v>133</v>
      </c>
      <c r="M55" s="2064"/>
      <c r="P55" s="2064"/>
    </row>
    <row r="56" spans="1:16" ht="12" customHeight="1">
      <c r="A56" s="2076" t="s">
        <v>1130</v>
      </c>
      <c r="B56" s="2077"/>
      <c r="C56" s="1990" t="s">
        <v>1112</v>
      </c>
      <c r="D56" s="1991" t="s">
        <v>1113</v>
      </c>
      <c r="E56" s="2078">
        <v>20235.481099997553</v>
      </c>
      <c r="F56" s="2079">
        <v>20235.481099997553</v>
      </c>
      <c r="G56" s="1994">
        <v>22687.399539997732</v>
      </c>
      <c r="H56" s="2079">
        <v>22687.399539997736</v>
      </c>
      <c r="I56" s="2041">
        <v>12.116926836992652</v>
      </c>
      <c r="J56" s="2046">
        <v>12.116926836992672</v>
      </c>
      <c r="K56" s="1997">
        <v>100</v>
      </c>
    </row>
    <row r="57" spans="1:16" ht="12" customHeight="1">
      <c r="A57" s="2080"/>
      <c r="B57" s="2081"/>
      <c r="C57" s="2000" t="s">
        <v>1114</v>
      </c>
      <c r="D57" s="2001" t="s">
        <v>1115</v>
      </c>
      <c r="E57" s="2007">
        <v>177965</v>
      </c>
      <c r="F57" s="2082">
        <v>177965</v>
      </c>
      <c r="G57" s="2004">
        <v>203510</v>
      </c>
      <c r="H57" s="2082">
        <v>203510</v>
      </c>
      <c r="I57" s="2025">
        <v>14.353946000618098</v>
      </c>
      <c r="J57" s="2083">
        <v>14.353946000618098</v>
      </c>
      <c r="K57" s="2006">
        <v>100</v>
      </c>
    </row>
    <row r="58" spans="1:16" ht="12" customHeight="1">
      <c r="A58" s="2080"/>
      <c r="B58" s="2081"/>
      <c r="C58" s="2000" t="s">
        <v>1116</v>
      </c>
      <c r="D58" s="2001" t="s">
        <v>1117</v>
      </c>
      <c r="E58" s="2084">
        <v>2741177.0010000002</v>
      </c>
      <c r="F58" s="2085">
        <v>8844302.1030000001</v>
      </c>
      <c r="G58" s="2084">
        <v>2971720.0610000002</v>
      </c>
      <c r="H58" s="2085">
        <v>10262631.478</v>
      </c>
      <c r="I58" s="2025">
        <v>8.4103999999999992</v>
      </c>
      <c r="J58" s="2083">
        <v>16.0366</v>
      </c>
      <c r="K58" s="2006">
        <v>100</v>
      </c>
    </row>
    <row r="59" spans="1:16" ht="12" customHeight="1">
      <c r="A59" s="2080"/>
      <c r="B59" s="2081"/>
      <c r="C59" s="2000" t="s">
        <v>127</v>
      </c>
      <c r="D59" s="2001" t="s">
        <v>1118</v>
      </c>
      <c r="E59" s="2007">
        <v>349736.70199999999</v>
      </c>
      <c r="F59" s="2082">
        <v>1098193.0279999999</v>
      </c>
      <c r="G59" s="2007">
        <v>353686.03</v>
      </c>
      <c r="H59" s="2082">
        <v>1139128.4920000001</v>
      </c>
      <c r="I59" s="2025">
        <v>1.1292</v>
      </c>
      <c r="J59" s="2083">
        <v>3.7275</v>
      </c>
      <c r="K59" s="2006">
        <v>100</v>
      </c>
    </row>
    <row r="60" spans="1:16" ht="12" customHeight="1">
      <c r="A60" s="2086"/>
      <c r="B60" s="2087"/>
      <c r="C60" s="2011" t="s">
        <v>1119</v>
      </c>
      <c r="D60" s="2012" t="s">
        <v>123</v>
      </c>
      <c r="E60" s="2088">
        <v>127.586</v>
      </c>
      <c r="F60" s="2089">
        <v>124.17</v>
      </c>
      <c r="G60" s="2088">
        <v>119.017</v>
      </c>
      <c r="H60" s="2089">
        <v>110.998</v>
      </c>
      <c r="I60" s="2090">
        <v>-6.7163000000000004</v>
      </c>
      <c r="J60" s="2091">
        <v>-10.608000000000001</v>
      </c>
      <c r="K60" s="2018" t="s">
        <v>133</v>
      </c>
    </row>
    <row r="61" spans="1:16" ht="3" customHeight="1">
      <c r="A61" s="2092"/>
      <c r="B61" s="2092"/>
      <c r="C61" s="681"/>
      <c r="D61" s="2093"/>
      <c r="E61" s="2094"/>
      <c r="F61" s="2094"/>
      <c r="G61" s="2094"/>
      <c r="H61" s="2094"/>
      <c r="I61" s="2095"/>
      <c r="J61" s="2095"/>
    </row>
    <row r="62" spans="1:16" ht="12" customHeight="1">
      <c r="A62" s="2096" t="s">
        <v>1131</v>
      </c>
      <c r="B62" s="2092"/>
      <c r="C62" s="681"/>
      <c r="D62" s="2093"/>
      <c r="E62" s="2094"/>
      <c r="F62" s="2094"/>
      <c r="G62" s="2094"/>
      <c r="H62" s="2094"/>
      <c r="I62" s="2095"/>
      <c r="J62" s="2095"/>
    </row>
    <row r="63" spans="1:16" ht="12" customHeight="1">
      <c r="A63" s="2096" t="s">
        <v>1132</v>
      </c>
      <c r="B63" s="2092"/>
      <c r="C63" s="681"/>
      <c r="D63" s="2093"/>
      <c r="E63" s="2094"/>
      <c r="F63" s="2094"/>
      <c r="G63" s="2094"/>
      <c r="H63" s="2094"/>
      <c r="I63" s="2095"/>
      <c r="J63" s="2095"/>
    </row>
    <row r="64" spans="1:16" ht="12" customHeight="1">
      <c r="A64" s="2096" t="s">
        <v>1133</v>
      </c>
    </row>
    <row r="65" spans="1:10" s="2097" customFormat="1" ht="12" customHeight="1">
      <c r="A65" s="856" t="s">
        <v>1134</v>
      </c>
      <c r="I65" s="431"/>
      <c r="J65" s="431"/>
    </row>
  </sheetData>
  <mergeCells count="18">
    <mergeCell ref="A46:B50"/>
    <mergeCell ref="A51:B55"/>
    <mergeCell ref="A56:B60"/>
    <mergeCell ref="A6:B10"/>
    <mergeCell ref="A11:A45"/>
    <mergeCell ref="B11:B15"/>
    <mergeCell ref="B16:B20"/>
    <mergeCell ref="B21:B25"/>
    <mergeCell ref="B26:B30"/>
    <mergeCell ref="B31:B35"/>
    <mergeCell ref="B36:B40"/>
    <mergeCell ref="B41:B45"/>
    <mergeCell ref="A4:B5"/>
    <mergeCell ref="C4:C5"/>
    <mergeCell ref="D4:D5"/>
    <mergeCell ref="E4:F4"/>
    <mergeCell ref="G4:H4"/>
    <mergeCell ref="I4:J4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2" firstPageNumber="46" orientation="portrait" useFirstPageNumber="1" r:id="rId1"/>
  <headerFooter differentOddEven="1" scaleWithDoc="0"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2452-5040-4029-8806-6F82D9CCE138}">
  <sheetPr>
    <tabColor rgb="FF92D050"/>
  </sheetPr>
  <dimension ref="A1:F48"/>
  <sheetViews>
    <sheetView showGridLines="0" view="pageBreakPreview" zoomScaleNormal="100" zoomScaleSheetLayoutView="100" workbookViewId="0"/>
  </sheetViews>
  <sheetFormatPr defaultColWidth="10" defaultRowHeight="16.5"/>
  <cols>
    <col min="1" max="3" width="22.25" style="349" customWidth="1"/>
    <col min="4" max="4" width="22.25" style="12" customWidth="1"/>
    <col min="5" max="5" width="18" style="12" customWidth="1"/>
    <col min="6" max="6" width="11.75" style="349" bestFit="1" customWidth="1"/>
    <col min="7" max="16384" width="10" style="349"/>
  </cols>
  <sheetData>
    <row r="1" spans="1:6" ht="20.25" customHeight="1">
      <c r="A1" s="2098" t="s">
        <v>1135</v>
      </c>
      <c r="B1" s="273"/>
      <c r="C1" s="273"/>
      <c r="D1" s="273"/>
      <c r="E1" s="273"/>
    </row>
    <row r="2" spans="1:6" ht="17.25" customHeight="1">
      <c r="A2" s="2099"/>
      <c r="B2" s="276"/>
      <c r="C2" s="276"/>
      <c r="D2" s="276"/>
      <c r="E2" s="2100"/>
    </row>
    <row r="3" spans="1:6" ht="20.25" customHeight="1">
      <c r="A3" s="2101" t="s">
        <v>1136</v>
      </c>
      <c r="B3" s="2102"/>
      <c r="C3" s="2103"/>
      <c r="D3" s="2103" t="s">
        <v>1137</v>
      </c>
    </row>
    <row r="4" spans="1:6" ht="27" customHeight="1">
      <c r="A4" s="2104" t="s">
        <v>844</v>
      </c>
      <c r="B4" s="2104" t="s">
        <v>1138</v>
      </c>
      <c r="C4" s="2104" t="s">
        <v>1139</v>
      </c>
      <c r="D4" s="2104" t="s">
        <v>1140</v>
      </c>
      <c r="E4" s="2105"/>
    </row>
    <row r="5" spans="1:6" ht="27" customHeight="1">
      <c r="A5" s="2104">
        <v>2024.05</v>
      </c>
      <c r="B5" s="2106">
        <v>1327329.5822089999</v>
      </c>
      <c r="C5" s="2107">
        <v>2590604.3420000002</v>
      </c>
      <c r="D5" s="2108" t="s">
        <v>1141</v>
      </c>
      <c r="E5" s="2105"/>
      <c r="F5" s="1800"/>
    </row>
    <row r="6" spans="1:6" ht="27" customHeight="1">
      <c r="A6" s="2104">
        <v>2024.06</v>
      </c>
      <c r="B6" s="2106">
        <v>1166457.2643170003</v>
      </c>
      <c r="C6" s="2107">
        <v>2333489.7689999999</v>
      </c>
      <c r="D6" s="2108" t="s">
        <v>1142</v>
      </c>
      <c r="E6" s="2105"/>
      <c r="F6" s="1800"/>
    </row>
    <row r="7" spans="1:6" ht="27" customHeight="1">
      <c r="A7" s="2104">
        <v>2024.07</v>
      </c>
      <c r="B7" s="2106">
        <v>894688.46992799989</v>
      </c>
      <c r="C7" s="2108">
        <v>1763093.7520000001</v>
      </c>
      <c r="D7" s="2108">
        <v>550041</v>
      </c>
      <c r="E7" s="2105"/>
      <c r="F7" s="1800"/>
    </row>
    <row r="8" spans="1:6" ht="27" customHeight="1">
      <c r="A8" s="2104">
        <v>2024.08</v>
      </c>
      <c r="B8" s="2106">
        <v>1177468.5088850004</v>
      </c>
      <c r="C8" s="2108">
        <v>2330575.443</v>
      </c>
      <c r="D8" s="2108">
        <v>713691</v>
      </c>
      <c r="E8" s="2105"/>
      <c r="F8" s="1800"/>
    </row>
    <row r="9" spans="1:6" ht="27.75" customHeight="1">
      <c r="A9" s="2104">
        <v>2024.09</v>
      </c>
      <c r="B9" s="2106">
        <v>981698.5292969998</v>
      </c>
      <c r="C9" s="2108">
        <v>1893043.6910000001</v>
      </c>
      <c r="D9" s="2108">
        <v>579335</v>
      </c>
      <c r="E9" s="2105"/>
    </row>
    <row r="10" spans="1:6" ht="27.75" customHeight="1">
      <c r="A10" s="2104">
        <v>2024.1</v>
      </c>
      <c r="B10" s="2106">
        <v>799601.79349100008</v>
      </c>
      <c r="C10" s="2108">
        <v>1558781.351</v>
      </c>
      <c r="D10" s="2108">
        <v>471925.31</v>
      </c>
      <c r="E10" s="2105"/>
    </row>
    <row r="11" spans="1:6" ht="27.75" customHeight="1">
      <c r="A11" s="2104">
        <v>2024.11</v>
      </c>
      <c r="B11" s="2106">
        <v>736251.2358379995</v>
      </c>
      <c r="C11" s="2108">
        <v>1424048.11</v>
      </c>
      <c r="D11" s="2108">
        <v>429673.97000000009</v>
      </c>
      <c r="E11" s="2105"/>
    </row>
    <row r="12" spans="1:6" ht="27.75" customHeight="1">
      <c r="A12" s="2104">
        <v>2024.12</v>
      </c>
      <c r="B12" s="2106">
        <v>700800.41796300025</v>
      </c>
      <c r="C12" s="2108">
        <v>1396665.655</v>
      </c>
      <c r="D12" s="2108">
        <v>434079.83</v>
      </c>
      <c r="E12" s="2105"/>
    </row>
    <row r="13" spans="1:6" ht="27.75" customHeight="1">
      <c r="A13" s="2104">
        <v>2025.01</v>
      </c>
      <c r="B13" s="2106">
        <v>726088.52132699988</v>
      </c>
      <c r="C13" s="2108">
        <v>1404836.64</v>
      </c>
      <c r="D13" s="2108">
        <v>441944.74999999994</v>
      </c>
      <c r="E13" s="2105"/>
    </row>
    <row r="14" spans="1:6" ht="27.75" customHeight="1">
      <c r="A14" s="2104">
        <v>2025.02</v>
      </c>
      <c r="B14" s="2106">
        <v>939892.91586799989</v>
      </c>
      <c r="C14" s="2108">
        <v>1914827.496</v>
      </c>
      <c r="D14" s="2108">
        <v>587616.29</v>
      </c>
      <c r="E14" s="2105"/>
    </row>
    <row r="15" spans="1:6" ht="27.75" customHeight="1">
      <c r="A15" s="2104">
        <v>2025.03</v>
      </c>
      <c r="B15" s="2106">
        <v>1110093.9447090002</v>
      </c>
      <c r="C15" s="2108">
        <v>2250801.889</v>
      </c>
      <c r="D15" s="2108">
        <v>682100.24999999988</v>
      </c>
      <c r="E15" s="2105"/>
    </row>
    <row r="16" spans="1:6" ht="27.75" customHeight="1">
      <c r="A16" s="2104">
        <v>2025.04</v>
      </c>
      <c r="B16" s="2106">
        <v>1326412.3537349999</v>
      </c>
      <c r="C16" s="2108">
        <v>2711863.7</v>
      </c>
      <c r="D16" s="2108">
        <v>792455.95</v>
      </c>
      <c r="E16" s="2105"/>
    </row>
    <row r="17" spans="1:6" ht="27.75" customHeight="1">
      <c r="A17" s="2104">
        <v>2025.05</v>
      </c>
      <c r="B17" s="2106">
        <v>1201200.1925120004</v>
      </c>
      <c r="C17" s="2108">
        <v>2464576.2659999998</v>
      </c>
      <c r="D17" s="2108">
        <v>712451.13000000047</v>
      </c>
      <c r="E17" s="2105"/>
    </row>
    <row r="18" spans="1:6" ht="27.75" customHeight="1">
      <c r="A18" s="2104">
        <v>2025.06</v>
      </c>
      <c r="B18" s="2106">
        <v>1230344.4791449998</v>
      </c>
      <c r="C18" s="2108">
        <v>2535223.415</v>
      </c>
      <c r="D18" s="2108">
        <v>776823.68000000017</v>
      </c>
      <c r="E18" s="2105"/>
    </row>
    <row r="19" spans="1:6" ht="27.75" customHeight="1">
      <c r="A19" s="2104">
        <v>2025.07</v>
      </c>
      <c r="B19" s="2106">
        <v>1342249.0779679995</v>
      </c>
      <c r="C19" s="2108">
        <v>2702318.9332200005</v>
      </c>
      <c r="D19" s="2108">
        <v>821428.83999999962</v>
      </c>
      <c r="E19" s="2105"/>
      <c r="F19" s="2109"/>
    </row>
    <row r="20" spans="1:6" ht="27.75" customHeight="1">
      <c r="A20" s="2104">
        <v>2025.08</v>
      </c>
      <c r="B20" s="2106">
        <v>1231703.4635570003</v>
      </c>
      <c r="C20" s="2108">
        <v>2468102.96</v>
      </c>
      <c r="D20" s="2108">
        <v>752065.21000000043</v>
      </c>
      <c r="E20" s="2105"/>
    </row>
    <row r="21" spans="1:6" ht="27.75" customHeight="1">
      <c r="A21" s="2104">
        <v>2025.09</v>
      </c>
      <c r="B21" s="2106">
        <v>896822.48026999994</v>
      </c>
      <c r="C21" s="2108">
        <v>1821882.8385599998</v>
      </c>
      <c r="D21" s="2108">
        <v>556312.21000000054</v>
      </c>
      <c r="E21" s="2105"/>
    </row>
    <row r="22" spans="1:6" ht="27.75" customHeight="1">
      <c r="A22" s="2104">
        <v>2025.1</v>
      </c>
      <c r="B22" s="2106">
        <v>827697.85377399996</v>
      </c>
      <c r="C22" s="2108">
        <v>1635979.051</v>
      </c>
      <c r="D22" s="2108">
        <v>493157.37999999995</v>
      </c>
      <c r="E22" s="2105"/>
    </row>
    <row r="23" spans="1:6" ht="27.75" customHeight="1">
      <c r="A23" s="2104">
        <v>2025.11</v>
      </c>
      <c r="B23" s="2106">
        <v>925269.09845499974</v>
      </c>
      <c r="C23" s="2108">
        <v>1887263.1</v>
      </c>
      <c r="D23" s="2108">
        <v>561196.55999999994</v>
      </c>
      <c r="E23" s="2105"/>
    </row>
    <row r="24" spans="1:6" ht="27.75" customHeight="1">
      <c r="A24" s="2104">
        <v>2025.12</v>
      </c>
      <c r="B24" s="2106">
        <v>764651.42933799978</v>
      </c>
      <c r="C24" s="2108">
        <v>1540421.031</v>
      </c>
      <c r="D24" s="2108">
        <v>472619.37</v>
      </c>
      <c r="E24" s="2105"/>
    </row>
    <row r="25" spans="1:6" ht="27.75" customHeight="1">
      <c r="A25" s="2104">
        <v>2026.01</v>
      </c>
      <c r="B25" s="2106">
        <v>920697.80595400021</v>
      </c>
      <c r="C25" s="2108">
        <v>1906501.8729999999</v>
      </c>
      <c r="D25" s="2108">
        <v>587774.95000000042</v>
      </c>
      <c r="E25" s="2105"/>
    </row>
    <row r="26" spans="1:6" ht="27.75" customHeight="1">
      <c r="A26" s="2110">
        <v>2026.02</v>
      </c>
      <c r="B26" s="2106">
        <v>971441.5582940001</v>
      </c>
      <c r="C26" s="2108">
        <v>2037780.821</v>
      </c>
      <c r="D26" s="2108">
        <v>619815.2300000001</v>
      </c>
      <c r="E26" s="2105"/>
    </row>
    <row r="27" spans="1:6" ht="27.75" customHeight="1">
      <c r="A27" s="2110">
        <v>2026.03</v>
      </c>
      <c r="B27" s="2106">
        <v>1283663.438815</v>
      </c>
      <c r="C27" s="2108">
        <v>2701790.3969999999</v>
      </c>
      <c r="D27" s="2108">
        <v>807795.43000000017</v>
      </c>
      <c r="E27" s="2105"/>
      <c r="F27" s="2111"/>
    </row>
    <row r="28" spans="1:6" ht="27.75" customHeight="1">
      <c r="A28" s="2110">
        <v>2026.04</v>
      </c>
      <c r="B28" s="2106">
        <v>1286392.7813179996</v>
      </c>
      <c r="C28" s="2108">
        <v>2813696.3080000002</v>
      </c>
      <c r="D28" s="2108">
        <v>845057.30999999994</v>
      </c>
      <c r="E28" s="2105"/>
    </row>
    <row r="29" spans="1:6" ht="27.75" customHeight="1">
      <c r="A29" s="2110">
        <v>2026.05</v>
      </c>
      <c r="B29" s="2792" t="s">
        <v>1501</v>
      </c>
      <c r="C29" s="2108" t="s">
        <v>1501</v>
      </c>
      <c r="D29" s="2108" t="s">
        <v>1501</v>
      </c>
      <c r="E29" s="2105"/>
    </row>
    <row r="30" spans="1:6" ht="6" customHeight="1">
      <c r="A30" s="2112"/>
      <c r="B30" s="2113"/>
      <c r="C30" s="2114"/>
      <c r="D30" s="2114"/>
      <c r="E30" s="2115"/>
    </row>
    <row r="31" spans="1:6" ht="13.5" customHeight="1">
      <c r="A31" s="346" t="s">
        <v>1143</v>
      </c>
      <c r="B31" s="681"/>
      <c r="C31" s="2116"/>
      <c r="D31" s="2115"/>
      <c r="E31" s="2115"/>
    </row>
    <row r="32" spans="1:6" ht="13.5" customHeight="1">
      <c r="A32" s="346" t="s">
        <v>1502</v>
      </c>
      <c r="B32" s="681"/>
      <c r="C32" s="2117"/>
      <c r="D32" s="2115"/>
      <c r="E32" s="2115"/>
    </row>
    <row r="33" spans="1:5" ht="13.5" customHeight="1">
      <c r="A33" s="346" t="s">
        <v>1503</v>
      </c>
      <c r="B33" s="681"/>
      <c r="C33" s="2116"/>
      <c r="D33" s="2115"/>
      <c r="E33" s="2115"/>
    </row>
    <row r="34" spans="1:5" ht="13.5" customHeight="1">
      <c r="A34" s="346" t="s">
        <v>1144</v>
      </c>
      <c r="B34" s="681"/>
      <c r="C34" s="2116"/>
      <c r="D34" s="2115"/>
      <c r="E34" s="2115"/>
    </row>
    <row r="35" spans="1:5" ht="13.5" customHeight="1">
      <c r="A35" s="346" t="s">
        <v>1145</v>
      </c>
      <c r="B35" s="681"/>
      <c r="C35" s="2116"/>
      <c r="D35" s="2115"/>
      <c r="E35" s="2118"/>
    </row>
    <row r="36" spans="1:5" ht="12.6" customHeight="1">
      <c r="A36" s="2119"/>
      <c r="B36" s="681"/>
      <c r="C36" s="2117"/>
      <c r="D36" s="2118"/>
      <c r="E36" s="2120"/>
    </row>
    <row r="37" spans="1:5" ht="12.6" customHeight="1">
      <c r="A37" s="2119"/>
      <c r="B37" s="681"/>
      <c r="C37" s="2116"/>
      <c r="D37" s="2115"/>
      <c r="E37" s="2120"/>
    </row>
    <row r="38" spans="1:5" ht="12.6" customHeight="1">
      <c r="A38" s="2119"/>
      <c r="B38" s="681"/>
      <c r="C38" s="2117"/>
      <c r="D38" s="2115"/>
      <c r="E38" s="2121"/>
    </row>
    <row r="39" spans="1:5" ht="12.6" customHeight="1">
      <c r="A39" s="2119"/>
      <c r="B39" s="681"/>
      <c r="C39" s="2116"/>
      <c r="D39" s="2121"/>
      <c r="E39" s="2120"/>
    </row>
    <row r="40" spans="1:5" ht="12.6" customHeight="1">
      <c r="A40" s="2119"/>
      <c r="B40" s="681"/>
      <c r="C40" s="2116"/>
      <c r="D40" s="2120"/>
      <c r="E40" s="2120"/>
    </row>
    <row r="41" spans="1:5" ht="12.6" customHeight="1">
      <c r="A41" s="2119"/>
      <c r="B41" s="681"/>
      <c r="C41" s="2116"/>
      <c r="D41" s="2120"/>
      <c r="E41" s="2120"/>
    </row>
    <row r="42" spans="1:5" ht="12.6" customHeight="1">
      <c r="A42" s="2119"/>
      <c r="B42" s="681"/>
      <c r="C42" s="2116"/>
      <c r="D42" s="2120"/>
      <c r="E42" s="2120"/>
    </row>
    <row r="43" spans="1:5" ht="12.6" customHeight="1">
      <c r="A43" s="2119"/>
      <c r="B43" s="681"/>
      <c r="C43" s="2117"/>
      <c r="D43" s="2120"/>
      <c r="E43" s="2121"/>
    </row>
    <row r="44" spans="1:5" ht="12.6" customHeight="1">
      <c r="A44" s="2119"/>
      <c r="B44" s="681"/>
      <c r="C44" s="2116"/>
      <c r="D44" s="2121"/>
      <c r="E44" s="2120"/>
    </row>
    <row r="45" spans="1:5" ht="12.6" customHeight="1">
      <c r="A45" s="2119"/>
      <c r="B45" s="681"/>
      <c r="C45" s="2116"/>
      <c r="D45" s="2120"/>
      <c r="E45" s="2120"/>
    </row>
    <row r="46" spans="1:5" ht="12.6" customHeight="1">
      <c r="A46" s="2119"/>
      <c r="B46" s="681"/>
      <c r="C46" s="2116"/>
      <c r="D46" s="2120"/>
      <c r="E46" s="2120"/>
    </row>
    <row r="47" spans="1:5" ht="12.95" customHeight="1">
      <c r="A47" s="2119"/>
      <c r="B47" s="681"/>
      <c r="C47" s="2116"/>
      <c r="D47" s="2120"/>
      <c r="E47" s="2120"/>
    </row>
    <row r="48" spans="1:5">
      <c r="A48" s="2119"/>
      <c r="B48" s="681"/>
      <c r="C48" s="2116"/>
      <c r="D48" s="2120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7" firstPageNumber="46" orientation="portrait" useFirstPageNumber="1" r:id="rId1"/>
  <headerFooter differentOddEven="1" scaleWithDoc="0"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B76A-3FF5-4FFD-952E-D3C905383883}">
  <sheetPr>
    <tabColor rgb="FF00B050"/>
  </sheetPr>
  <dimension ref="B4"/>
  <sheetViews>
    <sheetView view="pageBreakPreview" zoomScale="85" zoomScaleNormal="100" zoomScaleSheetLayoutView="85" workbookViewId="0"/>
  </sheetViews>
  <sheetFormatPr defaultColWidth="10" defaultRowHeight="13.5"/>
  <cols>
    <col min="1" max="16384" width="10" style="2123"/>
  </cols>
  <sheetData>
    <row r="4" spans="2:2" ht="27">
      <c r="B4" s="2122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r:id="rId1"/>
  <headerFooter differentOddEven="1" scaleWithDoc="0"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2666-FA50-48BA-AF8A-9D01DF035946}">
  <sheetPr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263"/>
    <col min="3" max="3" width="6" style="263" customWidth="1"/>
    <col min="4" max="4" width="7.125" style="263" customWidth="1"/>
    <col min="5" max="5" width="19" style="263" customWidth="1"/>
    <col min="6" max="6" width="33.75" style="263" customWidth="1"/>
    <col min="7" max="16384" width="10" style="263"/>
  </cols>
  <sheetData>
    <row r="1" spans="3:6" ht="206.25" customHeight="1"/>
    <row r="2" spans="3:6" ht="7.5" customHeight="1">
      <c r="C2" s="264" t="s">
        <v>0</v>
      </c>
      <c r="D2" s="264" t="s">
        <v>0</v>
      </c>
      <c r="E2" s="265" t="s">
        <v>0</v>
      </c>
      <c r="F2" s="266" t="s">
        <v>0</v>
      </c>
    </row>
    <row r="3" spans="3:6" ht="8.25" customHeight="1"/>
    <row r="4" spans="3:6" ht="39">
      <c r="D4" s="267" t="s">
        <v>1146</v>
      </c>
    </row>
    <row r="6" spans="3:6" ht="30" customHeight="1">
      <c r="E6" s="268" t="s">
        <v>1147</v>
      </c>
    </row>
    <row r="7" spans="3:6" ht="9.9499999999999993" customHeight="1">
      <c r="E7" s="268"/>
    </row>
    <row r="8" spans="3:6" ht="30" customHeight="1">
      <c r="E8" s="268" t="s">
        <v>1148</v>
      </c>
    </row>
    <row r="9" spans="3:6" ht="9.9499999999999993" customHeight="1">
      <c r="E9" s="269"/>
    </row>
    <row r="10" spans="3:6" ht="30" customHeight="1">
      <c r="E10" s="268" t="s">
        <v>1149</v>
      </c>
    </row>
    <row r="11" spans="3:6" ht="9.9499999999999993" customHeight="1">
      <c r="E11" s="269"/>
    </row>
    <row r="12" spans="3:6" ht="30" customHeight="1">
      <c r="E12" s="268" t="s">
        <v>1150</v>
      </c>
    </row>
    <row r="13" spans="3:6" ht="9.9499999999999993" customHeight="1">
      <c r="E13" s="269"/>
    </row>
    <row r="14" spans="3:6" ht="30" customHeight="1">
      <c r="E14" s="268" t="s">
        <v>1151</v>
      </c>
    </row>
    <row r="15" spans="3:6" ht="9.9499999999999993" customHeight="1"/>
    <row r="16" spans="3:6" ht="30" customHeight="1">
      <c r="E16" s="2124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84" firstPageNumber="38" orientation="portrait" r:id="rId1"/>
  <headerFooter differentOddEven="1" scaleWithDoc="0"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BFFC-03DD-4082-B6D0-2645085A6014}">
  <sheetPr>
    <tabColor rgb="FF00B050"/>
  </sheetPr>
  <dimension ref="A1:P36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2.5" style="271" customWidth="1"/>
    <col min="2" max="4" width="10.125" style="271" customWidth="1"/>
    <col min="5" max="5" width="12" style="271" customWidth="1"/>
    <col min="6" max="7" width="12.875" style="271" customWidth="1"/>
    <col min="8" max="8" width="13" style="271" customWidth="1"/>
    <col min="9" max="9" width="10.75" style="271" customWidth="1"/>
    <col min="10" max="12" width="12.5" style="271" customWidth="1"/>
    <col min="13" max="13" width="10.75" style="271" customWidth="1"/>
    <col min="14" max="15" width="11.25" style="271" customWidth="1"/>
    <col min="16" max="16" width="12" style="271" customWidth="1"/>
    <col min="17" max="19" width="11" style="271" customWidth="1"/>
    <col min="20" max="20" width="9.875" style="271" customWidth="1"/>
    <col min="21" max="21" width="10.875" style="271" customWidth="1"/>
    <col min="22" max="23" width="7.875" style="271" customWidth="1"/>
    <col min="24" max="24" width="10.125" style="271" bestFit="1" customWidth="1"/>
    <col min="25" max="16384" width="10" style="271"/>
  </cols>
  <sheetData>
    <row r="1" spans="1:16" ht="20.25">
      <c r="A1" s="2125" t="s">
        <v>1152</v>
      </c>
    </row>
    <row r="2" spans="1:16" s="274" customFormat="1" ht="17.25">
      <c r="A2" s="274" t="s">
        <v>1153</v>
      </c>
    </row>
    <row r="3" spans="1:16" ht="16.5" customHeight="1">
      <c r="A3" s="346"/>
      <c r="B3" s="346"/>
      <c r="C3" s="346"/>
      <c r="D3" s="346"/>
      <c r="E3" s="596"/>
      <c r="F3" s="2126"/>
      <c r="G3" s="346"/>
      <c r="H3" s="346"/>
      <c r="I3" s="346"/>
      <c r="J3" s="346"/>
      <c r="K3" s="346"/>
      <c r="L3" s="346"/>
      <c r="M3" s="346"/>
      <c r="N3" s="438" t="s">
        <v>1154</v>
      </c>
      <c r="O3" s="346"/>
      <c r="P3" s="346"/>
    </row>
    <row r="4" spans="1:16" s="272" customFormat="1" ht="24.95" customHeight="1">
      <c r="A4" s="283" t="s">
        <v>56</v>
      </c>
      <c r="B4" s="1623" t="s">
        <v>1155</v>
      </c>
      <c r="C4" s="1623"/>
      <c r="D4" s="1623"/>
      <c r="E4" s="1037" t="s">
        <v>1156</v>
      </c>
      <c r="F4" s="1625" t="s">
        <v>1157</v>
      </c>
      <c r="G4" s="1623"/>
      <c r="H4" s="1624"/>
      <c r="I4" s="2127" t="s">
        <v>1158</v>
      </c>
      <c r="J4" s="1625" t="s">
        <v>1159</v>
      </c>
      <c r="K4" s="1623"/>
      <c r="L4" s="1623"/>
      <c r="M4" s="1624"/>
      <c r="N4" s="1623" t="s">
        <v>1160</v>
      </c>
      <c r="O4" s="1623"/>
      <c r="P4" s="2128"/>
    </row>
    <row r="5" spans="1:16" s="272" customFormat="1" ht="24.95" customHeight="1">
      <c r="A5" s="300"/>
      <c r="B5" s="1900" t="s">
        <v>1161</v>
      </c>
      <c r="C5" s="302" t="s">
        <v>1162</v>
      </c>
      <c r="D5" s="302" t="s">
        <v>160</v>
      </c>
      <c r="E5" s="303"/>
      <c r="F5" s="302" t="s">
        <v>1161</v>
      </c>
      <c r="G5" s="302" t="s">
        <v>1162</v>
      </c>
      <c r="H5" s="302" t="s">
        <v>160</v>
      </c>
      <c r="I5" s="302" t="s">
        <v>1163</v>
      </c>
      <c r="J5" s="302" t="s">
        <v>1161</v>
      </c>
      <c r="K5" s="302" t="s">
        <v>1162</v>
      </c>
      <c r="L5" s="302" t="s">
        <v>160</v>
      </c>
      <c r="M5" s="302" t="s">
        <v>1163</v>
      </c>
      <c r="N5" s="302" t="s">
        <v>1161</v>
      </c>
      <c r="O5" s="302" t="s">
        <v>1162</v>
      </c>
      <c r="P5" s="621" t="s">
        <v>160</v>
      </c>
    </row>
    <row r="6" spans="1:16" ht="24.6" customHeight="1">
      <c r="A6" s="321">
        <v>2015</v>
      </c>
      <c r="B6" s="2129">
        <v>21602.127</v>
      </c>
      <c r="C6" s="2130">
        <v>428.08800000000002</v>
      </c>
      <c r="D6" s="2130">
        <v>22030.215</v>
      </c>
      <c r="E6" s="2130">
        <v>142780.95199999999</v>
      </c>
      <c r="F6" s="2130">
        <v>109711777.97</v>
      </c>
      <c r="G6" s="2130">
        <v>373943037.71799999</v>
      </c>
      <c r="H6" s="2130">
        <v>483654815.68800002</v>
      </c>
      <c r="I6" s="2131">
        <v>1.2695000000000001</v>
      </c>
      <c r="J6" s="2130">
        <v>12738706.300000001</v>
      </c>
      <c r="K6" s="2130">
        <v>41224979.767999999</v>
      </c>
      <c r="L6" s="2130">
        <v>53963686.067000002</v>
      </c>
      <c r="M6" s="2131">
        <v>1.5423</v>
      </c>
      <c r="N6" s="2132">
        <v>116.111</v>
      </c>
      <c r="O6" s="2132">
        <v>110.244</v>
      </c>
      <c r="P6" s="2133">
        <v>111.575</v>
      </c>
    </row>
    <row r="7" spans="1:16" ht="24.6" customHeight="1">
      <c r="A7" s="321">
        <v>2016</v>
      </c>
      <c r="B7" s="2129">
        <v>22096.748</v>
      </c>
      <c r="C7" s="2129">
        <v>455.971</v>
      </c>
      <c r="D7" s="2129">
        <v>22552.719000000001</v>
      </c>
      <c r="E7" s="2129">
        <v>150899.636</v>
      </c>
      <c r="F7" s="2129">
        <v>112113686.507</v>
      </c>
      <c r="G7" s="2129">
        <v>384925217.42400002</v>
      </c>
      <c r="H7" s="2130">
        <v>497038903.93099999</v>
      </c>
      <c r="I7" s="2131">
        <v>2.7673000000000001</v>
      </c>
      <c r="J7" s="2129">
        <v>12969535.767000001</v>
      </c>
      <c r="K7" s="2129">
        <v>42317987.292999998</v>
      </c>
      <c r="L7" s="2129">
        <v>55287523.060000002</v>
      </c>
      <c r="M7" s="2134">
        <v>2.4531999999999998</v>
      </c>
      <c r="N7" s="2135">
        <v>115.682</v>
      </c>
      <c r="O7" s="2135">
        <v>109.938</v>
      </c>
      <c r="P7" s="2133">
        <v>111.23399999999999</v>
      </c>
    </row>
    <row r="8" spans="1:16" ht="24.6" customHeight="1">
      <c r="A8" s="321">
        <v>2017</v>
      </c>
      <c r="B8" s="2129">
        <v>22588.001</v>
      </c>
      <c r="C8" s="2129">
        <v>489.02199999999999</v>
      </c>
      <c r="D8" s="2129">
        <v>23077.023000000001</v>
      </c>
      <c r="E8" s="2129">
        <v>155122.32999999999</v>
      </c>
      <c r="F8" s="2129">
        <v>112410997.007</v>
      </c>
      <c r="G8" s="2129">
        <v>395335389.10399997</v>
      </c>
      <c r="H8" s="2130">
        <v>507746386.111</v>
      </c>
      <c r="I8" s="2131">
        <v>2.1543000000000001</v>
      </c>
      <c r="J8" s="2129">
        <v>12565543.879000001</v>
      </c>
      <c r="K8" s="2129">
        <v>43048466.931000002</v>
      </c>
      <c r="L8" s="2129">
        <v>55614010.810000002</v>
      </c>
      <c r="M8" s="2134">
        <v>0.59050000000000002</v>
      </c>
      <c r="N8" s="2135">
        <v>111.782</v>
      </c>
      <c r="O8" s="2135">
        <v>108.89100000000001</v>
      </c>
      <c r="P8" s="2133">
        <v>109.53100000000001</v>
      </c>
    </row>
    <row r="9" spans="1:16" ht="24.6" customHeight="1">
      <c r="A9" s="321">
        <v>2018</v>
      </c>
      <c r="B9" s="2129">
        <v>22972.478999999999</v>
      </c>
      <c r="C9" s="2129">
        <v>529.06399999999996</v>
      </c>
      <c r="D9" s="2129">
        <v>23501.543000000001</v>
      </c>
      <c r="E9" s="2129">
        <v>161775.32999999999</v>
      </c>
      <c r="F9" s="2129">
        <v>115975614.344</v>
      </c>
      <c r="G9" s="2129">
        <v>410173547.38300002</v>
      </c>
      <c r="H9" s="2130">
        <v>526149161.727</v>
      </c>
      <c r="I9" s="2131">
        <v>3.6244000000000001</v>
      </c>
      <c r="J9" s="2129">
        <v>12925751.463</v>
      </c>
      <c r="K9" s="2129">
        <v>44291834.943000004</v>
      </c>
      <c r="L9" s="2129">
        <v>57217586.406000003</v>
      </c>
      <c r="M9" s="2134">
        <v>2.8834</v>
      </c>
      <c r="N9" s="2135">
        <v>111.452</v>
      </c>
      <c r="O9" s="2135">
        <v>107.983</v>
      </c>
      <c r="P9" s="2133">
        <v>108.748</v>
      </c>
    </row>
    <row r="10" spans="1:16" ht="24.6" customHeight="1">
      <c r="A10" s="321">
        <v>2019</v>
      </c>
      <c r="B10" s="2129">
        <v>23293.954000000002</v>
      </c>
      <c r="C10" s="2129">
        <v>566.07799999999997</v>
      </c>
      <c r="D10" s="2129">
        <v>23860.031999999999</v>
      </c>
      <c r="E10" s="2129">
        <v>162016.67000000001</v>
      </c>
      <c r="F10" s="2129">
        <v>112889100.788</v>
      </c>
      <c r="G10" s="2129">
        <v>407609636.93800002</v>
      </c>
      <c r="H10" s="2130">
        <v>520498737.72600001</v>
      </c>
      <c r="I10" s="2131">
        <v>-1.0739000000000001</v>
      </c>
      <c r="J10" s="2129">
        <v>12610190.472999999</v>
      </c>
      <c r="K10" s="2129">
        <v>43946309.818999998</v>
      </c>
      <c r="L10" s="2129">
        <v>56556500.292000003</v>
      </c>
      <c r="M10" s="2134">
        <v>-1.1554</v>
      </c>
      <c r="N10" s="2135">
        <v>111.70399999999999</v>
      </c>
      <c r="O10" s="2135">
        <v>107.815</v>
      </c>
      <c r="P10" s="2133">
        <v>108.658</v>
      </c>
    </row>
    <row r="11" spans="1:16" ht="24.6" customHeight="1">
      <c r="A11" s="321">
        <v>2020</v>
      </c>
      <c r="B11" s="2129">
        <v>23593.824000000001</v>
      </c>
      <c r="C11" s="2130">
        <v>604.48</v>
      </c>
      <c r="D11" s="2130">
        <v>24198.304</v>
      </c>
      <c r="E11" s="2130">
        <v>163013.38</v>
      </c>
      <c r="F11" s="2130">
        <v>111662735.94</v>
      </c>
      <c r="G11" s="2130">
        <v>397606979.25700003</v>
      </c>
      <c r="H11" s="2130">
        <v>509269715.19700003</v>
      </c>
      <c r="I11" s="2131">
        <v>-2.1574</v>
      </c>
      <c r="J11" s="2130">
        <v>12656573.528999999</v>
      </c>
      <c r="K11" s="2130">
        <v>43262004.68</v>
      </c>
      <c r="L11" s="2130">
        <v>55918578.210000001</v>
      </c>
      <c r="M11" s="2131">
        <v>-1.1278999999999999</v>
      </c>
      <c r="N11" s="2132">
        <v>113.346</v>
      </c>
      <c r="O11" s="2132">
        <v>108.806</v>
      </c>
      <c r="P11" s="2133">
        <v>109.801</v>
      </c>
    </row>
    <row r="12" spans="1:16" ht="24.6" customHeight="1">
      <c r="A12" s="321">
        <v>2021</v>
      </c>
      <c r="B12" s="2129">
        <v>23877.503000000001</v>
      </c>
      <c r="C12" s="2130">
        <v>645.80100000000004</v>
      </c>
      <c r="D12" s="2130">
        <v>24523.304</v>
      </c>
      <c r="E12" s="2130">
        <v>172961.97099999999</v>
      </c>
      <c r="F12" s="2130">
        <v>115457140.559</v>
      </c>
      <c r="G12" s="2130">
        <v>417973670.29900002</v>
      </c>
      <c r="H12" s="2130">
        <v>533430810.85799998</v>
      </c>
      <c r="I12" s="2131">
        <v>4.7443</v>
      </c>
      <c r="J12" s="2130">
        <v>12949039.607999999</v>
      </c>
      <c r="K12" s="2130">
        <v>44722447.920000002</v>
      </c>
      <c r="L12" s="2130">
        <v>57671487.527999997</v>
      </c>
      <c r="M12" s="2131">
        <v>3.1347999999999998</v>
      </c>
      <c r="N12" s="2132">
        <v>112.155</v>
      </c>
      <c r="O12" s="2132">
        <v>106.998</v>
      </c>
      <c r="P12" s="2133">
        <v>108.114</v>
      </c>
    </row>
    <row r="13" spans="1:16" ht="24.6" customHeight="1">
      <c r="A13" s="321">
        <v>2022</v>
      </c>
      <c r="B13" s="2129">
        <v>24170.062000000002</v>
      </c>
      <c r="C13" s="2130">
        <v>696.31299999999999</v>
      </c>
      <c r="D13" s="2130">
        <v>24866.375</v>
      </c>
      <c r="E13" s="2130">
        <v>174692.31099999999</v>
      </c>
      <c r="F13" s="2130">
        <v>118406479.044</v>
      </c>
      <c r="G13" s="2130">
        <v>429526263.16900003</v>
      </c>
      <c r="H13" s="2130">
        <v>547932742.21300006</v>
      </c>
      <c r="I13" s="2131">
        <v>2.7185999999999999</v>
      </c>
      <c r="J13" s="2130">
        <v>14678926.738</v>
      </c>
      <c r="K13" s="2130">
        <v>51351157.546999998</v>
      </c>
      <c r="L13" s="2130">
        <v>66030084.284999996</v>
      </c>
      <c r="M13" s="2131">
        <v>14.493499999999999</v>
      </c>
      <c r="N13" s="2132">
        <v>123.971</v>
      </c>
      <c r="O13" s="2132">
        <v>119.553</v>
      </c>
      <c r="P13" s="2133">
        <v>120.508</v>
      </c>
    </row>
    <row r="14" spans="1:16" ht="24.6" customHeight="1">
      <c r="A14" s="321">
        <v>2023</v>
      </c>
      <c r="B14" s="2129">
        <v>24387.987000000001</v>
      </c>
      <c r="C14" s="2130">
        <v>740.88699999999994</v>
      </c>
      <c r="D14" s="2130">
        <v>25128.874</v>
      </c>
      <c r="E14" s="2130">
        <v>179855.49600000001</v>
      </c>
      <c r="F14" s="2130">
        <v>117637581.46799999</v>
      </c>
      <c r="G14" s="2130">
        <v>428328373.88200003</v>
      </c>
      <c r="H14" s="2130">
        <v>545965955.35000002</v>
      </c>
      <c r="I14" s="2131">
        <v>-0.3589</v>
      </c>
      <c r="J14" s="2130">
        <v>17949200.517000001</v>
      </c>
      <c r="K14" s="2130">
        <v>65476292.899999999</v>
      </c>
      <c r="L14" s="2130">
        <v>83425493.416999996</v>
      </c>
      <c r="M14" s="2131">
        <v>26.3447</v>
      </c>
      <c r="N14" s="2132">
        <v>152.58000000000001</v>
      </c>
      <c r="O14" s="2132">
        <v>152.86500000000001</v>
      </c>
      <c r="P14" s="2133">
        <v>152.803</v>
      </c>
    </row>
    <row r="15" spans="1:16" s="2136" customFormat="1" ht="24.6" customHeight="1">
      <c r="A15" s="321">
        <v>2024</v>
      </c>
      <c r="B15" s="2129">
        <v>24540.524000000001</v>
      </c>
      <c r="C15" s="2129">
        <v>780.71100000000001</v>
      </c>
      <c r="D15" s="2129">
        <v>25321.235000000001</v>
      </c>
      <c r="E15" s="2129">
        <v>183194.796</v>
      </c>
      <c r="F15" s="2129">
        <v>118884200.441</v>
      </c>
      <c r="G15" s="2129">
        <v>430936464.38700002</v>
      </c>
      <c r="H15" s="2130">
        <v>549820664.82799995</v>
      </c>
      <c r="I15" s="2131">
        <v>0.70599999999999996</v>
      </c>
      <c r="J15" s="2129">
        <v>18900527.686999999</v>
      </c>
      <c r="K15" s="2129">
        <v>70678868.289000005</v>
      </c>
      <c r="L15" s="2129">
        <v>89579395.975999996</v>
      </c>
      <c r="M15" s="2134">
        <v>7.3765000000000001</v>
      </c>
      <c r="N15" s="2135">
        <v>158.983</v>
      </c>
      <c r="O15" s="2135">
        <v>164.012</v>
      </c>
      <c r="P15" s="2133">
        <v>162.92500000000001</v>
      </c>
    </row>
    <row r="16" spans="1:16" ht="24.6" customHeight="1">
      <c r="A16" s="321">
        <v>2025</v>
      </c>
      <c r="B16" s="2137">
        <v>24621.981</v>
      </c>
      <c r="C16" s="2138">
        <v>812.19500000000005</v>
      </c>
      <c r="D16" s="2138">
        <v>25434.175999999999</v>
      </c>
      <c r="E16" s="2138">
        <v>185257.71</v>
      </c>
      <c r="F16" s="2138">
        <v>119429610.774</v>
      </c>
      <c r="G16" s="2138">
        <v>429987648.58600003</v>
      </c>
      <c r="H16" s="2138">
        <v>549417259.36000001</v>
      </c>
      <c r="I16" s="2131">
        <v>-7.3400000000000007E-2</v>
      </c>
      <c r="J16" s="2130">
        <v>19268429.289999999</v>
      </c>
      <c r="K16" s="2130">
        <v>74335052.317000002</v>
      </c>
      <c r="L16" s="2130">
        <v>93603481.606999993</v>
      </c>
      <c r="M16" s="2131">
        <v>4.4922000000000004</v>
      </c>
      <c r="N16" s="2132">
        <v>161.33699999999999</v>
      </c>
      <c r="O16" s="2132">
        <v>172.87700000000001</v>
      </c>
      <c r="P16" s="2133">
        <v>170.369</v>
      </c>
    </row>
    <row r="17" spans="1:16" ht="24.6" customHeight="1">
      <c r="A17" s="1602" t="s">
        <v>828</v>
      </c>
      <c r="B17" s="2139">
        <v>24561.580999999998</v>
      </c>
      <c r="C17" s="2140">
        <v>793.17200000000003</v>
      </c>
      <c r="D17" s="2140">
        <v>25354.753000000001</v>
      </c>
      <c r="E17" s="2140">
        <v>184573.70699999999</v>
      </c>
      <c r="F17" s="2140">
        <v>42397634.101000004</v>
      </c>
      <c r="G17" s="2140">
        <v>141737504.23699999</v>
      </c>
      <c r="H17" s="2140">
        <v>184135138.338</v>
      </c>
      <c r="I17" s="2141">
        <v>-0.18010000000000001</v>
      </c>
      <c r="J17" s="2142">
        <v>6668300.7649999997</v>
      </c>
      <c r="K17" s="2142">
        <v>24104068.440000001</v>
      </c>
      <c r="L17" s="2142">
        <v>30772369.204999998</v>
      </c>
      <c r="M17" s="2141">
        <v>5.3414999999999999</v>
      </c>
      <c r="N17" s="2143">
        <v>157.28</v>
      </c>
      <c r="O17" s="2143">
        <v>170.06100000000001</v>
      </c>
      <c r="P17" s="2144">
        <v>167.11799999999999</v>
      </c>
    </row>
    <row r="18" spans="1:16" ht="24.6" customHeight="1">
      <c r="A18" s="336">
        <v>2025.04</v>
      </c>
      <c r="B18" s="2137">
        <v>24561.580999999998</v>
      </c>
      <c r="C18" s="2138">
        <v>793.17200000000003</v>
      </c>
      <c r="D18" s="2138">
        <v>25354.753000000001</v>
      </c>
      <c r="E18" s="2138">
        <v>184573.70699999999</v>
      </c>
      <c r="F18" s="2138">
        <v>9027330.5350000001</v>
      </c>
      <c r="G18" s="2138">
        <v>34089559.766000003</v>
      </c>
      <c r="H18" s="2138">
        <v>43116890.300999999</v>
      </c>
      <c r="I18" s="2131">
        <v>0.8085</v>
      </c>
      <c r="J18" s="2130">
        <v>1372144.385</v>
      </c>
      <c r="K18" s="2130">
        <v>5496850.7759999996</v>
      </c>
      <c r="L18" s="2130">
        <v>6868995.1610000003</v>
      </c>
      <c r="M18" s="2131">
        <v>7.1337000000000002</v>
      </c>
      <c r="N18" s="2132">
        <v>151.999</v>
      </c>
      <c r="O18" s="2132">
        <v>161.24700000000001</v>
      </c>
      <c r="P18" s="2133">
        <v>159.31100000000001</v>
      </c>
    </row>
    <row r="19" spans="1:16" ht="24.6" customHeight="1">
      <c r="A19" s="336">
        <v>2025.05</v>
      </c>
      <c r="B19" s="2137">
        <v>24482.021000000001</v>
      </c>
      <c r="C19" s="2138">
        <v>795.57799999999997</v>
      </c>
      <c r="D19" s="2138">
        <v>25277.598999999998</v>
      </c>
      <c r="E19" s="2138">
        <v>184677.201</v>
      </c>
      <c r="F19" s="2138">
        <v>7887952.7039999999</v>
      </c>
      <c r="G19" s="2138">
        <v>33330645.756000001</v>
      </c>
      <c r="H19" s="2138">
        <v>41218598.460000001</v>
      </c>
      <c r="I19" s="2131">
        <v>4.4499999999999998E-2</v>
      </c>
      <c r="J19" s="2130">
        <v>1237811.2749999999</v>
      </c>
      <c r="K19" s="2130">
        <v>5374073.1440000003</v>
      </c>
      <c r="L19" s="2130">
        <v>6611884.4189999998</v>
      </c>
      <c r="M19" s="2131">
        <v>6.4797000000000002</v>
      </c>
      <c r="N19" s="2132">
        <v>156.92400000000001</v>
      </c>
      <c r="O19" s="2132">
        <v>161.23500000000001</v>
      </c>
      <c r="P19" s="2133">
        <v>160.41</v>
      </c>
    </row>
    <row r="20" spans="1:16" ht="24.6" customHeight="1">
      <c r="A20" s="336">
        <v>2025.06</v>
      </c>
      <c r="B20" s="2137">
        <v>24489.501</v>
      </c>
      <c r="C20" s="2138">
        <v>797.101</v>
      </c>
      <c r="D20" s="2138">
        <v>25286.601999999999</v>
      </c>
      <c r="E20" s="2138">
        <v>184608.522</v>
      </c>
      <c r="F20" s="2138">
        <v>8348967.3540000003</v>
      </c>
      <c r="G20" s="2138">
        <v>34656920.684</v>
      </c>
      <c r="H20" s="2138">
        <v>43005888.038000003</v>
      </c>
      <c r="I20" s="2131">
        <v>0.44440000000000002</v>
      </c>
      <c r="J20" s="2130">
        <v>1368754.6070000001</v>
      </c>
      <c r="K20" s="2130">
        <v>6208016.1050000004</v>
      </c>
      <c r="L20" s="2130">
        <v>7576770.7120000003</v>
      </c>
      <c r="M20" s="2131">
        <v>6.4577</v>
      </c>
      <c r="N20" s="2132">
        <v>163.94300000000001</v>
      </c>
      <c r="O20" s="2132">
        <v>179.12799999999999</v>
      </c>
      <c r="P20" s="2133">
        <v>176.18</v>
      </c>
    </row>
    <row r="21" spans="1:16" ht="24.6" customHeight="1">
      <c r="A21" s="336">
        <v>2025.07</v>
      </c>
      <c r="B21" s="2137">
        <v>24508.177</v>
      </c>
      <c r="C21" s="2138">
        <v>799.72799999999995</v>
      </c>
      <c r="D21" s="2138">
        <v>25307.904999999999</v>
      </c>
      <c r="E21" s="2138">
        <v>185831.03700000001</v>
      </c>
      <c r="F21" s="2138">
        <v>9979906.1359999999</v>
      </c>
      <c r="G21" s="2138">
        <v>38844500.869000003</v>
      </c>
      <c r="H21" s="2138">
        <v>48824407.005000003</v>
      </c>
      <c r="I21" s="2131">
        <v>3.6697000000000002</v>
      </c>
      <c r="J21" s="2130">
        <v>1732654.45</v>
      </c>
      <c r="K21" s="2130">
        <v>7150328.9000000004</v>
      </c>
      <c r="L21" s="2130">
        <v>8882983.3499999996</v>
      </c>
      <c r="M21" s="2131">
        <v>9.3600999999999992</v>
      </c>
      <c r="N21" s="2132">
        <v>173.614</v>
      </c>
      <c r="O21" s="2132">
        <v>184.07599999999999</v>
      </c>
      <c r="P21" s="2133">
        <v>181.93700000000001</v>
      </c>
    </row>
    <row r="22" spans="1:16" ht="24.6" customHeight="1">
      <c r="A22" s="336">
        <v>2025.08</v>
      </c>
      <c r="B22" s="2137">
        <v>24520.363000000001</v>
      </c>
      <c r="C22" s="2138">
        <v>802.02499999999998</v>
      </c>
      <c r="D22" s="2138">
        <v>25322.387999999999</v>
      </c>
      <c r="E22" s="2138">
        <v>183607.21799999999</v>
      </c>
      <c r="F22" s="2138">
        <v>11955368.882999999</v>
      </c>
      <c r="G22" s="2138">
        <v>40163177.166000001</v>
      </c>
      <c r="H22" s="2138">
        <v>52118546.049000002</v>
      </c>
      <c r="I22" s="2131">
        <v>-0.57489999999999997</v>
      </c>
      <c r="J22" s="2130">
        <v>2053555.8540000001</v>
      </c>
      <c r="K22" s="2130">
        <v>7316988.8059999999</v>
      </c>
      <c r="L22" s="2130">
        <v>9370544.659</v>
      </c>
      <c r="M22" s="2131">
        <v>4.0804</v>
      </c>
      <c r="N22" s="2132">
        <v>171.76900000000001</v>
      </c>
      <c r="O22" s="2132">
        <v>182.18199999999999</v>
      </c>
      <c r="P22" s="2133">
        <v>179.79300000000001</v>
      </c>
    </row>
    <row r="23" spans="1:16" ht="24.6" customHeight="1">
      <c r="A23" s="336">
        <v>2025.09</v>
      </c>
      <c r="B23" s="2137">
        <v>24530.611000000001</v>
      </c>
      <c r="C23" s="2138">
        <v>804.197</v>
      </c>
      <c r="D23" s="2138">
        <v>25334.808000000001</v>
      </c>
      <c r="E23" s="2138">
        <v>184136.541</v>
      </c>
      <c r="F23" s="2138">
        <v>11548110.946</v>
      </c>
      <c r="G23" s="2138">
        <v>39015369.511</v>
      </c>
      <c r="H23" s="2138">
        <v>50563480.457000002</v>
      </c>
      <c r="I23" s="2131">
        <v>0.35699999999999998</v>
      </c>
      <c r="J23" s="2130">
        <v>1897422.8759999999</v>
      </c>
      <c r="K23" s="2130">
        <v>6448306.6440000003</v>
      </c>
      <c r="L23" s="2130">
        <v>8345729.5190000003</v>
      </c>
      <c r="M23" s="2131">
        <v>5.4318999999999997</v>
      </c>
      <c r="N23" s="2132">
        <v>164.30600000000001</v>
      </c>
      <c r="O23" s="2132">
        <v>165.27600000000001</v>
      </c>
      <c r="P23" s="2133">
        <v>165.054</v>
      </c>
    </row>
    <row r="24" spans="1:16" ht="24.6" customHeight="1">
      <c r="A24" s="336">
        <v>2025.1</v>
      </c>
      <c r="B24" s="2137">
        <v>24532.022000000001</v>
      </c>
      <c r="C24" s="2138">
        <v>806.08399999999995</v>
      </c>
      <c r="D24" s="2138">
        <v>25338.106</v>
      </c>
      <c r="E24" s="2138">
        <v>185081.636</v>
      </c>
      <c r="F24" s="2138">
        <v>8659479.0889999997</v>
      </c>
      <c r="G24" s="2138">
        <v>33465548.640000001</v>
      </c>
      <c r="H24" s="2138">
        <v>42125027.729000002</v>
      </c>
      <c r="I24" s="2131">
        <v>-4.4569000000000001</v>
      </c>
      <c r="J24" s="2130">
        <v>1327568.602</v>
      </c>
      <c r="K24" s="2130">
        <v>5381595.023</v>
      </c>
      <c r="L24" s="2130">
        <v>6709163.625</v>
      </c>
      <c r="M24" s="2131">
        <v>-0.41170000000000001</v>
      </c>
      <c r="N24" s="2132">
        <v>153.30799999999999</v>
      </c>
      <c r="O24" s="2132">
        <v>160.81</v>
      </c>
      <c r="P24" s="2133">
        <v>159.268</v>
      </c>
    </row>
    <row r="25" spans="1:16" ht="24.6" customHeight="1">
      <c r="A25" s="336">
        <v>2025.11</v>
      </c>
      <c r="B25" s="2137">
        <v>25095.124</v>
      </c>
      <c r="C25" s="2138">
        <v>809.20399999999995</v>
      </c>
      <c r="D25" s="2138">
        <v>25904.328000000001</v>
      </c>
      <c r="E25" s="2138">
        <v>186940.29500000001</v>
      </c>
      <c r="F25" s="2138">
        <v>8905529.9570000004</v>
      </c>
      <c r="G25" s="2138">
        <v>33169989.364999998</v>
      </c>
      <c r="H25" s="2138">
        <v>42075519.321999997</v>
      </c>
      <c r="I25" s="2131">
        <v>0.34620000000000001</v>
      </c>
      <c r="J25" s="2130">
        <v>1384914.1170000001</v>
      </c>
      <c r="K25" s="2130">
        <v>5937430.1950000003</v>
      </c>
      <c r="L25" s="2130">
        <v>7322344.3119999999</v>
      </c>
      <c r="M25" s="2131">
        <v>0.52580000000000005</v>
      </c>
      <c r="N25" s="2132">
        <v>155.512</v>
      </c>
      <c r="O25" s="2132">
        <v>179</v>
      </c>
      <c r="P25" s="2133">
        <v>174.029</v>
      </c>
    </row>
    <row r="26" spans="1:16" ht="24.6" customHeight="1">
      <c r="A26" s="336">
        <v>2025.12</v>
      </c>
      <c r="B26" s="2137">
        <v>24621.981</v>
      </c>
      <c r="C26" s="2138">
        <v>812.19500000000005</v>
      </c>
      <c r="D26" s="2138">
        <v>25434.175999999999</v>
      </c>
      <c r="E26" s="2138">
        <v>185257.71</v>
      </c>
      <c r="F26" s="2138">
        <v>9746661.6040000003</v>
      </c>
      <c r="G26" s="2138">
        <v>35603992.358000003</v>
      </c>
      <c r="H26" s="2138">
        <v>45350653.961999997</v>
      </c>
      <c r="I26" s="2131">
        <v>-0.1469</v>
      </c>
      <c r="J26" s="2130">
        <v>1597446.7450000001</v>
      </c>
      <c r="K26" s="2130">
        <v>6414245.0599999996</v>
      </c>
      <c r="L26" s="2130">
        <v>8011691.8049999997</v>
      </c>
      <c r="M26" s="2131">
        <v>0.42059999999999997</v>
      </c>
      <c r="N26" s="2132">
        <v>163.89699999999999</v>
      </c>
      <c r="O26" s="2132">
        <v>180.155</v>
      </c>
      <c r="P26" s="2133">
        <v>176.661</v>
      </c>
    </row>
    <row r="27" spans="1:16" ht="24.6" customHeight="1">
      <c r="A27" s="337" t="s">
        <v>829</v>
      </c>
      <c r="B27" s="2145">
        <v>24660.377</v>
      </c>
      <c r="C27" s="2146">
        <v>826.41200000000003</v>
      </c>
      <c r="D27" s="2146">
        <v>25486.789000000001</v>
      </c>
      <c r="E27" s="2146">
        <v>185481.41</v>
      </c>
      <c r="F27" s="2146">
        <v>41920315.041000001</v>
      </c>
      <c r="G27" s="2146">
        <v>140550102.34799999</v>
      </c>
      <c r="H27" s="2146">
        <v>182470417.389</v>
      </c>
      <c r="I27" s="2147">
        <v>-0.90410000000000001</v>
      </c>
      <c r="J27" s="2148">
        <v>6664519.7560000001</v>
      </c>
      <c r="K27" s="2148">
        <v>23965693.147999998</v>
      </c>
      <c r="L27" s="2148">
        <v>30630212.903999999</v>
      </c>
      <c r="M27" s="2147">
        <v>-0.46200000000000002</v>
      </c>
      <c r="N27" s="2149">
        <v>158.98099999999999</v>
      </c>
      <c r="O27" s="2149">
        <v>170.51400000000001</v>
      </c>
      <c r="P27" s="2150">
        <v>167.864</v>
      </c>
    </row>
    <row r="28" spans="1:16" ht="24.6" customHeight="1">
      <c r="A28" s="337">
        <v>2026.01</v>
      </c>
      <c r="B28" s="2145">
        <v>24548.528999999999</v>
      </c>
      <c r="C28" s="2146">
        <v>815.47500000000002</v>
      </c>
      <c r="D28" s="2146">
        <v>25364.004000000001</v>
      </c>
      <c r="E28" s="2146">
        <v>185116.55100000001</v>
      </c>
      <c r="F28" s="2146">
        <v>11618808.549000001</v>
      </c>
      <c r="G28" s="2146">
        <v>37733901.936999999</v>
      </c>
      <c r="H28" s="2146">
        <v>49352710.486000001</v>
      </c>
      <c r="I28" s="2147">
        <v>1.1399999999999999</v>
      </c>
      <c r="J28" s="2148">
        <v>1875920.19</v>
      </c>
      <c r="K28" s="2148">
        <v>6739957.4579999996</v>
      </c>
      <c r="L28" s="2148">
        <v>8615877.648</v>
      </c>
      <c r="M28" s="2147">
        <v>2.3656999999999999</v>
      </c>
      <c r="N28" s="2149">
        <v>161.45500000000001</v>
      </c>
      <c r="O28" s="2149">
        <v>178.61799999999999</v>
      </c>
      <c r="P28" s="2150">
        <v>174.578</v>
      </c>
    </row>
    <row r="29" spans="1:16" ht="24.6" customHeight="1">
      <c r="A29" s="336">
        <v>2026.02</v>
      </c>
      <c r="B29" s="2137">
        <v>24550.924999999999</v>
      </c>
      <c r="C29" s="2138">
        <v>818.55200000000002</v>
      </c>
      <c r="D29" s="2138">
        <v>25369.476999999999</v>
      </c>
      <c r="E29" s="2138">
        <v>184050.96299999999</v>
      </c>
      <c r="F29" s="2138">
        <v>12110707.875</v>
      </c>
      <c r="G29" s="2138">
        <v>35025057.013999999</v>
      </c>
      <c r="H29" s="2138">
        <v>47135764.888999999</v>
      </c>
      <c r="I29" s="2131">
        <v>0.15010000000000001</v>
      </c>
      <c r="J29" s="2130">
        <v>1951420.1310000001</v>
      </c>
      <c r="K29" s="2130">
        <v>6245717.483</v>
      </c>
      <c r="L29" s="2130">
        <v>8197137.6140000001</v>
      </c>
      <c r="M29" s="2131">
        <v>-0.29659999999999997</v>
      </c>
      <c r="N29" s="2132">
        <v>161.13200000000001</v>
      </c>
      <c r="O29" s="2132">
        <v>178.321</v>
      </c>
      <c r="P29" s="2133">
        <v>173.905</v>
      </c>
    </row>
    <row r="30" spans="1:16" ht="24.6" customHeight="1">
      <c r="A30" s="336">
        <v>2026.03</v>
      </c>
      <c r="B30" s="2137">
        <v>25107.960999999999</v>
      </c>
      <c r="C30" s="2138">
        <v>821.70600000000002</v>
      </c>
      <c r="D30" s="2138">
        <v>25929.667000000001</v>
      </c>
      <c r="E30" s="2138">
        <v>186028.45199999999</v>
      </c>
      <c r="F30" s="2138">
        <v>9295315.4330000002</v>
      </c>
      <c r="G30" s="2138">
        <v>33958244.818999998</v>
      </c>
      <c r="H30" s="2138">
        <v>43253560.251999997</v>
      </c>
      <c r="I30" s="2131">
        <v>-4.2145000000000001</v>
      </c>
      <c r="J30" s="2130">
        <v>1474724.2379999999</v>
      </c>
      <c r="K30" s="2130">
        <v>5526150.6610000003</v>
      </c>
      <c r="L30" s="2130">
        <v>7000874.8990000002</v>
      </c>
      <c r="M30" s="2131">
        <v>-3.6368999999999998</v>
      </c>
      <c r="N30" s="2132">
        <v>158.65199999999999</v>
      </c>
      <c r="O30" s="2132">
        <v>162.73400000000001</v>
      </c>
      <c r="P30" s="2133">
        <v>161.857</v>
      </c>
    </row>
    <row r="31" spans="1:16" ht="24.6" customHeight="1">
      <c r="A31" s="338">
        <v>2026.04</v>
      </c>
      <c r="B31" s="2151">
        <v>24660.377</v>
      </c>
      <c r="C31" s="2152">
        <v>826.41200000000003</v>
      </c>
      <c r="D31" s="2152">
        <v>25486.789000000001</v>
      </c>
      <c r="E31" s="2152">
        <v>185481.41</v>
      </c>
      <c r="F31" s="2152">
        <v>8895483.1840000004</v>
      </c>
      <c r="G31" s="2152">
        <v>33832898.578000002</v>
      </c>
      <c r="H31" s="2152">
        <v>42728381.762000002</v>
      </c>
      <c r="I31" s="2153">
        <v>-0.90110000000000001</v>
      </c>
      <c r="J31" s="2154">
        <v>1362455.1980000001</v>
      </c>
      <c r="K31" s="2154">
        <v>5453867.5449999999</v>
      </c>
      <c r="L31" s="2154">
        <v>6816322.7429999998</v>
      </c>
      <c r="M31" s="2153">
        <v>-0.76680000000000004</v>
      </c>
      <c r="N31" s="2155">
        <v>153.16300000000001</v>
      </c>
      <c r="O31" s="2155">
        <v>161.19999999999999</v>
      </c>
      <c r="P31" s="2156">
        <v>159.52699999999999</v>
      </c>
    </row>
    <row r="32" spans="1:16" s="2136" customFormat="1" ht="3" customHeight="1">
      <c r="A32" s="2157"/>
      <c r="B32" s="2158"/>
      <c r="C32" s="2158"/>
      <c r="D32" s="2158"/>
      <c r="E32" s="2158"/>
      <c r="F32" s="2158"/>
      <c r="G32" s="2158"/>
      <c r="H32" s="2158"/>
      <c r="I32" s="2159"/>
      <c r="J32" s="2158"/>
      <c r="K32" s="2158"/>
      <c r="L32" s="2158"/>
      <c r="M32" s="2159"/>
      <c r="N32" s="2160"/>
      <c r="O32" s="2160"/>
      <c r="P32" s="2160"/>
    </row>
    <row r="33" spans="1:16" ht="12.95" customHeight="1">
      <c r="A33" s="346" t="s">
        <v>1164</v>
      </c>
      <c r="B33" s="2161"/>
      <c r="C33" s="2161"/>
      <c r="D33" s="2161"/>
      <c r="E33" s="2161"/>
      <c r="F33" s="2162"/>
      <c r="G33" s="2162"/>
      <c r="H33" s="2162"/>
      <c r="I33" s="346"/>
      <c r="J33" s="346"/>
      <c r="K33" s="2162"/>
      <c r="L33" s="2162"/>
      <c r="M33" s="2159"/>
      <c r="N33" s="2163"/>
      <c r="O33" s="2163"/>
      <c r="P33" s="2163"/>
    </row>
    <row r="34" spans="1:16" s="349" customFormat="1" ht="9.9499999999999993" customHeight="1">
      <c r="A34" s="346"/>
      <c r="B34" s="346"/>
      <c r="C34" s="346"/>
      <c r="D34" s="346"/>
      <c r="E34" s="346"/>
      <c r="F34" s="346"/>
      <c r="G34" s="346"/>
      <c r="H34" s="346"/>
      <c r="I34" s="532"/>
      <c r="J34" s="346"/>
      <c r="K34" s="346"/>
      <c r="L34" s="346"/>
      <c r="M34" s="346"/>
      <c r="N34" s="346"/>
      <c r="O34" s="346"/>
      <c r="P34" s="346"/>
    </row>
    <row r="35" spans="1:16" s="349" customFormat="1" ht="12" customHeight="1">
      <c r="A35" s="615"/>
      <c r="B35" s="346"/>
      <c r="C35" s="346"/>
      <c r="D35" s="346"/>
      <c r="E35" s="346"/>
      <c r="F35" s="346"/>
      <c r="G35" s="2164"/>
      <c r="H35" s="2164"/>
      <c r="I35" s="346"/>
      <c r="J35" s="346"/>
      <c r="K35" s="346"/>
      <c r="L35" s="346"/>
      <c r="M35" s="346"/>
      <c r="N35" s="346"/>
      <c r="O35" s="346"/>
      <c r="P35" s="282"/>
    </row>
    <row r="36" spans="1:16" s="349" customFormat="1" ht="12" customHeight="1">
      <c r="B36" s="271"/>
      <c r="C36" s="271"/>
      <c r="D36" s="271"/>
      <c r="E36" s="271"/>
      <c r="F36" s="271"/>
      <c r="G36" s="2165"/>
      <c r="H36" s="2165"/>
      <c r="I36" s="271"/>
      <c r="K36" s="271"/>
      <c r="L36" s="271"/>
      <c r="M36" s="271"/>
      <c r="N36" s="271"/>
    </row>
  </sheetData>
  <mergeCells count="6">
    <mergeCell ref="A4:A5"/>
    <mergeCell ref="B4:D4"/>
    <mergeCell ref="E4:E5"/>
    <mergeCell ref="F4:H4"/>
    <mergeCell ref="J4:M4"/>
    <mergeCell ref="N4:P4"/>
  </mergeCells>
  <phoneticPr fontId="2" type="noConversion"/>
  <printOptions horizontalCentered="1"/>
  <pageMargins left="0.94488188976377963" right="0.94488188976377963" top="1.1811023622047245" bottom="0.78740157480314965" header="0" footer="1.1811023622047245"/>
  <pageSetup paperSize="9" scale="80" firstPageNumber="48" orientation="portrait" useFirstPageNumber="1" r:id="rId1"/>
  <headerFooter differentOddEven="1" scaleWithDoc="0" alignWithMargins="0"/>
  <colBreaks count="1" manualBreakCount="1">
    <brk id="8" max="3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886F-03B8-4301-BB31-48C4F7411B05}">
  <sheetPr>
    <tabColor rgb="FF00B050"/>
  </sheetPr>
  <dimension ref="A1:AB42"/>
  <sheetViews>
    <sheetView showGridLines="0" view="pageBreakPreview" zoomScale="115" zoomScaleNormal="100" zoomScaleSheetLayoutView="11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25" style="684" customWidth="1"/>
    <col min="2" max="2" width="13" style="12" customWidth="1"/>
    <col min="3" max="3" width="7" style="2211" customWidth="1"/>
    <col min="4" max="4" width="13" style="12" customWidth="1"/>
    <col min="5" max="5" width="7" style="2211" customWidth="1"/>
    <col min="6" max="6" width="13" style="12" customWidth="1"/>
    <col min="7" max="7" width="7" style="2211" customWidth="1"/>
    <col min="8" max="8" width="13.375" style="12" customWidth="1"/>
    <col min="9" max="9" width="7" style="2211" customWidth="1"/>
    <col min="10" max="10" width="15.875" style="12" customWidth="1"/>
    <col min="11" max="11" width="7.5" style="2211" customWidth="1"/>
    <col min="12" max="12" width="15.875" style="12" customWidth="1"/>
    <col min="13" max="13" width="7.5" style="2211" customWidth="1"/>
    <col min="14" max="14" width="15.875" style="12" customWidth="1"/>
    <col min="15" max="15" width="7.5" style="2211" customWidth="1"/>
    <col min="16" max="16" width="15.875" style="684" customWidth="1"/>
    <col min="17" max="17" width="7.625" style="2212" customWidth="1"/>
    <col min="18" max="18" width="8.75" style="12" customWidth="1"/>
    <col min="19" max="19" width="9.375" style="12" customWidth="1"/>
    <col min="20" max="20" width="6.625" style="12" customWidth="1"/>
    <col min="21" max="21" width="7.625" style="12" customWidth="1"/>
    <col min="22" max="22" width="5.875" style="12" customWidth="1"/>
    <col min="23" max="23" width="7.625" style="12" customWidth="1"/>
    <col min="24" max="24" width="5.875" style="12" customWidth="1"/>
    <col min="25" max="25" width="7" style="12" bestFit="1" customWidth="1"/>
    <col min="26" max="26" width="5.875" style="12" customWidth="1"/>
    <col min="27" max="27" width="9" style="12" bestFit="1" customWidth="1"/>
    <col min="28" max="28" width="11" style="12" customWidth="1"/>
    <col min="29" max="29" width="6" style="12" bestFit="1" customWidth="1"/>
    <col min="30" max="30" width="7" style="12" bestFit="1" customWidth="1"/>
    <col min="31" max="31" width="5.875" style="12" bestFit="1" customWidth="1"/>
    <col min="32" max="32" width="6.75" style="12" bestFit="1" customWidth="1"/>
    <col min="33" max="33" width="5.875" style="12" bestFit="1" customWidth="1"/>
    <col min="34" max="34" width="6.75" style="12" bestFit="1" customWidth="1"/>
    <col min="35" max="35" width="5.875" style="12" bestFit="1" customWidth="1"/>
    <col min="36" max="16384" width="10" style="12"/>
  </cols>
  <sheetData>
    <row r="1" spans="1:17" s="271" customFormat="1" ht="20.25">
      <c r="A1" s="2166" t="s">
        <v>1165</v>
      </c>
      <c r="C1" s="2167"/>
      <c r="E1" s="2167"/>
      <c r="G1" s="2167"/>
      <c r="I1" s="2167"/>
      <c r="K1" s="2167"/>
      <c r="M1" s="2167"/>
      <c r="P1" s="1382"/>
      <c r="Q1" s="2168"/>
    </row>
    <row r="2" spans="1:17" s="274" customFormat="1" ht="17.25">
      <c r="A2" s="611" t="s">
        <v>1166</v>
      </c>
      <c r="C2" s="2169"/>
      <c r="E2" s="2169"/>
      <c r="G2" s="2169"/>
      <c r="I2" s="2169"/>
      <c r="K2" s="2169"/>
      <c r="M2" s="2170"/>
      <c r="O2" s="2169"/>
      <c r="P2" s="1385"/>
      <c r="Q2" s="2171"/>
    </row>
    <row r="3" spans="1:17" s="271" customFormat="1" ht="15" customHeight="1">
      <c r="A3" s="613"/>
      <c r="C3" s="2167"/>
      <c r="E3" s="2167"/>
      <c r="G3" s="2167"/>
      <c r="I3" s="2172"/>
      <c r="J3" s="281"/>
      <c r="K3" s="2172"/>
      <c r="L3" s="281"/>
      <c r="M3" s="2172"/>
      <c r="N3" s="281"/>
      <c r="O3" s="2172"/>
      <c r="Q3" s="282" t="s">
        <v>1167</v>
      </c>
    </row>
    <row r="4" spans="1:17" s="272" customFormat="1" ht="39" customHeight="1">
      <c r="A4" s="2173" t="s">
        <v>1053</v>
      </c>
      <c r="B4" s="2174" t="s">
        <v>1168</v>
      </c>
      <c r="C4" s="2175" t="s">
        <v>28</v>
      </c>
      <c r="D4" s="1779" t="s">
        <v>1169</v>
      </c>
      <c r="E4" s="2175" t="s">
        <v>28</v>
      </c>
      <c r="F4" s="1779" t="s">
        <v>1170</v>
      </c>
      <c r="G4" s="2175" t="s">
        <v>28</v>
      </c>
      <c r="H4" s="1779" t="s">
        <v>1171</v>
      </c>
      <c r="I4" s="2175" t="s">
        <v>28</v>
      </c>
      <c r="J4" s="1779" t="s">
        <v>1172</v>
      </c>
      <c r="K4" s="2175" t="s">
        <v>28</v>
      </c>
      <c r="L4" s="1779" t="s">
        <v>1173</v>
      </c>
      <c r="M4" s="2175" t="s">
        <v>28</v>
      </c>
      <c r="N4" s="1779" t="s">
        <v>1174</v>
      </c>
      <c r="O4" s="2175" t="s">
        <v>28</v>
      </c>
      <c r="P4" s="2174" t="s">
        <v>160</v>
      </c>
      <c r="Q4" s="2176" t="s">
        <v>28</v>
      </c>
    </row>
    <row r="5" spans="1:17" s="271" customFormat="1" ht="24.95" customHeight="1">
      <c r="A5" s="321">
        <v>2015</v>
      </c>
      <c r="B5" s="2177">
        <v>65618610.101999998</v>
      </c>
      <c r="C5" s="2131">
        <v>1.8017000000000001</v>
      </c>
      <c r="D5" s="2130">
        <v>103679345.522</v>
      </c>
      <c r="E5" s="2131">
        <v>2.8963999999999999</v>
      </c>
      <c r="F5" s="2130">
        <v>7690600.1150000002</v>
      </c>
      <c r="G5" s="2131">
        <v>3.3908999999999998</v>
      </c>
      <c r="H5" s="2130">
        <v>273547996.64300001</v>
      </c>
      <c r="I5" s="2134">
        <v>0.36559999999999998</v>
      </c>
      <c r="J5" s="2130">
        <v>15702467.649</v>
      </c>
      <c r="K5" s="2131">
        <v>8.2576000000000001</v>
      </c>
      <c r="L5" s="2130">
        <v>3341239.6140000001</v>
      </c>
      <c r="M5" s="2131">
        <v>3.7326999999999999</v>
      </c>
      <c r="N5" s="2130">
        <v>14074556.043</v>
      </c>
      <c r="O5" s="2178">
        <v>-3.9794999999999998</v>
      </c>
      <c r="P5" s="2177">
        <v>483654815.68800002</v>
      </c>
      <c r="Q5" s="2179">
        <v>1.2695000000000001</v>
      </c>
    </row>
    <row r="6" spans="1:17" s="271" customFormat="1" ht="24.95" customHeight="1">
      <c r="A6" s="321">
        <v>2016</v>
      </c>
      <c r="B6" s="2177">
        <v>68056785.533999994</v>
      </c>
      <c r="C6" s="2131">
        <v>3.7157</v>
      </c>
      <c r="D6" s="2130">
        <v>108616888.442</v>
      </c>
      <c r="E6" s="2131">
        <v>4.7622999999999998</v>
      </c>
      <c r="F6" s="2130">
        <v>8079392.1380000003</v>
      </c>
      <c r="G6" s="2131">
        <v>5.0553999999999997</v>
      </c>
      <c r="H6" s="2130">
        <v>278827854.94800001</v>
      </c>
      <c r="I6" s="2134">
        <v>1.9300999999999999</v>
      </c>
      <c r="J6" s="2130">
        <v>16579842.847999999</v>
      </c>
      <c r="K6" s="2131">
        <v>5.5875000000000004</v>
      </c>
      <c r="L6" s="2130">
        <v>3462314.4339999999</v>
      </c>
      <c r="M6" s="2131">
        <v>3.6236000000000002</v>
      </c>
      <c r="N6" s="2130">
        <v>13415825.586999999</v>
      </c>
      <c r="O6" s="2178">
        <v>-4.6802999999999999</v>
      </c>
      <c r="P6" s="2177">
        <v>497038903.93099999</v>
      </c>
      <c r="Q6" s="2179">
        <v>2.7673000000000001</v>
      </c>
    </row>
    <row r="7" spans="1:17" s="271" customFormat="1" ht="24.95" customHeight="1">
      <c r="A7" s="321">
        <v>2017</v>
      </c>
      <c r="B7" s="2177">
        <v>68543759.841999993</v>
      </c>
      <c r="C7" s="2131">
        <v>0.71550000000000002</v>
      </c>
      <c r="D7" s="2130">
        <v>111297776.48899999</v>
      </c>
      <c r="E7" s="2131">
        <v>2.4681999999999999</v>
      </c>
      <c r="F7" s="2130">
        <v>8316290.4539999999</v>
      </c>
      <c r="G7" s="2131">
        <v>2.9321000000000002</v>
      </c>
      <c r="H7" s="2130">
        <v>285969563.01200002</v>
      </c>
      <c r="I7" s="2134">
        <v>2.5613000000000001</v>
      </c>
      <c r="J7" s="2130">
        <v>17250849.908</v>
      </c>
      <c r="K7" s="2131">
        <v>4.0471000000000004</v>
      </c>
      <c r="L7" s="2130">
        <v>3556774.8319999999</v>
      </c>
      <c r="M7" s="2131">
        <v>2.7282000000000002</v>
      </c>
      <c r="N7" s="2130">
        <v>12811371.573999999</v>
      </c>
      <c r="O7" s="2179">
        <v>-4.5054999999999996</v>
      </c>
      <c r="P7" s="682">
        <v>507746386.111</v>
      </c>
      <c r="Q7" s="2179">
        <v>2.1543000000000001</v>
      </c>
    </row>
    <row r="8" spans="1:17" s="271" customFormat="1" ht="24.95" customHeight="1">
      <c r="A8" s="321">
        <v>2018</v>
      </c>
      <c r="B8" s="682">
        <v>72894709.341000006</v>
      </c>
      <c r="C8" s="2131">
        <v>6.3476999999999997</v>
      </c>
      <c r="D8" s="2130">
        <v>116933911.801</v>
      </c>
      <c r="E8" s="2131">
        <v>5.0640000000000001</v>
      </c>
      <c r="F8" s="2130">
        <v>8677807.7980000004</v>
      </c>
      <c r="G8" s="2131">
        <v>4.3471000000000002</v>
      </c>
      <c r="H8" s="2130">
        <v>292998662.77399999</v>
      </c>
      <c r="I8" s="2134">
        <v>2.4580000000000002</v>
      </c>
      <c r="J8" s="2130">
        <v>18503827.473999999</v>
      </c>
      <c r="K8" s="2131">
        <v>7.2633000000000001</v>
      </c>
      <c r="L8" s="2130">
        <v>3582649.0010000002</v>
      </c>
      <c r="M8" s="2131">
        <v>0.72750000000000004</v>
      </c>
      <c r="N8" s="2130">
        <v>12557593.538000001</v>
      </c>
      <c r="O8" s="2179">
        <v>-1.9809000000000001</v>
      </c>
      <c r="P8" s="682">
        <v>526149161.727</v>
      </c>
      <c r="Q8" s="2179">
        <v>3.6244000000000001</v>
      </c>
    </row>
    <row r="9" spans="1:17" s="271" customFormat="1" ht="24.95" customHeight="1">
      <c r="A9" s="321">
        <v>2019</v>
      </c>
      <c r="B9" s="682">
        <v>72638867.791999996</v>
      </c>
      <c r="C9" s="2131">
        <v>-0.35099999999999998</v>
      </c>
      <c r="D9" s="2130">
        <v>116226510.249</v>
      </c>
      <c r="E9" s="2131">
        <v>-0.60499999999999998</v>
      </c>
      <c r="F9" s="2130">
        <v>8560660.3330000006</v>
      </c>
      <c r="G9" s="2131">
        <v>-1.35</v>
      </c>
      <c r="H9" s="2130">
        <v>289240197.98400003</v>
      </c>
      <c r="I9" s="2134">
        <v>-1.2827999999999999</v>
      </c>
      <c r="J9" s="2130">
        <v>18882368.129000001</v>
      </c>
      <c r="K9" s="2131">
        <v>2.0457000000000001</v>
      </c>
      <c r="L9" s="2130">
        <v>3571475.4339999999</v>
      </c>
      <c r="M9" s="2131">
        <v>-0.31190000000000001</v>
      </c>
      <c r="N9" s="2130">
        <v>11378657.805</v>
      </c>
      <c r="O9" s="2179">
        <v>-9.3881999999999994</v>
      </c>
      <c r="P9" s="682">
        <v>520498737.72600001</v>
      </c>
      <c r="Q9" s="2179">
        <v>-1.0739000000000001</v>
      </c>
    </row>
    <row r="10" spans="1:17" s="271" customFormat="1" ht="24.95" customHeight="1">
      <c r="A10" s="321">
        <v>2020</v>
      </c>
      <c r="B10" s="2180">
        <v>76303404.071999997</v>
      </c>
      <c r="C10" s="2131">
        <v>5.0449000000000002</v>
      </c>
      <c r="D10" s="2130">
        <v>113638542.347</v>
      </c>
      <c r="E10" s="2131">
        <v>-2.2267000000000001</v>
      </c>
      <c r="F10" s="2130">
        <v>7515351.5199999996</v>
      </c>
      <c r="G10" s="2131">
        <v>-12.210599999999999</v>
      </c>
      <c r="H10" s="2130">
        <v>278660247.28100002</v>
      </c>
      <c r="I10" s="2134">
        <v>-3.6577999999999999</v>
      </c>
      <c r="J10" s="2130">
        <v>19028828.684</v>
      </c>
      <c r="K10" s="2131">
        <v>0.77559999999999996</v>
      </c>
      <c r="L10" s="2130">
        <v>3506999.0189999999</v>
      </c>
      <c r="M10" s="2131">
        <v>-1.8052999999999999</v>
      </c>
      <c r="N10" s="2130">
        <v>10616342.274</v>
      </c>
      <c r="O10" s="2179">
        <v>-6.6994999999999996</v>
      </c>
      <c r="P10" s="2129">
        <v>509269715.19700003</v>
      </c>
      <c r="Q10" s="2179">
        <v>-2.1574</v>
      </c>
    </row>
    <row r="11" spans="1:17" s="2136" customFormat="1" ht="24.95" customHeight="1">
      <c r="A11" s="321">
        <v>2021</v>
      </c>
      <c r="B11" s="2181">
        <v>79914811.457000002</v>
      </c>
      <c r="C11" s="2182">
        <v>4.7329999999999997</v>
      </c>
      <c r="D11" s="2138">
        <v>119550386.23100001</v>
      </c>
      <c r="E11" s="2182">
        <v>5.2023000000000001</v>
      </c>
      <c r="F11" s="2138">
        <v>8422604.8059999999</v>
      </c>
      <c r="G11" s="2182">
        <v>12.071999999999999</v>
      </c>
      <c r="H11" s="2138">
        <v>291333422.20499998</v>
      </c>
      <c r="I11" s="2182">
        <v>4.5479000000000003</v>
      </c>
      <c r="J11" s="2138">
        <v>20603211.649</v>
      </c>
      <c r="K11" s="2182">
        <v>8.2736999999999998</v>
      </c>
      <c r="L11" s="2138">
        <v>3444429.1660000002</v>
      </c>
      <c r="M11" s="2182">
        <v>-1.7841</v>
      </c>
      <c r="N11" s="2138">
        <v>10161945.344000001</v>
      </c>
      <c r="O11" s="2183">
        <v>-4.2801999999999998</v>
      </c>
      <c r="P11" s="2137">
        <v>533430810.85799998</v>
      </c>
      <c r="Q11" s="2183">
        <v>4.7443</v>
      </c>
    </row>
    <row r="12" spans="1:17" s="2136" customFormat="1" ht="24.95" customHeight="1">
      <c r="A12" s="321">
        <v>2022</v>
      </c>
      <c r="B12" s="2181">
        <v>80996133.020999998</v>
      </c>
      <c r="C12" s="2182">
        <v>1.3531</v>
      </c>
      <c r="D12" s="2138">
        <v>127192892.347</v>
      </c>
      <c r="E12" s="2182">
        <v>6.3926999999999996</v>
      </c>
      <c r="F12" s="2138">
        <v>9073974.2899999991</v>
      </c>
      <c r="G12" s="2182">
        <v>7.7336</v>
      </c>
      <c r="H12" s="2138">
        <v>296035506.66600001</v>
      </c>
      <c r="I12" s="2182">
        <v>1.6140000000000001</v>
      </c>
      <c r="J12" s="2138">
        <v>21420088.649</v>
      </c>
      <c r="K12" s="2182">
        <v>3.9647999999999999</v>
      </c>
      <c r="L12" s="2138">
        <v>3424194.074</v>
      </c>
      <c r="M12" s="2182">
        <v>-0.58750000000000002</v>
      </c>
      <c r="N12" s="2138">
        <v>9789953.1659999993</v>
      </c>
      <c r="O12" s="2183">
        <v>-3.6606000000000001</v>
      </c>
      <c r="P12" s="2137">
        <v>547932742.21300006</v>
      </c>
      <c r="Q12" s="2183">
        <v>2.7185999999999999</v>
      </c>
    </row>
    <row r="13" spans="1:17" s="2136" customFormat="1" ht="24.95" customHeight="1">
      <c r="A13" s="321">
        <v>2023</v>
      </c>
      <c r="B13" s="2181">
        <v>82348423.195999995</v>
      </c>
      <c r="C13" s="2182">
        <v>1.6696</v>
      </c>
      <c r="D13" s="2138">
        <v>130843829.601</v>
      </c>
      <c r="E13" s="2182">
        <v>2.8704000000000001</v>
      </c>
      <c r="F13" s="2138">
        <v>9231946.8300000001</v>
      </c>
      <c r="G13" s="2182">
        <v>1.7408999999999999</v>
      </c>
      <c r="H13" s="2138">
        <v>290555370.68599999</v>
      </c>
      <c r="I13" s="2182">
        <v>-1.8512</v>
      </c>
      <c r="J13" s="2138">
        <v>20762854.726</v>
      </c>
      <c r="K13" s="2182">
        <v>-3.0682999999999998</v>
      </c>
      <c r="L13" s="2138">
        <v>3398721.0320000001</v>
      </c>
      <c r="M13" s="2182">
        <v>-0.74390000000000001</v>
      </c>
      <c r="N13" s="2138">
        <v>8824809.2789999992</v>
      </c>
      <c r="O13" s="2183">
        <v>-9.8584999999999994</v>
      </c>
      <c r="P13" s="2137">
        <v>545965955.35000002</v>
      </c>
      <c r="Q13" s="2183">
        <v>-0.3589</v>
      </c>
    </row>
    <row r="14" spans="1:17" s="2136" customFormat="1" ht="24.95" customHeight="1">
      <c r="A14" s="321">
        <v>2024</v>
      </c>
      <c r="B14" s="2181">
        <v>86989168.408999994</v>
      </c>
      <c r="C14" s="2182">
        <v>5.6355000000000004</v>
      </c>
      <c r="D14" s="2138">
        <v>134806918.192</v>
      </c>
      <c r="E14" s="2182">
        <v>3.0289000000000001</v>
      </c>
      <c r="F14" s="2138">
        <v>9432713</v>
      </c>
      <c r="G14" s="2182">
        <v>2.1747000000000001</v>
      </c>
      <c r="H14" s="2138">
        <v>286212188.26300001</v>
      </c>
      <c r="I14" s="2182">
        <v>-1.4947999999999999</v>
      </c>
      <c r="J14" s="2138">
        <v>21088217.699000001</v>
      </c>
      <c r="K14" s="2182">
        <v>1.5669999999999999</v>
      </c>
      <c r="L14" s="2138">
        <v>3401568.7579999999</v>
      </c>
      <c r="M14" s="2182">
        <v>8.3799999999999999E-2</v>
      </c>
      <c r="N14" s="2138">
        <v>7889890.5070000002</v>
      </c>
      <c r="O14" s="2183">
        <v>-10.594200000000001</v>
      </c>
      <c r="P14" s="2137">
        <v>549820664.82799995</v>
      </c>
      <c r="Q14" s="2183">
        <v>0.70599999999999996</v>
      </c>
    </row>
    <row r="15" spans="1:17" s="2136" customFormat="1" ht="24.95" customHeight="1">
      <c r="A15" s="2184">
        <v>2025</v>
      </c>
      <c r="B15" s="2181">
        <v>88473843.233999997</v>
      </c>
      <c r="C15" s="2182">
        <v>1.7067000000000001</v>
      </c>
      <c r="D15" s="2138">
        <v>138315365.19400001</v>
      </c>
      <c r="E15" s="2182">
        <v>2.6025999999999998</v>
      </c>
      <c r="F15" s="2138">
        <v>9811316.7520000003</v>
      </c>
      <c r="G15" s="2182">
        <v>4.0137</v>
      </c>
      <c r="H15" s="2138">
        <v>280221380.38200003</v>
      </c>
      <c r="I15" s="2182">
        <v>-2.0931000000000002</v>
      </c>
      <c r="J15" s="2138">
        <v>21523019.234999999</v>
      </c>
      <c r="K15" s="2182">
        <v>2.0617999999999999</v>
      </c>
      <c r="L15" s="2138">
        <v>3416365.156</v>
      </c>
      <c r="M15" s="2182">
        <v>0.435</v>
      </c>
      <c r="N15" s="2138">
        <v>7655969.4069999997</v>
      </c>
      <c r="O15" s="2183">
        <v>-2.9647999999999999</v>
      </c>
      <c r="P15" s="2137">
        <v>549417259.36000001</v>
      </c>
      <c r="Q15" s="2183">
        <v>-7.3400000000000007E-2</v>
      </c>
    </row>
    <row r="16" spans="1:17" s="2136" customFormat="1" ht="24.95" customHeight="1">
      <c r="A16" s="1602" t="s">
        <v>828</v>
      </c>
      <c r="B16" s="2185">
        <v>27593080.499000002</v>
      </c>
      <c r="C16" s="2186">
        <v>2.0415999999999999</v>
      </c>
      <c r="D16" s="2140">
        <v>46508300.170000002</v>
      </c>
      <c r="E16" s="2186">
        <v>3.5001000000000002</v>
      </c>
      <c r="F16" s="2140">
        <v>3586695.2990000001</v>
      </c>
      <c r="G16" s="2186">
        <v>4.7152000000000003</v>
      </c>
      <c r="H16" s="2140">
        <v>93170005.340000004</v>
      </c>
      <c r="I16" s="2186">
        <v>-2.8931</v>
      </c>
      <c r="J16" s="2140">
        <v>7741554.1780000003</v>
      </c>
      <c r="K16" s="2186">
        <v>4.3102999999999998</v>
      </c>
      <c r="L16" s="2140">
        <v>1201415.4339999999</v>
      </c>
      <c r="M16" s="2186">
        <v>0.37669999999999998</v>
      </c>
      <c r="N16" s="2140">
        <v>4334087.4179999996</v>
      </c>
      <c r="O16" s="2187">
        <v>-3.7145999999999999</v>
      </c>
      <c r="P16" s="2139">
        <v>184135138.338</v>
      </c>
      <c r="Q16" s="2187">
        <v>-0.18010000000000001</v>
      </c>
    </row>
    <row r="17" spans="1:19" s="2136" customFormat="1" ht="24.95" customHeight="1">
      <c r="A17" s="663">
        <v>2025.04</v>
      </c>
      <c r="B17" s="2181">
        <v>6446989.8119999999</v>
      </c>
      <c r="C17" s="2182">
        <v>1.9565999999999999</v>
      </c>
      <c r="D17" s="2138">
        <v>10054927.153000001</v>
      </c>
      <c r="E17" s="2182">
        <v>2.8946999999999998</v>
      </c>
      <c r="F17" s="2138">
        <v>762866.72900000005</v>
      </c>
      <c r="G17" s="2182">
        <v>4.9848999999999997</v>
      </c>
      <c r="H17" s="2138">
        <v>23176313.602000002</v>
      </c>
      <c r="I17" s="2182">
        <v>-0.55010000000000003</v>
      </c>
      <c r="J17" s="2138">
        <v>1654538.03</v>
      </c>
      <c r="K17" s="2182">
        <v>4.5187999999999997</v>
      </c>
      <c r="L17" s="2138">
        <v>281353.61700000003</v>
      </c>
      <c r="M17" s="2182">
        <v>0.99119999999999997</v>
      </c>
      <c r="N17" s="2138">
        <v>739901.35800000001</v>
      </c>
      <c r="O17" s="2183">
        <v>-5.5072000000000001</v>
      </c>
      <c r="P17" s="2137">
        <v>43116890.300999999</v>
      </c>
      <c r="Q17" s="2183">
        <v>0.8085</v>
      </c>
    </row>
    <row r="18" spans="1:19" s="2136" customFormat="1" ht="24.95" customHeight="1">
      <c r="A18" s="663">
        <v>2025.05</v>
      </c>
      <c r="B18" s="2181">
        <v>6051315.6050000004</v>
      </c>
      <c r="C18" s="2182">
        <v>2.9062999999999999</v>
      </c>
      <c r="D18" s="2138">
        <v>9497670.5810000002</v>
      </c>
      <c r="E18" s="2182">
        <v>2.1966000000000001</v>
      </c>
      <c r="F18" s="2138">
        <v>600273.79599999997</v>
      </c>
      <c r="G18" s="2182">
        <v>3.8845000000000001</v>
      </c>
      <c r="H18" s="2138">
        <v>22926076.743000001</v>
      </c>
      <c r="I18" s="2182">
        <v>-1.9277</v>
      </c>
      <c r="J18" s="2138">
        <v>1407122.02</v>
      </c>
      <c r="K18" s="2182">
        <v>2.948</v>
      </c>
      <c r="L18" s="2138">
        <v>260531.95600000001</v>
      </c>
      <c r="M18" s="2182">
        <v>0.1246</v>
      </c>
      <c r="N18" s="2138">
        <v>475607.75900000002</v>
      </c>
      <c r="O18" s="2183">
        <v>6.9347000000000003</v>
      </c>
      <c r="P18" s="2137">
        <v>41218598.460000001</v>
      </c>
      <c r="Q18" s="2183">
        <v>4.4499999999999998E-2</v>
      </c>
    </row>
    <row r="19" spans="1:19" s="2136" customFormat="1" ht="24.95" customHeight="1">
      <c r="A19" s="663">
        <v>2025.06</v>
      </c>
      <c r="B19" s="2181">
        <v>6453593.9550000001</v>
      </c>
      <c r="C19" s="2182">
        <v>3.5320999999999998</v>
      </c>
      <c r="D19" s="2138">
        <v>10584627.790999999</v>
      </c>
      <c r="E19" s="2182">
        <v>2.1038000000000001</v>
      </c>
      <c r="F19" s="2138">
        <v>689964.16899999999</v>
      </c>
      <c r="G19" s="2182">
        <v>3.9904999999999999</v>
      </c>
      <c r="H19" s="2138">
        <v>23155441.212000001</v>
      </c>
      <c r="I19" s="2182">
        <v>-1.0664</v>
      </c>
      <c r="J19" s="2138">
        <v>1508570.878</v>
      </c>
      <c r="K19" s="2182">
        <v>-1.5207999999999999</v>
      </c>
      <c r="L19" s="2138">
        <v>252260.07</v>
      </c>
      <c r="M19" s="2182">
        <v>-0.2621</v>
      </c>
      <c r="N19" s="2138">
        <v>361429.96299999999</v>
      </c>
      <c r="O19" s="2183">
        <v>-0.25030000000000002</v>
      </c>
      <c r="P19" s="2137">
        <v>43005888.038000003</v>
      </c>
      <c r="Q19" s="2183">
        <v>0.44440000000000002</v>
      </c>
    </row>
    <row r="20" spans="1:19" s="2136" customFormat="1" ht="24.95" customHeight="1">
      <c r="A20" s="663">
        <v>2025.07</v>
      </c>
      <c r="B20" s="2181">
        <v>8304214.5700000003</v>
      </c>
      <c r="C20" s="2182">
        <v>10.9415</v>
      </c>
      <c r="D20" s="2138">
        <v>12714079.821</v>
      </c>
      <c r="E20" s="2182">
        <v>6.2908999999999997</v>
      </c>
      <c r="F20" s="2138">
        <v>858984.46299999999</v>
      </c>
      <c r="G20" s="2182">
        <v>8.1090999999999998</v>
      </c>
      <c r="H20" s="2138">
        <v>24682140.868999999</v>
      </c>
      <c r="I20" s="2182">
        <v>-0.185</v>
      </c>
      <c r="J20" s="2138">
        <v>1695865.568</v>
      </c>
      <c r="K20" s="2182">
        <v>9.0101999999999993</v>
      </c>
      <c r="L20" s="2138">
        <v>247836.23199999999</v>
      </c>
      <c r="M20" s="2182">
        <v>1.5657000000000001</v>
      </c>
      <c r="N20" s="2138">
        <v>321285.48200000002</v>
      </c>
      <c r="O20" s="2183">
        <v>-1.7894000000000001</v>
      </c>
      <c r="P20" s="2137">
        <v>48824407.005000003</v>
      </c>
      <c r="Q20" s="2183">
        <v>3.6697000000000002</v>
      </c>
    </row>
    <row r="21" spans="1:19" s="2136" customFormat="1" ht="24.95" customHeight="1">
      <c r="A21" s="663">
        <v>2025.08</v>
      </c>
      <c r="B21" s="2181">
        <v>10433829.736</v>
      </c>
      <c r="C21" s="2182">
        <v>0.86280000000000001</v>
      </c>
      <c r="D21" s="2138">
        <v>13977984.328</v>
      </c>
      <c r="E21" s="2182">
        <v>0.5262</v>
      </c>
      <c r="F21" s="2138">
        <v>781682.71499999997</v>
      </c>
      <c r="G21" s="2182">
        <v>-1.3935999999999999</v>
      </c>
      <c r="H21" s="2138">
        <v>24310506.293000001</v>
      </c>
      <c r="I21" s="2182">
        <v>-1.7507999999999999</v>
      </c>
      <c r="J21" s="2138">
        <v>2046747.862</v>
      </c>
      <c r="K21" s="2182">
        <v>0.27479999999999999</v>
      </c>
      <c r="L21" s="2138">
        <v>262226.891</v>
      </c>
      <c r="M21" s="2182">
        <v>0.64239999999999997</v>
      </c>
      <c r="N21" s="2138">
        <v>305568.22399999999</v>
      </c>
      <c r="O21" s="2183">
        <v>-8.0588999999999995</v>
      </c>
      <c r="P21" s="2137">
        <v>52118546.049000002</v>
      </c>
      <c r="Q21" s="2183">
        <v>-0.57489999999999997</v>
      </c>
    </row>
    <row r="22" spans="1:19" s="2136" customFormat="1" ht="24.95" customHeight="1">
      <c r="A22" s="663">
        <v>2025.09</v>
      </c>
      <c r="B22" s="2181">
        <v>9604646.3570000008</v>
      </c>
      <c r="C22" s="2182">
        <v>-3.7048999999999999</v>
      </c>
      <c r="D22" s="2138">
        <v>13208287.051000001</v>
      </c>
      <c r="E22" s="2182">
        <v>0.32029999999999997</v>
      </c>
      <c r="F22" s="2138">
        <v>917258.86600000004</v>
      </c>
      <c r="G22" s="2182">
        <v>3.3376000000000001</v>
      </c>
      <c r="H22" s="2138">
        <v>24292926.453000002</v>
      </c>
      <c r="I22" s="2182">
        <v>2.3828</v>
      </c>
      <c r="J22" s="2138">
        <v>2002059.568</v>
      </c>
      <c r="K22" s="2182">
        <v>-3.5897000000000001</v>
      </c>
      <c r="L22" s="2138">
        <v>274021.25799999997</v>
      </c>
      <c r="M22" s="2182">
        <v>0.2336</v>
      </c>
      <c r="N22" s="2138">
        <v>264280.90399999998</v>
      </c>
      <c r="O22" s="2183">
        <v>-4.9893000000000001</v>
      </c>
      <c r="P22" s="2137">
        <v>50563480.457000002</v>
      </c>
      <c r="Q22" s="2183">
        <v>0.35699999999999998</v>
      </c>
    </row>
    <row r="23" spans="1:19" s="2136" customFormat="1" ht="24.95" customHeight="1">
      <c r="A23" s="663">
        <v>2025.1</v>
      </c>
      <c r="B23" s="2181">
        <v>6800570.0259999996</v>
      </c>
      <c r="C23" s="2182">
        <v>-4.6868999999999996</v>
      </c>
      <c r="D23" s="2138">
        <v>10461446.733999999</v>
      </c>
      <c r="E23" s="2182">
        <v>0.63039999999999996</v>
      </c>
      <c r="F23" s="2138">
        <v>664778.67299999995</v>
      </c>
      <c r="G23" s="2182">
        <v>1.6083000000000001</v>
      </c>
      <c r="H23" s="2138">
        <v>22157343.418000001</v>
      </c>
      <c r="I23" s="2182">
        <v>-6.9476000000000004</v>
      </c>
      <c r="J23" s="2138">
        <v>1510274.3589999999</v>
      </c>
      <c r="K23" s="2182">
        <v>-2.1206</v>
      </c>
      <c r="L23" s="2138">
        <v>288304.86700000003</v>
      </c>
      <c r="M23" s="2182">
        <v>0.1462</v>
      </c>
      <c r="N23" s="2138">
        <v>242309.652</v>
      </c>
      <c r="O23" s="2183">
        <v>-7.6505999999999998</v>
      </c>
      <c r="P23" s="2137">
        <v>42125027.729000002</v>
      </c>
      <c r="Q23" s="2183">
        <v>-4.4569000000000001</v>
      </c>
    </row>
    <row r="24" spans="1:19" s="2136" customFormat="1" ht="24.95" customHeight="1">
      <c r="A24" s="663">
        <v>2025.11</v>
      </c>
      <c r="B24" s="2181">
        <v>6479861.7209999999</v>
      </c>
      <c r="C24" s="2182">
        <v>3.4807999999999999</v>
      </c>
      <c r="D24" s="2138">
        <v>9972881.6809999999</v>
      </c>
      <c r="E24" s="2182">
        <v>3.3437999999999999</v>
      </c>
      <c r="F24" s="2138">
        <v>712569.23199999996</v>
      </c>
      <c r="G24" s="2182">
        <v>6.9813999999999998</v>
      </c>
      <c r="H24" s="2138">
        <v>22225059.390999999</v>
      </c>
      <c r="I24" s="2182">
        <v>-2.3260000000000001</v>
      </c>
      <c r="J24" s="2138">
        <v>1874841.4890000001</v>
      </c>
      <c r="K24" s="2182">
        <v>3.2286000000000001</v>
      </c>
      <c r="L24" s="2138">
        <v>310312.71100000001</v>
      </c>
      <c r="M24" s="2182">
        <v>0.97050000000000003</v>
      </c>
      <c r="N24" s="2138">
        <v>499993.09700000001</v>
      </c>
      <c r="O24" s="2183">
        <v>5.4142999999999999</v>
      </c>
      <c r="P24" s="2137">
        <v>42075519.321999997</v>
      </c>
      <c r="Q24" s="2183">
        <v>0.34620000000000001</v>
      </c>
    </row>
    <row r="25" spans="1:19" s="2136" customFormat="1" ht="24.95" customHeight="1">
      <c r="A25" s="663">
        <v>2025.12</v>
      </c>
      <c r="B25" s="2181">
        <v>6752730.7649999997</v>
      </c>
      <c r="C25" s="2182">
        <v>1.7981</v>
      </c>
      <c r="D25" s="2138">
        <v>11390087.037</v>
      </c>
      <c r="E25" s="2182">
        <v>2.3119000000000001</v>
      </c>
      <c r="F25" s="2138">
        <v>999109.53899999999</v>
      </c>
      <c r="G25" s="2182">
        <v>2.8986999999999998</v>
      </c>
      <c r="H25" s="2138">
        <v>23301880.662999999</v>
      </c>
      <c r="I25" s="2182">
        <v>-1.7606999999999999</v>
      </c>
      <c r="J25" s="2138">
        <v>1735983.3130000001</v>
      </c>
      <c r="K25" s="2182">
        <v>4.3400000000000001E-2</v>
      </c>
      <c r="L25" s="2138">
        <v>319455.73700000002</v>
      </c>
      <c r="M25" s="2182">
        <v>0.34239999999999998</v>
      </c>
      <c r="N25" s="2138">
        <v>851406.90800000005</v>
      </c>
      <c r="O25" s="2183">
        <v>-6.1448999999999998</v>
      </c>
      <c r="P25" s="2137">
        <v>45350653.961999997</v>
      </c>
      <c r="Q25" s="2183">
        <v>-0.1469</v>
      </c>
    </row>
    <row r="26" spans="1:19" s="2136" customFormat="1" ht="24.95" customHeight="1">
      <c r="A26" s="652" t="s">
        <v>829</v>
      </c>
      <c r="B26" s="2188">
        <v>27903991.572000001</v>
      </c>
      <c r="C26" s="2189">
        <v>1.1268</v>
      </c>
      <c r="D26" s="2146">
        <v>47264811.001000002</v>
      </c>
      <c r="E26" s="2189">
        <v>1.6266</v>
      </c>
      <c r="F26" s="2146">
        <v>3578687.145</v>
      </c>
      <c r="G26" s="2189">
        <v>-0.2233</v>
      </c>
      <c r="H26" s="2146">
        <v>91098103.555000007</v>
      </c>
      <c r="I26" s="2189">
        <v>-2.2238000000000002</v>
      </c>
      <c r="J26" s="2146">
        <v>7519527.6799999997</v>
      </c>
      <c r="K26" s="2189">
        <v>-2.8679999999999999</v>
      </c>
      <c r="L26" s="2146">
        <v>1214093.7420000001</v>
      </c>
      <c r="M26" s="2189">
        <v>1.0552999999999999</v>
      </c>
      <c r="N26" s="2146">
        <v>3891202.6940000001</v>
      </c>
      <c r="O26" s="2190">
        <v>-10.2186</v>
      </c>
      <c r="P26" s="2145">
        <v>182470417.389</v>
      </c>
      <c r="Q26" s="2190">
        <v>-0.90410000000000001</v>
      </c>
    </row>
    <row r="27" spans="1:19" s="2136" customFormat="1" ht="24.95" customHeight="1">
      <c r="A27" s="652">
        <v>2026.01</v>
      </c>
      <c r="B27" s="2188">
        <v>7512686.335</v>
      </c>
      <c r="C27" s="2189">
        <v>2.4091</v>
      </c>
      <c r="D27" s="2146">
        <v>13328273.589</v>
      </c>
      <c r="E27" s="2189">
        <v>3.9885000000000002</v>
      </c>
      <c r="F27" s="2146">
        <v>1069556.504</v>
      </c>
      <c r="G27" s="2189">
        <v>2.5991</v>
      </c>
      <c r="H27" s="2146">
        <v>23907055.710000001</v>
      </c>
      <c r="I27" s="2189">
        <v>-1.9800000000000002E-2</v>
      </c>
      <c r="J27" s="2146">
        <v>2049663.683</v>
      </c>
      <c r="K27" s="2189">
        <v>-2.5406</v>
      </c>
      <c r="L27" s="2146">
        <v>335597.815</v>
      </c>
      <c r="M27" s="2189">
        <v>2.5933999999999999</v>
      </c>
      <c r="N27" s="2146">
        <v>1149876.8500000001</v>
      </c>
      <c r="O27" s="2190">
        <v>-8.6621000000000006</v>
      </c>
      <c r="P27" s="2145">
        <v>49352710.486000001</v>
      </c>
      <c r="Q27" s="2190">
        <v>1.1399999999999999</v>
      </c>
    </row>
    <row r="28" spans="1:19" s="2136" customFormat="1" ht="24.95" customHeight="1">
      <c r="A28" s="663">
        <v>2026.02</v>
      </c>
      <c r="B28" s="2181">
        <v>7509927.1859999998</v>
      </c>
      <c r="C28" s="2182">
        <v>1.6546000000000001</v>
      </c>
      <c r="D28" s="2138">
        <v>13162246.323000001</v>
      </c>
      <c r="E28" s="2182">
        <v>4.0107999999999997</v>
      </c>
      <c r="F28" s="2138">
        <v>928872.14899999998</v>
      </c>
      <c r="G28" s="2182">
        <v>2.1937000000000002</v>
      </c>
      <c r="H28" s="2138">
        <v>21844933.265999999</v>
      </c>
      <c r="I28" s="2182">
        <v>-2.1703999999999999</v>
      </c>
      <c r="J28" s="2138">
        <v>2158870.4219999998</v>
      </c>
      <c r="K28" s="2182">
        <v>-0.19339999999999999</v>
      </c>
      <c r="L28" s="2138">
        <v>310602.13699999999</v>
      </c>
      <c r="M28" s="2182">
        <v>0.67569999999999997</v>
      </c>
      <c r="N28" s="2138">
        <v>1220313.406</v>
      </c>
      <c r="O28" s="2183">
        <v>-7.0359999999999996</v>
      </c>
      <c r="P28" s="2137">
        <v>47135764.888999999</v>
      </c>
      <c r="Q28" s="2183">
        <v>0.15010000000000001</v>
      </c>
    </row>
    <row r="29" spans="1:19" s="2136" customFormat="1" ht="24.95" customHeight="1">
      <c r="A29" s="663">
        <v>2026.03</v>
      </c>
      <c r="B29" s="2181">
        <v>6402706.2290000003</v>
      </c>
      <c r="C29" s="2182">
        <v>-0.30730000000000002</v>
      </c>
      <c r="D29" s="2138">
        <v>10592619.785</v>
      </c>
      <c r="E29" s="2182">
        <v>-3.5423</v>
      </c>
      <c r="F29" s="2138">
        <v>827768.53200000001</v>
      </c>
      <c r="G29" s="2182">
        <v>-5.1196000000000002</v>
      </c>
      <c r="H29" s="2138">
        <v>22542825.011999998</v>
      </c>
      <c r="I29" s="2182">
        <v>-5.0921000000000003</v>
      </c>
      <c r="J29" s="2138">
        <v>1730551.4450000001</v>
      </c>
      <c r="K29" s="2182">
        <v>-4.96</v>
      </c>
      <c r="L29" s="2138">
        <v>285588.22499999998</v>
      </c>
      <c r="M29" s="2182">
        <v>0.40720000000000001</v>
      </c>
      <c r="N29" s="2138">
        <v>871501.02399999998</v>
      </c>
      <c r="O29" s="2183">
        <v>-14.774800000000001</v>
      </c>
      <c r="P29" s="2137">
        <v>43253560.251999997</v>
      </c>
      <c r="Q29" s="2183">
        <v>-4.2145000000000001</v>
      </c>
    </row>
    <row r="30" spans="1:19" s="2136" customFormat="1" ht="24.95" customHeight="1">
      <c r="A30" s="665">
        <v>2026.04</v>
      </c>
      <c r="B30" s="2191">
        <v>6478671.8219999997</v>
      </c>
      <c r="C30" s="2192">
        <v>0.4914</v>
      </c>
      <c r="D30" s="2152">
        <v>10181671.304</v>
      </c>
      <c r="E30" s="2192">
        <v>1.2605</v>
      </c>
      <c r="F30" s="2152">
        <v>752489.96</v>
      </c>
      <c r="G30" s="2192">
        <v>-1.3602000000000001</v>
      </c>
      <c r="H30" s="2152">
        <v>22803289.567000002</v>
      </c>
      <c r="I30" s="2192">
        <v>-1.6094999999999999</v>
      </c>
      <c r="J30" s="2152">
        <v>1580442.13</v>
      </c>
      <c r="K30" s="2192">
        <v>-4.4782999999999999</v>
      </c>
      <c r="L30" s="2152">
        <v>282305.565</v>
      </c>
      <c r="M30" s="2192">
        <v>0.33829999999999999</v>
      </c>
      <c r="N30" s="2152">
        <v>649511.41399999999</v>
      </c>
      <c r="O30" s="2193">
        <v>-12.2165</v>
      </c>
      <c r="P30" s="2151">
        <v>42728381.762000002</v>
      </c>
      <c r="Q30" s="2193">
        <v>-0.90110000000000001</v>
      </c>
      <c r="S30" s="2194"/>
    </row>
    <row r="31" spans="1:19" s="2136" customFormat="1" ht="3" customHeight="1">
      <c r="A31" s="2195"/>
      <c r="B31" s="2196"/>
      <c r="C31" s="2197"/>
      <c r="D31" s="2196"/>
      <c r="E31" s="2197"/>
      <c r="F31" s="2196"/>
      <c r="G31" s="2197"/>
      <c r="H31" s="2196"/>
      <c r="I31" s="2197"/>
      <c r="J31" s="2196"/>
      <c r="K31" s="2197"/>
      <c r="L31" s="2196"/>
      <c r="M31" s="2197"/>
      <c r="N31" s="2196"/>
      <c r="O31" s="2197"/>
      <c r="P31" s="2196"/>
      <c r="Q31" s="2197"/>
    </row>
    <row r="32" spans="1:19" ht="13.5" customHeight="1">
      <c r="A32" s="1500" t="s">
        <v>1175</v>
      </c>
      <c r="B32" s="2198"/>
      <c r="C32" s="2199"/>
      <c r="D32" s="2200"/>
      <c r="E32" s="2199"/>
      <c r="F32" s="2198"/>
      <c r="G32" s="2199"/>
      <c r="H32" s="2198"/>
      <c r="I32" s="1499"/>
      <c r="J32" s="1499"/>
      <c r="K32" s="2199"/>
      <c r="L32" s="2198"/>
      <c r="M32" s="1499"/>
      <c r="O32" s="1499"/>
      <c r="P32" s="2201"/>
      <c r="Q32" s="2202"/>
    </row>
    <row r="33" spans="1:28" ht="2.25" hidden="1" customHeight="1">
      <c r="A33" s="2203"/>
      <c r="B33" s="2198"/>
      <c r="C33" s="2199"/>
      <c r="D33" s="2200"/>
      <c r="E33" s="2199"/>
      <c r="F33" s="2198"/>
      <c r="G33" s="2199"/>
      <c r="H33" s="2198"/>
      <c r="I33" s="1499"/>
      <c r="J33" s="1499"/>
      <c r="K33" s="2199"/>
      <c r="L33" s="2198"/>
      <c r="M33" s="1499"/>
      <c r="O33" s="1499"/>
      <c r="P33" s="2201"/>
      <c r="Q33" s="2202"/>
    </row>
    <row r="34" spans="1:28" ht="12" customHeight="1">
      <c r="A34" s="627"/>
      <c r="B34" s="272"/>
      <c r="C34" s="2170"/>
      <c r="D34" s="2204"/>
      <c r="E34" s="2170"/>
      <c r="F34" s="272"/>
      <c r="G34" s="2170"/>
      <c r="H34" s="272"/>
      <c r="I34" s="2170"/>
      <c r="J34" s="279"/>
      <c r="K34" s="2170"/>
      <c r="L34" s="349"/>
      <c r="M34" s="349"/>
      <c r="N34" s="349"/>
      <c r="O34" s="349"/>
      <c r="P34" s="613"/>
      <c r="Q34" s="2199"/>
    </row>
    <row r="35" spans="1:28" s="271" customFormat="1" ht="12.75" customHeight="1">
      <c r="A35" s="2205"/>
      <c r="B35" s="2206"/>
      <c r="C35" s="2170"/>
      <c r="D35" s="2206"/>
      <c r="E35" s="2170"/>
      <c r="F35" s="2206"/>
      <c r="G35" s="2170"/>
      <c r="H35" s="2206"/>
      <c r="I35" s="2170"/>
      <c r="J35" s="2206"/>
      <c r="K35" s="2170"/>
      <c r="L35" s="2206"/>
      <c r="M35" s="2170"/>
      <c r="N35" s="2206"/>
      <c r="O35" s="2170"/>
      <c r="P35" s="2207"/>
      <c r="Q35" s="2170"/>
      <c r="R35" s="2205"/>
      <c r="S35" s="279"/>
      <c r="T35" s="2208"/>
      <c r="U35" s="279"/>
      <c r="V35" s="2208"/>
      <c r="W35" s="279"/>
      <c r="X35" s="2208"/>
      <c r="Y35" s="279"/>
      <c r="Z35" s="2208"/>
      <c r="AA35" s="279"/>
      <c r="AB35" s="2208"/>
    </row>
    <row r="36" spans="1:28" s="271" customFormat="1" ht="12.75" customHeight="1">
      <c r="A36" s="2205"/>
      <c r="B36" s="2206"/>
      <c r="C36" s="2170"/>
      <c r="D36" s="2206"/>
      <c r="E36" s="2170"/>
      <c r="F36" s="2206"/>
      <c r="G36" s="2170"/>
      <c r="H36" s="2206"/>
      <c r="I36" s="2170"/>
      <c r="J36" s="2206"/>
      <c r="K36" s="2170"/>
      <c r="L36" s="2206"/>
      <c r="M36" s="2170"/>
      <c r="N36" s="2206"/>
      <c r="O36" s="2170"/>
      <c r="P36" s="2207"/>
      <c r="Q36" s="2170"/>
      <c r="R36" s="2205"/>
      <c r="S36" s="279"/>
      <c r="T36" s="2208"/>
      <c r="U36" s="279"/>
      <c r="V36" s="2208"/>
      <c r="W36" s="279"/>
      <c r="X36" s="2208"/>
      <c r="Y36" s="279"/>
      <c r="Z36" s="2208"/>
      <c r="AA36" s="2209"/>
      <c r="AB36" s="2208"/>
    </row>
    <row r="37" spans="1:28" ht="12" customHeight="1">
      <c r="A37" s="2205"/>
      <c r="B37" s="2206"/>
      <c r="C37" s="2170"/>
      <c r="D37" s="2206"/>
      <c r="E37" s="2170"/>
      <c r="F37" s="2206"/>
      <c r="G37" s="2170"/>
      <c r="H37" s="2206"/>
      <c r="I37" s="2170"/>
      <c r="J37" s="2206"/>
      <c r="K37" s="2170"/>
      <c r="L37" s="2206"/>
      <c r="M37" s="2170"/>
      <c r="N37" s="2206"/>
      <c r="O37" s="2170"/>
      <c r="P37" s="2207"/>
      <c r="Q37" s="2170"/>
      <c r="S37" s="279"/>
      <c r="T37" s="2208"/>
      <c r="U37" s="279"/>
      <c r="V37" s="2208"/>
      <c r="W37" s="279"/>
      <c r="X37" s="2208"/>
      <c r="Y37" s="279"/>
      <c r="Z37" s="2208"/>
      <c r="AA37" s="2210"/>
    </row>
    <row r="41" spans="1:28">
      <c r="C41" s="12"/>
      <c r="E41" s="12"/>
      <c r="G41" s="12"/>
      <c r="I41" s="684"/>
      <c r="K41" s="12"/>
      <c r="M41" s="12"/>
      <c r="O41" s="12"/>
      <c r="P41" s="12"/>
      <c r="Q41" s="12"/>
    </row>
    <row r="42" spans="1:28">
      <c r="Q42" s="12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0" orientation="portrait" useFirstPageNumber="1" r:id="rId1"/>
  <headerFooter differentOddEven="1" scaleWithDoc="0" alignWithMargins="0"/>
  <colBreaks count="1" manualBreakCount="1">
    <brk id="9" max="31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8020-33F2-4E3E-88B4-7B6CF59866DC}">
  <sheetPr>
    <tabColor rgb="FF00B050"/>
  </sheetPr>
  <dimension ref="A1:AA34"/>
  <sheetViews>
    <sheetView showGridLines="0"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211" customWidth="1"/>
    <col min="4" max="4" width="13" style="12" customWidth="1"/>
    <col min="5" max="5" width="7" style="2211" customWidth="1"/>
    <col min="6" max="6" width="13" style="12" customWidth="1"/>
    <col min="7" max="7" width="7" style="2211" customWidth="1"/>
    <col min="8" max="8" width="13" style="12" customWidth="1"/>
    <col min="9" max="9" width="7" style="2211" customWidth="1"/>
    <col min="10" max="10" width="15.5" style="12" customWidth="1"/>
    <col min="11" max="11" width="7.625" style="2211" customWidth="1"/>
    <col min="12" max="12" width="15.5" style="12" customWidth="1"/>
    <col min="13" max="13" width="7.625" style="2211" customWidth="1"/>
    <col min="14" max="14" width="15.5" style="12" customWidth="1"/>
    <col min="15" max="15" width="7.625" style="2211" customWidth="1"/>
    <col min="16" max="16" width="15.75" style="684" customWidth="1"/>
    <col min="17" max="17" width="8.5" style="2212" customWidth="1"/>
    <col min="18" max="18" width="16" style="12" hidden="1" customWidth="1"/>
    <col min="19" max="19" width="14.125" style="12" hidden="1" customWidth="1"/>
    <col min="20" max="20" width="12.25" style="12" hidden="1" customWidth="1"/>
    <col min="21" max="21" width="8.75" style="12" customWidth="1"/>
    <col min="22" max="22" width="9.5" style="12" customWidth="1"/>
    <col min="23" max="23" width="7.625" style="12" customWidth="1"/>
    <col min="24" max="24" width="14.875" style="12" bestFit="1" customWidth="1"/>
    <col min="25" max="25" width="7.625" style="12" customWidth="1"/>
    <col min="26" max="26" width="6.625" style="12" customWidth="1"/>
    <col min="27" max="27" width="7.625" style="12" customWidth="1"/>
    <col min="28" max="28" width="5.875" style="12" customWidth="1"/>
    <col min="29" max="29" width="7.625" style="12" customWidth="1"/>
    <col min="30" max="30" width="5.875" style="12" customWidth="1"/>
    <col min="31" max="31" width="7" style="12" bestFit="1" customWidth="1"/>
    <col min="32" max="32" width="5.875" style="12" customWidth="1"/>
    <col min="33" max="33" width="9" style="12" bestFit="1" customWidth="1"/>
    <col min="34" max="34" width="11" style="12" customWidth="1"/>
    <col min="35" max="35" width="6" style="12" bestFit="1" customWidth="1"/>
    <col min="36" max="36" width="7" style="12" bestFit="1" customWidth="1"/>
    <col min="37" max="37" width="5.875" style="12" bestFit="1" customWidth="1"/>
    <col min="38" max="38" width="6.75" style="12" bestFit="1" customWidth="1"/>
    <col min="39" max="39" width="5.875" style="12" bestFit="1" customWidth="1"/>
    <col min="40" max="40" width="6.75" style="12" bestFit="1" customWidth="1"/>
    <col min="41" max="41" width="5.875" style="12" bestFit="1" customWidth="1"/>
    <col min="42" max="16384" width="10" style="12"/>
  </cols>
  <sheetData>
    <row r="1" spans="1:27" s="271" customFormat="1" ht="20.25">
      <c r="A1" s="2125" t="s">
        <v>1176</v>
      </c>
      <c r="C1" s="2167"/>
      <c r="E1" s="2167"/>
      <c r="G1" s="2167"/>
      <c r="I1" s="2167"/>
      <c r="K1" s="2167"/>
      <c r="M1" s="2167"/>
      <c r="O1" s="2167"/>
      <c r="P1" s="1382"/>
      <c r="Q1" s="2168"/>
    </row>
    <row r="2" spans="1:27" s="274" customFormat="1" ht="17.25">
      <c r="A2" s="274" t="s">
        <v>1177</v>
      </c>
      <c r="C2" s="2169"/>
      <c r="E2" s="2169"/>
      <c r="G2" s="2169"/>
      <c r="I2" s="2169"/>
      <c r="K2" s="2169"/>
      <c r="M2" s="2170"/>
      <c r="O2" s="2169"/>
      <c r="P2" s="1385"/>
      <c r="Q2" s="2171"/>
    </row>
    <row r="3" spans="1:27" s="271" customFormat="1" ht="16.5" customHeight="1">
      <c r="A3" s="272"/>
      <c r="C3" s="2167"/>
      <c r="E3" s="2167"/>
      <c r="G3" s="2167"/>
      <c r="I3" s="2172"/>
      <c r="J3" s="281"/>
      <c r="K3" s="2172"/>
      <c r="L3" s="281"/>
      <c r="M3" s="2172"/>
      <c r="N3" s="281"/>
      <c r="O3" s="2172"/>
      <c r="Q3" s="282" t="s">
        <v>1178</v>
      </c>
    </row>
    <row r="4" spans="1:27" s="272" customFormat="1" ht="35.1" customHeight="1">
      <c r="A4" s="2173" t="s">
        <v>1053</v>
      </c>
      <c r="B4" s="2174" t="s">
        <v>1168</v>
      </c>
      <c r="C4" s="2175" t="s">
        <v>28</v>
      </c>
      <c r="D4" s="1779" t="s">
        <v>1169</v>
      </c>
      <c r="E4" s="2175" t="s">
        <v>28</v>
      </c>
      <c r="F4" s="1779" t="s">
        <v>1170</v>
      </c>
      <c r="G4" s="2175" t="s">
        <v>28</v>
      </c>
      <c r="H4" s="1779" t="s">
        <v>1171</v>
      </c>
      <c r="I4" s="2175" t="s">
        <v>28</v>
      </c>
      <c r="J4" s="1779" t="s">
        <v>1172</v>
      </c>
      <c r="K4" s="2175" t="s">
        <v>28</v>
      </c>
      <c r="L4" s="1779" t="s">
        <v>1173</v>
      </c>
      <c r="M4" s="2175" t="s">
        <v>28</v>
      </c>
      <c r="N4" s="1779" t="s">
        <v>1174</v>
      </c>
      <c r="O4" s="2175" t="s">
        <v>28</v>
      </c>
      <c r="P4" s="2174" t="s">
        <v>160</v>
      </c>
      <c r="Q4" s="2176" t="s">
        <v>28</v>
      </c>
    </row>
    <row r="5" spans="1:27" s="271" customFormat="1" ht="27" customHeight="1">
      <c r="A5" s="321">
        <v>2015</v>
      </c>
      <c r="B5" s="2177">
        <v>14419050</v>
      </c>
      <c r="C5" s="2131">
        <v>2.1366999999999998</v>
      </c>
      <c r="D5" s="2130">
        <v>3016678</v>
      </c>
      <c r="E5" s="2131">
        <v>2.1000999999999999</v>
      </c>
      <c r="F5" s="2130">
        <v>20489</v>
      </c>
      <c r="G5" s="2131">
        <v>1.3453999999999999</v>
      </c>
      <c r="H5" s="2130">
        <v>396862</v>
      </c>
      <c r="I5" s="2131">
        <v>2.4073000000000002</v>
      </c>
      <c r="J5" s="2130">
        <v>1638132</v>
      </c>
      <c r="K5" s="2131">
        <v>4.6393000000000004</v>
      </c>
      <c r="L5" s="2130">
        <v>1672745</v>
      </c>
      <c r="M5" s="2131">
        <v>4.2526999999999999</v>
      </c>
      <c r="N5" s="2130">
        <v>866259</v>
      </c>
      <c r="O5" s="2131">
        <v>-1.837</v>
      </c>
      <c r="P5" s="2180">
        <v>22030215</v>
      </c>
      <c r="Q5" s="2179">
        <v>2.3126000000000002</v>
      </c>
      <c r="R5" s="271" t="e">
        <f>#REF!</f>
        <v>#REF!</v>
      </c>
    </row>
    <row r="6" spans="1:27" s="271" customFormat="1" ht="27" customHeight="1">
      <c r="A6" s="321">
        <v>2016</v>
      </c>
      <c r="B6" s="2177">
        <v>14728391</v>
      </c>
      <c r="C6" s="2131">
        <v>2.1454</v>
      </c>
      <c r="D6" s="2130">
        <v>3088632</v>
      </c>
      <c r="E6" s="2131">
        <v>2.3852000000000002</v>
      </c>
      <c r="F6" s="2130">
        <v>20663</v>
      </c>
      <c r="G6" s="2131">
        <v>0.84919999999999995</v>
      </c>
      <c r="H6" s="2130">
        <v>405771</v>
      </c>
      <c r="I6" s="2131">
        <v>2.2448999999999999</v>
      </c>
      <c r="J6" s="2130">
        <v>1710781</v>
      </c>
      <c r="K6" s="2131">
        <v>4.4348999999999998</v>
      </c>
      <c r="L6" s="2130">
        <v>1751669</v>
      </c>
      <c r="M6" s="2131">
        <v>4.7182000000000004</v>
      </c>
      <c r="N6" s="2130">
        <v>846812</v>
      </c>
      <c r="O6" s="2131">
        <v>-2.2448999999999999</v>
      </c>
      <c r="P6" s="2180">
        <v>22552719</v>
      </c>
      <c r="Q6" s="2179">
        <v>2.3717999999999999</v>
      </c>
    </row>
    <row r="7" spans="1:27" s="271" customFormat="1" ht="27" customHeight="1">
      <c r="A7" s="321">
        <v>2017</v>
      </c>
      <c r="B7" s="2177">
        <v>15085547</v>
      </c>
      <c r="C7" s="2131">
        <v>2.4249000000000001</v>
      </c>
      <c r="D7" s="2130">
        <v>3115221</v>
      </c>
      <c r="E7" s="2131">
        <v>0.8609</v>
      </c>
      <c r="F7" s="2130">
        <v>20972</v>
      </c>
      <c r="G7" s="2131">
        <v>1.4954000000000001</v>
      </c>
      <c r="H7" s="2130">
        <v>413877</v>
      </c>
      <c r="I7" s="2131">
        <v>1.9977</v>
      </c>
      <c r="J7" s="2130">
        <v>1784191</v>
      </c>
      <c r="K7" s="2131">
        <v>4.2910000000000004</v>
      </c>
      <c r="L7" s="2130">
        <v>1830973</v>
      </c>
      <c r="M7" s="2131">
        <v>4.5273000000000003</v>
      </c>
      <c r="N7" s="2130">
        <v>826242</v>
      </c>
      <c r="O7" s="2131">
        <v>-2.4291</v>
      </c>
      <c r="P7" s="2180">
        <v>23077023</v>
      </c>
      <c r="Q7" s="2179">
        <v>2.3248000000000002</v>
      </c>
    </row>
    <row r="8" spans="1:27" s="271" customFormat="1" ht="27" customHeight="1">
      <c r="A8" s="321">
        <v>2018</v>
      </c>
      <c r="B8" s="682">
        <v>15317045</v>
      </c>
      <c r="C8" s="2131">
        <v>1.5346</v>
      </c>
      <c r="D8" s="2130">
        <v>3173093</v>
      </c>
      <c r="E8" s="2131">
        <v>1.8576999999999999</v>
      </c>
      <c r="F8" s="2130">
        <v>20992</v>
      </c>
      <c r="G8" s="2131">
        <v>9.5399999999999999E-2</v>
      </c>
      <c r="H8" s="2130">
        <v>420999</v>
      </c>
      <c r="I8" s="2131">
        <v>1.7208000000000001</v>
      </c>
      <c r="J8" s="2130">
        <v>1849453</v>
      </c>
      <c r="K8" s="2131">
        <v>3.6577999999999999</v>
      </c>
      <c r="L8" s="2130">
        <v>1918848</v>
      </c>
      <c r="M8" s="2131">
        <v>4.7994000000000003</v>
      </c>
      <c r="N8" s="2130">
        <v>801112</v>
      </c>
      <c r="O8" s="2131">
        <v>-3.0415000000000001</v>
      </c>
      <c r="P8" s="2180">
        <v>23501543</v>
      </c>
      <c r="Q8" s="2179">
        <v>1.8395999999999999</v>
      </c>
    </row>
    <row r="9" spans="1:27" s="271" customFormat="1" ht="27" customHeight="1">
      <c r="A9" s="321">
        <v>2019</v>
      </c>
      <c r="B9" s="682">
        <v>15487494</v>
      </c>
      <c r="C9" s="2131">
        <v>1.1128</v>
      </c>
      <c r="D9" s="2130">
        <v>3231261</v>
      </c>
      <c r="E9" s="2131">
        <v>1.8331999999999999</v>
      </c>
      <c r="F9" s="2130">
        <v>21057</v>
      </c>
      <c r="G9" s="2131">
        <v>0.30959999999999999</v>
      </c>
      <c r="H9" s="2130">
        <v>425249</v>
      </c>
      <c r="I9" s="2131">
        <v>1.0095000000000001</v>
      </c>
      <c r="J9" s="2130">
        <v>1907398</v>
      </c>
      <c r="K9" s="2131">
        <v>3.1331000000000002</v>
      </c>
      <c r="L9" s="2130">
        <v>2010103</v>
      </c>
      <c r="M9" s="2131">
        <v>4.7557</v>
      </c>
      <c r="N9" s="2130">
        <v>777470</v>
      </c>
      <c r="O9" s="2131">
        <v>-2.9510999999999998</v>
      </c>
      <c r="P9" s="2180">
        <v>23860032</v>
      </c>
      <c r="Q9" s="2179">
        <v>1.5254000000000001</v>
      </c>
    </row>
    <row r="10" spans="1:27" s="271" customFormat="1" ht="27" customHeight="1">
      <c r="A10" s="321">
        <v>2020</v>
      </c>
      <c r="B10" s="2180">
        <v>15609631</v>
      </c>
      <c r="C10" s="2131">
        <v>0.78859999999999997</v>
      </c>
      <c r="D10" s="2130">
        <v>3278071</v>
      </c>
      <c r="E10" s="2131">
        <v>1.4487000000000001</v>
      </c>
      <c r="F10" s="2130">
        <v>20996</v>
      </c>
      <c r="G10" s="2131">
        <v>-0.28970000000000001</v>
      </c>
      <c r="H10" s="2130">
        <v>429973</v>
      </c>
      <c r="I10" s="2131">
        <v>1.1109</v>
      </c>
      <c r="J10" s="2130">
        <v>1977365</v>
      </c>
      <c r="K10" s="2131">
        <v>3.6682000000000001</v>
      </c>
      <c r="L10" s="2130">
        <v>2130215</v>
      </c>
      <c r="M10" s="2131">
        <v>5.9753999999999996</v>
      </c>
      <c r="N10" s="2130">
        <v>752053</v>
      </c>
      <c r="O10" s="2131">
        <v>-3.2692000000000001</v>
      </c>
      <c r="P10" s="2180">
        <v>24198304</v>
      </c>
      <c r="Q10" s="2179">
        <v>1.4177</v>
      </c>
    </row>
    <row r="11" spans="1:27" s="271" customFormat="1" ht="27" customHeight="1">
      <c r="A11" s="321">
        <v>2021</v>
      </c>
      <c r="B11" s="2177">
        <v>15728358</v>
      </c>
      <c r="C11" s="2213">
        <v>0.76060000000000005</v>
      </c>
      <c r="D11" s="2214">
        <v>3358143</v>
      </c>
      <c r="E11" s="2131">
        <v>2.4426999999999999</v>
      </c>
      <c r="F11" s="682">
        <v>20971</v>
      </c>
      <c r="G11" s="2131">
        <v>-0.1191</v>
      </c>
      <c r="H11" s="682">
        <v>434174</v>
      </c>
      <c r="I11" s="2131">
        <v>0.97699999999999998</v>
      </c>
      <c r="J11" s="2214">
        <v>2051417</v>
      </c>
      <c r="K11" s="2213">
        <v>3.7450000000000001</v>
      </c>
      <c r="L11" s="2214">
        <v>2206425</v>
      </c>
      <c r="M11" s="2131">
        <v>3.5775999999999999</v>
      </c>
      <c r="N11" s="682">
        <v>723816</v>
      </c>
      <c r="O11" s="2131">
        <v>-3.7547000000000001</v>
      </c>
      <c r="P11" s="2177">
        <v>24523304</v>
      </c>
      <c r="Q11" s="2179">
        <v>1.3431</v>
      </c>
      <c r="R11" s="1266"/>
      <c r="S11" s="1266"/>
      <c r="T11" s="1266"/>
      <c r="V11" s="2136"/>
      <c r="W11" s="2136"/>
      <c r="X11" s="2136"/>
      <c r="Y11" s="2136"/>
      <c r="Z11" s="2136"/>
      <c r="AA11" s="2136"/>
    </row>
    <row r="12" spans="1:27" s="271" customFormat="1" ht="27" customHeight="1">
      <c r="A12" s="321">
        <v>2022</v>
      </c>
      <c r="B12" s="2177">
        <v>15811248</v>
      </c>
      <c r="C12" s="2213">
        <v>0.52700000000000002</v>
      </c>
      <c r="D12" s="2214">
        <v>3478752</v>
      </c>
      <c r="E12" s="2131">
        <v>3.5914999999999999</v>
      </c>
      <c r="F12" s="682">
        <v>20833</v>
      </c>
      <c r="G12" s="2131">
        <v>-0.65810000000000002</v>
      </c>
      <c r="H12" s="682">
        <v>437670</v>
      </c>
      <c r="I12" s="2131">
        <v>0.80520000000000003</v>
      </c>
      <c r="J12" s="2214">
        <v>2122728</v>
      </c>
      <c r="K12" s="2213">
        <v>3.4762</v>
      </c>
      <c r="L12" s="2214">
        <v>2293016</v>
      </c>
      <c r="M12" s="2131">
        <v>3.9245000000000001</v>
      </c>
      <c r="N12" s="682">
        <v>702128</v>
      </c>
      <c r="O12" s="2131">
        <v>-2.9963000000000002</v>
      </c>
      <c r="P12" s="2177">
        <v>24866375</v>
      </c>
      <c r="Q12" s="2179">
        <v>1.399</v>
      </c>
      <c r="R12" s="1266"/>
      <c r="S12" s="1266"/>
      <c r="T12" s="1266"/>
      <c r="V12" s="2136"/>
      <c r="W12" s="2136"/>
      <c r="X12" s="2136"/>
      <c r="Y12" s="2136"/>
      <c r="Z12" s="2136"/>
      <c r="AA12" s="2136"/>
    </row>
    <row r="13" spans="1:27" s="271" customFormat="1" ht="27" customHeight="1">
      <c r="A13" s="321">
        <v>2023</v>
      </c>
      <c r="B13" s="2177">
        <v>15900516</v>
      </c>
      <c r="C13" s="2213">
        <v>0.56459999999999999</v>
      </c>
      <c r="D13" s="2214">
        <v>3555485</v>
      </c>
      <c r="E13" s="2131">
        <v>2.2058</v>
      </c>
      <c r="F13" s="682">
        <v>20780</v>
      </c>
      <c r="G13" s="2131">
        <v>-0.25440000000000002</v>
      </c>
      <c r="H13" s="682">
        <v>439483</v>
      </c>
      <c r="I13" s="2131">
        <v>0.41420000000000001</v>
      </c>
      <c r="J13" s="2214">
        <v>2159915</v>
      </c>
      <c r="K13" s="2213">
        <v>1.7518</v>
      </c>
      <c r="L13" s="2214">
        <v>2372604</v>
      </c>
      <c r="M13" s="2131">
        <v>3.4708999999999999</v>
      </c>
      <c r="N13" s="682">
        <v>680091</v>
      </c>
      <c r="O13" s="2131">
        <v>-3.1385999999999998</v>
      </c>
      <c r="P13" s="2177">
        <v>25128874</v>
      </c>
      <c r="Q13" s="2179">
        <v>1.0556000000000001</v>
      </c>
      <c r="R13" s="1266"/>
      <c r="S13" s="1266"/>
      <c r="T13" s="1266"/>
      <c r="V13" s="2136"/>
      <c r="W13" s="2136"/>
      <c r="X13" s="2136"/>
      <c r="Y13" s="2136"/>
      <c r="Z13" s="2136"/>
      <c r="AA13" s="2136"/>
    </row>
    <row r="14" spans="1:27" s="2136" customFormat="1" ht="27" customHeight="1">
      <c r="A14" s="321">
        <v>2024</v>
      </c>
      <c r="B14" s="2177">
        <v>15988263</v>
      </c>
      <c r="C14" s="2213">
        <v>0.55189999999999995</v>
      </c>
      <c r="D14" s="2214">
        <v>3592437</v>
      </c>
      <c r="E14" s="2131">
        <v>1.0392999999999999</v>
      </c>
      <c r="F14" s="682">
        <v>20705</v>
      </c>
      <c r="G14" s="2131">
        <v>-0.3609</v>
      </c>
      <c r="H14" s="682">
        <v>438690</v>
      </c>
      <c r="I14" s="2131">
        <v>-0.1804</v>
      </c>
      <c r="J14" s="2214">
        <v>2192138</v>
      </c>
      <c r="K14" s="2213">
        <v>1.4919</v>
      </c>
      <c r="L14" s="2214">
        <v>2431007</v>
      </c>
      <c r="M14" s="2131">
        <v>2.4615999999999998</v>
      </c>
      <c r="N14" s="682">
        <v>657995</v>
      </c>
      <c r="O14" s="2131">
        <v>-3.2490000000000001</v>
      </c>
      <c r="P14" s="2177">
        <v>25321235</v>
      </c>
      <c r="Q14" s="2179">
        <v>0.76549999999999996</v>
      </c>
      <c r="R14" s="2157"/>
      <c r="S14" s="2157"/>
      <c r="T14" s="2157"/>
      <c r="V14" s="12"/>
      <c r="W14" s="12"/>
      <c r="X14" s="12"/>
      <c r="Y14" s="12"/>
      <c r="Z14" s="12"/>
      <c r="AA14" s="12"/>
    </row>
    <row r="15" spans="1:27" s="2136" customFormat="1" ht="27" customHeight="1">
      <c r="A15" s="641">
        <v>2025</v>
      </c>
      <c r="B15" s="2215">
        <v>16034518</v>
      </c>
      <c r="C15" s="2216">
        <v>0.2893</v>
      </c>
      <c r="D15" s="2217">
        <v>3605347</v>
      </c>
      <c r="E15" s="2218">
        <v>0.3594</v>
      </c>
      <c r="F15" s="2219">
        <v>20644</v>
      </c>
      <c r="G15" s="2218">
        <v>-0.29459999999999997</v>
      </c>
      <c r="H15" s="2219">
        <v>436767</v>
      </c>
      <c r="I15" s="2218">
        <v>-0.43840000000000001</v>
      </c>
      <c r="J15" s="2217">
        <v>2211037</v>
      </c>
      <c r="K15" s="2216">
        <v>0.86209999999999998</v>
      </c>
      <c r="L15" s="2217">
        <v>2490381</v>
      </c>
      <c r="M15" s="2218">
        <v>2.4424000000000001</v>
      </c>
      <c r="N15" s="2219">
        <v>635482</v>
      </c>
      <c r="O15" s="2218">
        <v>-3.4215</v>
      </c>
      <c r="P15" s="2215">
        <v>25434176</v>
      </c>
      <c r="Q15" s="2220">
        <v>0.44600000000000001</v>
      </c>
      <c r="R15" s="2157"/>
      <c r="S15" s="2157"/>
      <c r="T15" s="2157"/>
      <c r="V15" s="12"/>
      <c r="W15" s="12"/>
      <c r="X15" s="12"/>
      <c r="Y15" s="12"/>
      <c r="Z15" s="12"/>
      <c r="AA15" s="12"/>
    </row>
    <row r="16" spans="1:27" s="2136" customFormat="1" ht="27" customHeight="1">
      <c r="A16" s="337">
        <v>2025.04</v>
      </c>
      <c r="B16" s="2221">
        <v>16011893</v>
      </c>
      <c r="C16" s="2222">
        <v>0.50680000000000003</v>
      </c>
      <c r="D16" s="2223">
        <v>3595122</v>
      </c>
      <c r="E16" s="2147">
        <v>0.66010000000000002</v>
      </c>
      <c r="F16" s="2224">
        <v>20672</v>
      </c>
      <c r="G16" s="2147">
        <v>-0.2268</v>
      </c>
      <c r="H16" s="2224">
        <v>437940</v>
      </c>
      <c r="I16" s="2147">
        <v>-0.30640000000000001</v>
      </c>
      <c r="J16" s="2223">
        <v>2193680</v>
      </c>
      <c r="K16" s="2222">
        <v>1.0664</v>
      </c>
      <c r="L16" s="2223">
        <v>2444644</v>
      </c>
      <c r="M16" s="2147">
        <v>2.2425000000000002</v>
      </c>
      <c r="N16" s="2224">
        <v>650802</v>
      </c>
      <c r="O16" s="2147">
        <v>-3.3054000000000001</v>
      </c>
      <c r="P16" s="2221">
        <v>25354753</v>
      </c>
      <c r="Q16" s="2225">
        <v>0.62480000000000002</v>
      </c>
      <c r="R16" s="2157"/>
      <c r="S16" s="2157"/>
      <c r="T16" s="2157"/>
      <c r="V16" s="12"/>
      <c r="W16" s="12"/>
      <c r="X16" s="12"/>
      <c r="Y16" s="12"/>
      <c r="Z16" s="12"/>
      <c r="AA16" s="12"/>
    </row>
    <row r="17" spans="1:27" s="2136" customFormat="1" ht="27" customHeight="1">
      <c r="A17" s="336">
        <v>2025.05</v>
      </c>
      <c r="B17" s="2177">
        <v>16010152</v>
      </c>
      <c r="C17" s="2213">
        <v>0.48060000000000003</v>
      </c>
      <c r="D17" s="2214">
        <v>3592211</v>
      </c>
      <c r="E17" s="2131">
        <v>0.59399999999999997</v>
      </c>
      <c r="F17" s="682">
        <v>20651</v>
      </c>
      <c r="G17" s="2131">
        <v>-0.28970000000000001</v>
      </c>
      <c r="H17" s="682">
        <v>437982</v>
      </c>
      <c r="I17" s="2131">
        <v>-0.28660000000000002</v>
      </c>
      <c r="J17" s="2214">
        <v>2118434</v>
      </c>
      <c r="K17" s="2213">
        <v>1.4252</v>
      </c>
      <c r="L17" s="2214">
        <v>2449781</v>
      </c>
      <c r="M17" s="2131">
        <v>2.3001</v>
      </c>
      <c r="N17" s="682">
        <v>648388</v>
      </c>
      <c r="O17" s="2131">
        <v>-3.3483000000000001</v>
      </c>
      <c r="P17" s="2177">
        <v>25277599</v>
      </c>
      <c r="Q17" s="2179">
        <v>0.63239999999999996</v>
      </c>
      <c r="R17" s="2157"/>
      <c r="S17" s="2157"/>
      <c r="T17" s="2157"/>
      <c r="V17" s="12"/>
      <c r="W17" s="12"/>
      <c r="X17" s="12"/>
      <c r="Y17" s="12"/>
      <c r="Z17" s="12"/>
      <c r="AA17" s="12"/>
    </row>
    <row r="18" spans="1:27" s="2136" customFormat="1" ht="27.75" customHeight="1">
      <c r="A18" s="336">
        <v>2025.06</v>
      </c>
      <c r="B18" s="2180">
        <v>16013464</v>
      </c>
      <c r="C18" s="2131">
        <v>0.45960000000000001</v>
      </c>
      <c r="D18" s="2130">
        <v>3592082</v>
      </c>
      <c r="E18" s="2131">
        <v>0.54010000000000002</v>
      </c>
      <c r="F18" s="2130">
        <v>20647</v>
      </c>
      <c r="G18" s="2131">
        <v>-0.2898</v>
      </c>
      <c r="H18" s="2130">
        <v>437950</v>
      </c>
      <c r="I18" s="2131">
        <v>-0.2828</v>
      </c>
      <c r="J18" s="2130">
        <v>2120455</v>
      </c>
      <c r="K18" s="2131">
        <v>1.3282</v>
      </c>
      <c r="L18" s="2130">
        <v>2455590</v>
      </c>
      <c r="M18" s="2131">
        <v>2.3300999999999998</v>
      </c>
      <c r="N18" s="2130">
        <v>646414</v>
      </c>
      <c r="O18" s="2179">
        <v>-3.3458999999999999</v>
      </c>
      <c r="P18" s="2180">
        <v>25286602</v>
      </c>
      <c r="Q18" s="2179">
        <v>0.60709999999999997</v>
      </c>
      <c r="R18" s="2157"/>
      <c r="S18" s="2157"/>
      <c r="T18" s="2157"/>
      <c r="V18" s="12"/>
      <c r="W18" s="12"/>
      <c r="X18" s="12"/>
      <c r="Y18" s="12"/>
      <c r="Z18" s="12"/>
      <c r="AA18" s="12"/>
    </row>
    <row r="19" spans="1:27" s="2136" customFormat="1" ht="27" customHeight="1">
      <c r="A19" s="336">
        <v>2025.07</v>
      </c>
      <c r="B19" s="2177">
        <v>16020330</v>
      </c>
      <c r="C19" s="2213">
        <v>0.4592</v>
      </c>
      <c r="D19" s="2214">
        <v>3594368</v>
      </c>
      <c r="E19" s="2131">
        <v>0.51649999999999996</v>
      </c>
      <c r="F19" s="682">
        <v>20646</v>
      </c>
      <c r="G19" s="2131">
        <v>-0.28499999999999998</v>
      </c>
      <c r="H19" s="682">
        <v>437890</v>
      </c>
      <c r="I19" s="2131">
        <v>-0.28100000000000003</v>
      </c>
      <c r="J19" s="2214">
        <v>2123652</v>
      </c>
      <c r="K19" s="2213">
        <v>1.29</v>
      </c>
      <c r="L19" s="2214">
        <v>2466803</v>
      </c>
      <c r="M19" s="2131">
        <v>2.5074999999999998</v>
      </c>
      <c r="N19" s="682">
        <v>644216</v>
      </c>
      <c r="O19" s="2131">
        <v>-3.3591000000000002</v>
      </c>
      <c r="P19" s="2177">
        <v>25307905</v>
      </c>
      <c r="Q19" s="2179">
        <v>0.6179</v>
      </c>
      <c r="R19" s="2157"/>
      <c r="S19" s="2157"/>
      <c r="T19" s="2157"/>
      <c r="V19" s="12"/>
      <c r="W19" s="12"/>
      <c r="X19" s="12"/>
      <c r="Y19" s="12"/>
      <c r="Z19" s="12"/>
      <c r="AA19" s="12"/>
    </row>
    <row r="20" spans="1:27" s="2136" customFormat="1" ht="27" customHeight="1">
      <c r="A20" s="336">
        <v>2025.08</v>
      </c>
      <c r="B20" s="2177">
        <v>16021678</v>
      </c>
      <c r="C20" s="2213">
        <v>0.37890000000000001</v>
      </c>
      <c r="D20" s="2214">
        <v>3596873</v>
      </c>
      <c r="E20" s="2131">
        <v>0.47220000000000001</v>
      </c>
      <c r="F20" s="682">
        <v>20653</v>
      </c>
      <c r="G20" s="2131">
        <v>-0.28489999999999999</v>
      </c>
      <c r="H20" s="682">
        <v>437814</v>
      </c>
      <c r="I20" s="2131">
        <v>-0.31690000000000002</v>
      </c>
      <c r="J20" s="2214">
        <v>2128034</v>
      </c>
      <c r="K20" s="2213">
        <v>1.2669999999999999</v>
      </c>
      <c r="L20" s="2214">
        <v>2475246</v>
      </c>
      <c r="M20" s="2131">
        <v>2.6349</v>
      </c>
      <c r="N20" s="682">
        <v>642090</v>
      </c>
      <c r="O20" s="2131">
        <v>-3.3957000000000002</v>
      </c>
      <c r="P20" s="2177">
        <v>25322388</v>
      </c>
      <c r="Q20" s="2179">
        <v>0.57010000000000005</v>
      </c>
      <c r="R20" s="2157"/>
      <c r="S20" s="2157"/>
      <c r="T20" s="2157"/>
      <c r="V20" s="12"/>
      <c r="W20" s="12"/>
      <c r="X20" s="12"/>
      <c r="Y20" s="12"/>
      <c r="Z20" s="12"/>
      <c r="AA20" s="12"/>
    </row>
    <row r="21" spans="1:27" s="2136" customFormat="1" ht="27" customHeight="1">
      <c r="A21" s="336">
        <v>2025.09</v>
      </c>
      <c r="B21" s="2177">
        <v>16028424</v>
      </c>
      <c r="C21" s="2213">
        <v>0.38040000000000002</v>
      </c>
      <c r="D21" s="2214">
        <v>3597934</v>
      </c>
      <c r="E21" s="2131">
        <v>0.42399999999999999</v>
      </c>
      <c r="F21" s="682">
        <v>20638</v>
      </c>
      <c r="G21" s="2131">
        <v>-0.38129999999999997</v>
      </c>
      <c r="H21" s="682">
        <v>437627</v>
      </c>
      <c r="I21" s="2131">
        <v>-0.37859999999999999</v>
      </c>
      <c r="J21" s="2214">
        <v>2131125</v>
      </c>
      <c r="K21" s="2213">
        <v>1.2434000000000001</v>
      </c>
      <c r="L21" s="2214">
        <v>2478770</v>
      </c>
      <c r="M21" s="2131">
        <v>2.5291000000000001</v>
      </c>
      <c r="N21" s="682">
        <v>640290</v>
      </c>
      <c r="O21" s="2131">
        <v>-3.4175</v>
      </c>
      <c r="P21" s="2177">
        <v>25334808</v>
      </c>
      <c r="Q21" s="2179">
        <v>0.55110000000000003</v>
      </c>
      <c r="R21" s="2157"/>
      <c r="S21" s="2157"/>
      <c r="T21" s="2157"/>
      <c r="V21" s="12"/>
      <c r="W21" s="12"/>
      <c r="X21" s="12"/>
      <c r="Y21" s="12"/>
      <c r="Z21" s="12"/>
      <c r="AA21" s="12"/>
    </row>
    <row r="22" spans="1:27" s="2136" customFormat="1" ht="27" customHeight="1">
      <c r="A22" s="336">
        <v>2025.1</v>
      </c>
      <c r="B22" s="2177">
        <v>16029235</v>
      </c>
      <c r="C22" s="2213">
        <v>0.36120000000000002</v>
      </c>
      <c r="D22" s="2214">
        <v>3597519</v>
      </c>
      <c r="E22" s="2131">
        <v>0.37390000000000001</v>
      </c>
      <c r="F22" s="682">
        <v>20630</v>
      </c>
      <c r="G22" s="2131">
        <v>-0.36699999999999999</v>
      </c>
      <c r="H22" s="682">
        <v>437475</v>
      </c>
      <c r="I22" s="2131">
        <v>-0.41039999999999999</v>
      </c>
      <c r="J22" s="2214">
        <v>2133045</v>
      </c>
      <c r="K22" s="2213">
        <v>1.2202</v>
      </c>
      <c r="L22" s="2214">
        <v>2481813</v>
      </c>
      <c r="M22" s="2131">
        <v>2.5009000000000001</v>
      </c>
      <c r="N22" s="682">
        <v>638389</v>
      </c>
      <c r="O22" s="2131">
        <v>-3.4683000000000002</v>
      </c>
      <c r="P22" s="2177">
        <v>25338106</v>
      </c>
      <c r="Q22" s="2179">
        <v>0.52580000000000005</v>
      </c>
      <c r="R22" s="2157"/>
      <c r="S22" s="2157"/>
      <c r="T22" s="2157"/>
      <c r="V22" s="12"/>
      <c r="W22" s="12"/>
      <c r="X22" s="12"/>
      <c r="Y22" s="12"/>
      <c r="Z22" s="12"/>
      <c r="AA22" s="12"/>
    </row>
    <row r="23" spans="1:27" s="2136" customFormat="1" ht="27" customHeight="1">
      <c r="A23" s="336">
        <v>2025.11</v>
      </c>
      <c r="B23" s="2177">
        <v>16033907</v>
      </c>
      <c r="C23" s="2213">
        <v>0.30080000000000001</v>
      </c>
      <c r="D23" s="2214">
        <v>3600739</v>
      </c>
      <c r="E23" s="2131">
        <v>0.36320000000000002</v>
      </c>
      <c r="F23" s="682">
        <v>20629</v>
      </c>
      <c r="G23" s="2131">
        <v>-0.3478</v>
      </c>
      <c r="H23" s="682">
        <v>437342</v>
      </c>
      <c r="I23" s="2131">
        <v>-0.41649999999999998</v>
      </c>
      <c r="J23" s="2214">
        <v>2689442</v>
      </c>
      <c r="K23" s="2213">
        <v>1.1545000000000001</v>
      </c>
      <c r="L23" s="2214">
        <v>2485060</v>
      </c>
      <c r="M23" s="2131">
        <v>2.4464000000000001</v>
      </c>
      <c r="N23" s="682">
        <v>637209</v>
      </c>
      <c r="O23" s="2131">
        <v>-3.4289000000000001</v>
      </c>
      <c r="P23" s="2177">
        <v>25904328</v>
      </c>
      <c r="Q23" s="2179">
        <v>0.49120000000000003</v>
      </c>
      <c r="R23" s="2157"/>
      <c r="S23" s="2157"/>
      <c r="T23" s="2157"/>
      <c r="V23" s="12"/>
      <c r="W23" s="12"/>
      <c r="X23" s="12"/>
      <c r="Y23" s="12"/>
      <c r="Z23" s="12"/>
      <c r="AA23" s="12"/>
    </row>
    <row r="24" spans="1:27" s="2136" customFormat="1" ht="27" customHeight="1">
      <c r="A24" s="336">
        <v>2025.12</v>
      </c>
      <c r="B24" s="2177">
        <v>16034518</v>
      </c>
      <c r="C24" s="2213">
        <v>0.2893</v>
      </c>
      <c r="D24" s="2214">
        <v>3605347</v>
      </c>
      <c r="E24" s="2131">
        <v>0.3594</v>
      </c>
      <c r="F24" s="682">
        <v>20644</v>
      </c>
      <c r="G24" s="2131">
        <v>-0.29459999999999997</v>
      </c>
      <c r="H24" s="682">
        <v>436767</v>
      </c>
      <c r="I24" s="2131">
        <v>-0.43840000000000001</v>
      </c>
      <c r="J24" s="2214">
        <v>2211037</v>
      </c>
      <c r="K24" s="2213">
        <v>0.86209999999999998</v>
      </c>
      <c r="L24" s="2214">
        <v>2490381</v>
      </c>
      <c r="M24" s="2131">
        <v>2.4424000000000001</v>
      </c>
      <c r="N24" s="682">
        <v>635482</v>
      </c>
      <c r="O24" s="2131">
        <v>-3.4215</v>
      </c>
      <c r="P24" s="2177">
        <v>25434176</v>
      </c>
      <c r="Q24" s="2179">
        <v>0.44600000000000001</v>
      </c>
      <c r="R24" s="2157"/>
      <c r="S24" s="2157"/>
      <c r="T24" s="2157"/>
      <c r="V24" s="12"/>
      <c r="W24" s="12"/>
      <c r="X24" s="12"/>
      <c r="Y24" s="12"/>
      <c r="Z24" s="12"/>
      <c r="AA24" s="12"/>
    </row>
    <row r="25" spans="1:27" s="2136" customFormat="1" ht="27" customHeight="1">
      <c r="A25" s="337">
        <v>2026.01</v>
      </c>
      <c r="B25" s="2221">
        <v>16038195</v>
      </c>
      <c r="C25" s="2222">
        <v>0.26190000000000002</v>
      </c>
      <c r="D25" s="2223">
        <v>3610566</v>
      </c>
      <c r="E25" s="2147">
        <v>0.38290000000000002</v>
      </c>
      <c r="F25" s="2224">
        <v>20671</v>
      </c>
      <c r="G25" s="2147">
        <v>-0.25569999999999998</v>
      </c>
      <c r="H25" s="2224">
        <v>436351</v>
      </c>
      <c r="I25" s="2147">
        <v>-0.49640000000000001</v>
      </c>
      <c r="J25" s="2223">
        <v>2128837</v>
      </c>
      <c r="K25" s="2222">
        <v>1.1843999999999999</v>
      </c>
      <c r="L25" s="2223">
        <v>2495934</v>
      </c>
      <c r="M25" s="2147">
        <v>2.4100999999999999</v>
      </c>
      <c r="N25" s="2224">
        <v>633450</v>
      </c>
      <c r="O25" s="2147">
        <v>-3.4921000000000002</v>
      </c>
      <c r="P25" s="2221">
        <v>25364004</v>
      </c>
      <c r="Q25" s="2225">
        <v>0.45219999999999999</v>
      </c>
      <c r="R25" s="2157"/>
      <c r="S25" s="2157"/>
      <c r="T25" s="2157"/>
      <c r="V25" s="12"/>
      <c r="W25" s="12"/>
      <c r="X25" s="12"/>
      <c r="Y25" s="12"/>
      <c r="Z25" s="12"/>
      <c r="AA25" s="12"/>
    </row>
    <row r="26" spans="1:27" s="2136" customFormat="1" ht="27" customHeight="1">
      <c r="A26" s="336">
        <v>2026.02</v>
      </c>
      <c r="B26" s="2177">
        <v>16038877</v>
      </c>
      <c r="C26" s="2213">
        <v>0.2697</v>
      </c>
      <c r="D26" s="2214">
        <v>3615384</v>
      </c>
      <c r="E26" s="2131">
        <v>0.49519999999999997</v>
      </c>
      <c r="F26" s="682">
        <v>20699</v>
      </c>
      <c r="G26" s="2131">
        <v>-0.23619999999999999</v>
      </c>
      <c r="H26" s="682">
        <v>436138</v>
      </c>
      <c r="I26" s="2131">
        <v>-0.47149999999999997</v>
      </c>
      <c r="J26" s="2214">
        <v>2128505</v>
      </c>
      <c r="K26" s="2213">
        <v>1.2265999999999999</v>
      </c>
      <c r="L26" s="2214">
        <v>2498316</v>
      </c>
      <c r="M26" s="2131">
        <v>2.4605000000000001</v>
      </c>
      <c r="N26" s="682">
        <v>631558</v>
      </c>
      <c r="O26" s="2131">
        <v>-3.4910999999999999</v>
      </c>
      <c r="P26" s="2177">
        <v>25369477</v>
      </c>
      <c r="Q26" s="2179">
        <v>0.48230000000000001</v>
      </c>
      <c r="R26" s="2157"/>
      <c r="S26" s="2157"/>
      <c r="T26" s="2157"/>
      <c r="V26" s="12"/>
      <c r="W26" s="12"/>
      <c r="X26" s="12"/>
      <c r="Y26" s="12"/>
      <c r="Z26" s="12"/>
      <c r="AA26" s="12"/>
    </row>
    <row r="27" spans="1:27" s="2136" customFormat="1" ht="27" customHeight="1">
      <c r="A27" s="336">
        <v>2026.03</v>
      </c>
      <c r="B27" s="2177">
        <v>16039383</v>
      </c>
      <c r="C27" s="2213">
        <v>0.2036</v>
      </c>
      <c r="D27" s="2214">
        <v>3618212</v>
      </c>
      <c r="E27" s="2131">
        <v>0.60680000000000001</v>
      </c>
      <c r="F27" s="682">
        <v>20667</v>
      </c>
      <c r="G27" s="2131">
        <v>-0.1739</v>
      </c>
      <c r="H27" s="682">
        <v>435944</v>
      </c>
      <c r="I27" s="2131">
        <v>-0.45619999999999999</v>
      </c>
      <c r="J27" s="2214">
        <v>2685652</v>
      </c>
      <c r="K27" s="2213">
        <v>0.88500000000000001</v>
      </c>
      <c r="L27" s="2214">
        <v>2500029</v>
      </c>
      <c r="M27" s="2131">
        <v>2.4445000000000001</v>
      </c>
      <c r="N27" s="682">
        <v>629780</v>
      </c>
      <c r="O27" s="2131">
        <v>-3.5244</v>
      </c>
      <c r="P27" s="2177">
        <v>25929667</v>
      </c>
      <c r="Q27" s="2179">
        <v>0.43609999999999999</v>
      </c>
      <c r="R27" s="2157"/>
      <c r="S27" s="2157"/>
      <c r="T27" s="2157"/>
      <c r="V27" s="12"/>
      <c r="W27" s="12"/>
      <c r="X27" s="12"/>
      <c r="Y27" s="12"/>
      <c r="Z27" s="12"/>
      <c r="AA27" s="12"/>
    </row>
    <row r="28" spans="1:27" s="2136" customFormat="1" ht="27" customHeight="1">
      <c r="A28" s="338">
        <v>2026.04</v>
      </c>
      <c r="B28" s="2226">
        <v>16049240</v>
      </c>
      <c r="C28" s="2227">
        <v>0.23319999999999999</v>
      </c>
      <c r="D28" s="2228">
        <v>3622478</v>
      </c>
      <c r="E28" s="2153">
        <v>0.76090000000000002</v>
      </c>
      <c r="F28" s="2229">
        <v>20631</v>
      </c>
      <c r="G28" s="2153">
        <v>-0.1983</v>
      </c>
      <c r="H28" s="2229">
        <v>436031</v>
      </c>
      <c r="I28" s="2153">
        <v>-0.43590000000000001</v>
      </c>
      <c r="J28" s="2228">
        <v>2220824</v>
      </c>
      <c r="K28" s="2227">
        <v>1.2374000000000001</v>
      </c>
      <c r="L28" s="2228">
        <v>2509417</v>
      </c>
      <c r="M28" s="2153">
        <v>2.6496</v>
      </c>
      <c r="N28" s="2229">
        <v>628168</v>
      </c>
      <c r="O28" s="2153">
        <v>-3.4779</v>
      </c>
      <c r="P28" s="2226">
        <v>25486789</v>
      </c>
      <c r="Q28" s="2230">
        <v>0.52080000000000004</v>
      </c>
      <c r="R28" s="2157"/>
      <c r="S28" s="2157"/>
      <c r="T28" s="2157"/>
      <c r="V28" s="12"/>
      <c r="W28" s="12"/>
      <c r="X28" s="12"/>
      <c r="Y28" s="12"/>
      <c r="Z28" s="12"/>
      <c r="AA28" s="12"/>
    </row>
    <row r="29" spans="1:27" s="2136" customFormat="1" ht="3" customHeight="1">
      <c r="A29" s="675"/>
      <c r="B29" s="682"/>
      <c r="C29" s="2231"/>
      <c r="D29" s="682"/>
      <c r="E29" s="2231"/>
      <c r="F29" s="682"/>
      <c r="G29" s="2231"/>
      <c r="H29" s="682"/>
      <c r="I29" s="2231"/>
      <c r="J29" s="682"/>
      <c r="K29" s="2231"/>
      <c r="L29" s="682"/>
      <c r="M29" s="2231"/>
      <c r="N29" s="682"/>
      <c r="O29" s="2231"/>
      <c r="P29" s="682"/>
      <c r="Q29" s="2231"/>
      <c r="R29" s="2157"/>
      <c r="S29" s="2157"/>
      <c r="T29" s="2157"/>
      <c r="V29" s="12"/>
      <c r="W29" s="12"/>
      <c r="X29" s="12"/>
      <c r="Y29" s="12"/>
      <c r="Z29" s="12"/>
      <c r="AA29" s="12"/>
    </row>
    <row r="30" spans="1:27" ht="13.5" customHeight="1">
      <c r="A30" s="1499" t="s">
        <v>1175</v>
      </c>
      <c r="B30" s="2198"/>
      <c r="C30" s="2199"/>
      <c r="D30" s="2200"/>
      <c r="E30" s="2199"/>
      <c r="F30" s="2198"/>
      <c r="G30" s="2199"/>
      <c r="H30" s="2198"/>
      <c r="I30" s="1499"/>
      <c r="J30" s="1499"/>
      <c r="K30" s="2199"/>
      <c r="L30" s="2198"/>
      <c r="M30" s="1499"/>
      <c r="O30" s="1499"/>
      <c r="P30" s="2201"/>
      <c r="Q30" s="2202"/>
    </row>
    <row r="31" spans="1:27" ht="7.5" hidden="1" customHeight="1">
      <c r="A31" s="1499"/>
      <c r="B31" s="2198"/>
      <c r="C31" s="2199"/>
      <c r="D31" s="2200"/>
      <c r="E31" s="2199"/>
      <c r="F31" s="2198"/>
      <c r="G31" s="2199"/>
      <c r="H31" s="2198"/>
      <c r="I31" s="1499"/>
      <c r="J31" s="1499"/>
      <c r="K31" s="2199"/>
      <c r="L31" s="2198"/>
      <c r="M31" s="1499"/>
      <c r="O31" s="1499"/>
      <c r="P31" s="2201"/>
      <c r="Q31" s="2202"/>
    </row>
    <row r="32" spans="1:27" ht="12" customHeight="1">
      <c r="A32" s="615"/>
      <c r="B32" s="346"/>
      <c r="C32" s="2232"/>
      <c r="D32" s="2233"/>
      <c r="E32" s="2232"/>
      <c r="F32" s="346"/>
      <c r="G32" s="2232"/>
      <c r="H32" s="346"/>
      <c r="I32" s="2232"/>
      <c r="J32" s="596"/>
      <c r="K32" s="2232"/>
      <c r="L32" s="346"/>
      <c r="M32" s="2234"/>
      <c r="N32" s="346"/>
      <c r="O32" s="346"/>
      <c r="P32" s="528"/>
      <c r="Q32" s="282"/>
    </row>
    <row r="33" spans="1:17" ht="12" customHeight="1">
      <c r="A33" s="349"/>
      <c r="B33" s="272"/>
      <c r="C33" s="2170"/>
      <c r="D33" s="2204"/>
      <c r="E33" s="2170"/>
      <c r="F33" s="272"/>
      <c r="G33" s="2170"/>
      <c r="H33" s="272"/>
      <c r="I33" s="2170"/>
      <c r="J33" s="279"/>
      <c r="K33" s="2170"/>
      <c r="L33" s="349"/>
      <c r="M33" s="349"/>
      <c r="N33" s="349"/>
      <c r="O33" s="349"/>
      <c r="P33" s="613"/>
      <c r="Q33" s="2199"/>
    </row>
    <row r="34" spans="1:17" ht="12" customHeight="1">
      <c r="A34" s="349"/>
      <c r="B34" s="272"/>
      <c r="C34" s="2170"/>
      <c r="D34" s="2204"/>
      <c r="E34" s="2170"/>
      <c r="F34" s="272"/>
      <c r="G34" s="2170"/>
      <c r="H34" s="272"/>
      <c r="I34" s="2170"/>
      <c r="J34" s="272"/>
      <c r="K34" s="2170"/>
      <c r="L34" s="349"/>
      <c r="M34" s="349"/>
      <c r="N34" s="349"/>
      <c r="O34" s="349"/>
      <c r="P34" s="613"/>
      <c r="Q34" s="2199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2" orientation="portrait" useFirstPageNumber="1" r:id="rId1"/>
  <headerFooter differentOddEven="1" scaleWithDoc="0" alignWithMargins="0"/>
  <colBreaks count="1" manualBreakCount="1">
    <brk id="9" max="3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A400-0A25-45BE-803E-EB5D6691BB00}">
  <sheetPr>
    <tabColor rgb="FF00B050"/>
  </sheetPr>
  <dimension ref="A1:T37"/>
  <sheetViews>
    <sheetView showGridLines="0" view="pageBreakPreview" zoomScale="112" zoomScaleNormal="100" zoomScaleSheetLayoutView="112" workbookViewId="0">
      <pane xSplit="1" ySplit="4" topLeftCell="B21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211" customWidth="1"/>
    <col min="4" max="4" width="13" style="12" customWidth="1"/>
    <col min="5" max="5" width="7" style="2211" customWidth="1"/>
    <col min="6" max="6" width="13" style="12" customWidth="1"/>
    <col min="7" max="7" width="7" style="2211" customWidth="1"/>
    <col min="8" max="8" width="13" style="12" customWidth="1"/>
    <col min="9" max="9" width="7" style="2211" customWidth="1"/>
    <col min="10" max="10" width="15.5" style="12" customWidth="1"/>
    <col min="11" max="11" width="7.75" style="2211" customWidth="1"/>
    <col min="12" max="12" width="15.5" style="12" customWidth="1"/>
    <col min="13" max="13" width="7.75" style="2211" customWidth="1"/>
    <col min="14" max="14" width="15.5" style="12" customWidth="1"/>
    <col min="15" max="15" width="7.75" style="2211" customWidth="1"/>
    <col min="16" max="16" width="16.125" style="12" customWidth="1"/>
    <col min="17" max="17" width="7.75" style="2211" customWidth="1"/>
    <col min="18" max="18" width="10" style="12"/>
    <col min="19" max="20" width="12.25" style="2261" customWidth="1"/>
    <col min="21" max="16384" width="10" style="12"/>
  </cols>
  <sheetData>
    <row r="1" spans="1:20" s="271" customFormat="1" ht="20.25">
      <c r="A1" s="2125" t="s">
        <v>1179</v>
      </c>
      <c r="C1" s="2167"/>
      <c r="E1" s="2235"/>
      <c r="G1" s="2167"/>
      <c r="I1" s="2167"/>
      <c r="K1" s="2167"/>
      <c r="M1" s="2167"/>
      <c r="O1" s="2167"/>
      <c r="Q1" s="2167"/>
      <c r="S1" s="350"/>
      <c r="T1" s="350"/>
    </row>
    <row r="2" spans="1:20" s="274" customFormat="1" ht="17.25">
      <c r="A2" s="274" t="s">
        <v>1180</v>
      </c>
      <c r="C2" s="2169"/>
      <c r="E2" s="2169"/>
      <c r="G2" s="2169"/>
      <c r="I2" s="2169"/>
      <c r="K2" s="2169"/>
      <c r="M2" s="2169"/>
      <c r="O2" s="2169"/>
      <c r="Q2" s="2169"/>
      <c r="S2" s="275"/>
      <c r="T2" s="275"/>
    </row>
    <row r="3" spans="1:20" s="346" customFormat="1" ht="15" customHeight="1">
      <c r="C3" s="2232"/>
      <c r="E3" s="2232"/>
      <c r="G3" s="2232"/>
      <c r="H3" s="1256"/>
      <c r="I3" s="2232"/>
      <c r="K3" s="2236"/>
      <c r="M3" s="2232"/>
      <c r="O3" s="2232"/>
      <c r="Q3" s="1388" t="s">
        <v>1181</v>
      </c>
      <c r="S3" s="596"/>
      <c r="T3" s="596"/>
    </row>
    <row r="4" spans="1:20" s="272" customFormat="1" ht="35.1" customHeight="1">
      <c r="A4" s="2173" t="s">
        <v>1053</v>
      </c>
      <c r="B4" s="2174" t="s">
        <v>1168</v>
      </c>
      <c r="C4" s="2175" t="s">
        <v>28</v>
      </c>
      <c r="D4" s="1779" t="s">
        <v>1169</v>
      </c>
      <c r="E4" s="2175" t="s">
        <v>28</v>
      </c>
      <c r="F4" s="1779" t="s">
        <v>1170</v>
      </c>
      <c r="G4" s="2175" t="s">
        <v>28</v>
      </c>
      <c r="H4" s="2237" t="s">
        <v>1182</v>
      </c>
      <c r="I4" s="2238" t="s">
        <v>28</v>
      </c>
      <c r="J4" s="1788" t="s">
        <v>1172</v>
      </c>
      <c r="K4" s="2175" t="s">
        <v>28</v>
      </c>
      <c r="L4" s="1779" t="s">
        <v>1173</v>
      </c>
      <c r="M4" s="2175" t="s">
        <v>28</v>
      </c>
      <c r="N4" s="1779" t="s">
        <v>1174</v>
      </c>
      <c r="O4" s="2175" t="s">
        <v>28</v>
      </c>
      <c r="P4" s="2174" t="s">
        <v>160</v>
      </c>
      <c r="Q4" s="2176" t="s">
        <v>28</v>
      </c>
      <c r="S4" s="279"/>
      <c r="T4" s="279"/>
    </row>
    <row r="5" spans="1:20" s="271" customFormat="1" ht="24.95" customHeight="1">
      <c r="A5" s="321">
        <v>2015</v>
      </c>
      <c r="B5" s="1587">
        <v>8116164.9900000002</v>
      </c>
      <c r="C5" s="2131">
        <v>0.61719999999999997</v>
      </c>
      <c r="D5" s="496">
        <v>13526415.516000001</v>
      </c>
      <c r="E5" s="2131">
        <v>3.4658000000000002</v>
      </c>
      <c r="F5" s="496">
        <v>870691.76899999997</v>
      </c>
      <c r="G5" s="2131">
        <v>2.5455000000000001</v>
      </c>
      <c r="H5" s="496">
        <v>29382565.881000001</v>
      </c>
      <c r="I5" s="2131">
        <v>0.91210000000000002</v>
      </c>
      <c r="J5" s="496">
        <v>742907.23300000001</v>
      </c>
      <c r="K5" s="2131">
        <v>8.2616999999999994</v>
      </c>
      <c r="L5" s="496">
        <v>378803.70699999999</v>
      </c>
      <c r="M5" s="2131">
        <v>3.7153</v>
      </c>
      <c r="N5" s="496">
        <v>946136.97100000002</v>
      </c>
      <c r="O5" s="2213">
        <v>-4.1253000000000002</v>
      </c>
      <c r="P5" s="2239">
        <v>53963686.067000002</v>
      </c>
      <c r="Q5" s="2179">
        <v>1.5423</v>
      </c>
    </row>
    <row r="6" spans="1:20" s="271" customFormat="1" ht="24.95" customHeight="1">
      <c r="A6" s="321">
        <v>2016</v>
      </c>
      <c r="B6" s="1587">
        <v>8270443.2589999996</v>
      </c>
      <c r="C6" s="2131">
        <v>1.9009</v>
      </c>
      <c r="D6" s="496">
        <v>14164678.060000001</v>
      </c>
      <c r="E6" s="2131">
        <v>4.7186000000000003</v>
      </c>
      <c r="F6" s="496">
        <v>900914.37199999997</v>
      </c>
      <c r="G6" s="2131">
        <v>3.4710999999999999</v>
      </c>
      <c r="H6" s="496">
        <v>29866595.241999999</v>
      </c>
      <c r="I6" s="2131">
        <v>1.6473</v>
      </c>
      <c r="J6" s="496">
        <v>786031.60199999996</v>
      </c>
      <c r="K6" s="2131">
        <v>5.8048000000000002</v>
      </c>
      <c r="L6" s="496">
        <v>392456.59700000001</v>
      </c>
      <c r="M6" s="2131">
        <v>3.6042000000000001</v>
      </c>
      <c r="N6" s="496">
        <v>906403.93</v>
      </c>
      <c r="O6" s="2213">
        <v>-4.1994999999999996</v>
      </c>
      <c r="P6" s="2239">
        <v>55287523.060000002</v>
      </c>
      <c r="Q6" s="2179">
        <v>2.4531999999999998</v>
      </c>
    </row>
    <row r="7" spans="1:20" s="271" customFormat="1" ht="24.95" customHeight="1">
      <c r="A7" s="321">
        <v>2017</v>
      </c>
      <c r="B7" s="1653">
        <v>7437258.8269999996</v>
      </c>
      <c r="C7" s="2131">
        <v>-10.074199999999999</v>
      </c>
      <c r="D7" s="496">
        <v>14515430.182</v>
      </c>
      <c r="E7" s="2131">
        <v>2.4762</v>
      </c>
      <c r="F7" s="496">
        <v>857124.03700000001</v>
      </c>
      <c r="G7" s="2131">
        <v>-4.8606999999999996</v>
      </c>
      <c r="H7" s="496">
        <v>30715446.368000001</v>
      </c>
      <c r="I7" s="2131">
        <v>2.8420999999999998</v>
      </c>
      <c r="J7" s="496">
        <v>820634.50399999996</v>
      </c>
      <c r="K7" s="2131">
        <v>4.4021999999999997</v>
      </c>
      <c r="L7" s="496">
        <v>403630.97399999999</v>
      </c>
      <c r="M7" s="2131">
        <v>2.8473000000000002</v>
      </c>
      <c r="N7" s="496">
        <v>864485.91799999995</v>
      </c>
      <c r="O7" s="2179">
        <v>-4.6246999999999998</v>
      </c>
      <c r="P7" s="2240">
        <v>55614010.810000002</v>
      </c>
      <c r="Q7" s="2179">
        <v>0.59050000000000002</v>
      </c>
    </row>
    <row r="8" spans="1:20" s="271" customFormat="1" ht="24.95" customHeight="1">
      <c r="A8" s="321">
        <v>2018</v>
      </c>
      <c r="B8" s="1653">
        <v>7790409.2589999996</v>
      </c>
      <c r="C8" s="2131">
        <v>4.7484000000000002</v>
      </c>
      <c r="D8" s="496">
        <v>15198335.856000001</v>
      </c>
      <c r="E8" s="2131">
        <v>4.7046999999999999</v>
      </c>
      <c r="F8" s="496">
        <v>903498.21699999995</v>
      </c>
      <c r="G8" s="2131">
        <v>5.4104000000000001</v>
      </c>
      <c r="H8" s="496">
        <v>31191485.295000002</v>
      </c>
      <c r="I8" s="2131">
        <v>1.5498000000000001</v>
      </c>
      <c r="J8" s="496">
        <v>877588.49699999997</v>
      </c>
      <c r="K8" s="2131">
        <v>6.9401999999999999</v>
      </c>
      <c r="L8" s="496">
        <v>407555.74800000002</v>
      </c>
      <c r="M8" s="2131">
        <v>0.97240000000000004</v>
      </c>
      <c r="N8" s="496">
        <v>848713.53300000005</v>
      </c>
      <c r="O8" s="2179">
        <v>-1.8245</v>
      </c>
      <c r="P8" s="2240">
        <v>57217586.406000003</v>
      </c>
      <c r="Q8" s="2179">
        <v>2.8834</v>
      </c>
    </row>
    <row r="9" spans="1:20" s="271" customFormat="1" ht="24.95" customHeight="1">
      <c r="A9" s="321">
        <v>2019</v>
      </c>
      <c r="B9" s="1653">
        <v>7623684.7029999997</v>
      </c>
      <c r="C9" s="2131">
        <v>-2.1400999999999999</v>
      </c>
      <c r="D9" s="496">
        <v>15147479.418</v>
      </c>
      <c r="E9" s="2131">
        <v>-0.33460000000000001</v>
      </c>
      <c r="F9" s="496">
        <v>889053.06700000004</v>
      </c>
      <c r="G9" s="2131">
        <v>-1.5988</v>
      </c>
      <c r="H9" s="496">
        <v>30821348.916999999</v>
      </c>
      <c r="I9" s="2131">
        <v>-1.1867000000000001</v>
      </c>
      <c r="J9" s="496">
        <v>901438.826</v>
      </c>
      <c r="K9" s="2131">
        <v>2.7176999999999998</v>
      </c>
      <c r="L9" s="496">
        <v>406828.84399999998</v>
      </c>
      <c r="M9" s="2131">
        <v>-0.1784</v>
      </c>
      <c r="N9" s="496">
        <v>766666.51699999999</v>
      </c>
      <c r="O9" s="2179">
        <v>-9.6671999999999993</v>
      </c>
      <c r="P9" s="2240">
        <v>56556500.292000003</v>
      </c>
      <c r="Q9" s="2179">
        <v>-1.1554</v>
      </c>
    </row>
    <row r="10" spans="1:20" s="271" customFormat="1" ht="24.95" customHeight="1">
      <c r="A10" s="321">
        <v>2020</v>
      </c>
      <c r="B10" s="1587">
        <v>8232506.608</v>
      </c>
      <c r="C10" s="2131">
        <v>7.9859</v>
      </c>
      <c r="D10" s="496">
        <v>14955272.458000001</v>
      </c>
      <c r="E10" s="2131">
        <v>-1.2688999999999999</v>
      </c>
      <c r="F10" s="496">
        <v>781516.14899999998</v>
      </c>
      <c r="G10" s="2131">
        <v>-12.095700000000001</v>
      </c>
      <c r="H10" s="496">
        <v>29914726.353</v>
      </c>
      <c r="I10" s="2131">
        <v>-2.9415</v>
      </c>
      <c r="J10" s="496">
        <v>921881.23</v>
      </c>
      <c r="K10" s="2131">
        <v>2.2677999999999998</v>
      </c>
      <c r="L10" s="496">
        <v>401011.598</v>
      </c>
      <c r="M10" s="2131">
        <v>-1.4298999999999999</v>
      </c>
      <c r="N10" s="496">
        <v>711663.81499999994</v>
      </c>
      <c r="O10" s="2179">
        <v>-7.1742999999999997</v>
      </c>
      <c r="P10" s="1653">
        <v>55918578.210000001</v>
      </c>
      <c r="Q10" s="2179">
        <v>-1.1278999999999999</v>
      </c>
    </row>
    <row r="11" spans="1:20" s="2136" customFormat="1" ht="24.95" customHeight="1">
      <c r="A11" s="321">
        <v>2021</v>
      </c>
      <c r="B11" s="1653">
        <v>8723165.5930000003</v>
      </c>
      <c r="C11" s="2131">
        <v>5.96</v>
      </c>
      <c r="D11" s="496">
        <v>15358188.585000001</v>
      </c>
      <c r="E11" s="2131">
        <v>2.6941000000000002</v>
      </c>
      <c r="F11" s="496">
        <v>856494.47600000002</v>
      </c>
      <c r="G11" s="2131">
        <v>9.5939999999999994</v>
      </c>
      <c r="H11" s="496">
        <v>30730573.149</v>
      </c>
      <c r="I11" s="2131">
        <v>2.7271999999999998</v>
      </c>
      <c r="J11" s="496">
        <v>946732.375</v>
      </c>
      <c r="K11" s="2131">
        <v>2.6957</v>
      </c>
      <c r="L11" s="496">
        <v>389133.67700000003</v>
      </c>
      <c r="M11" s="2131">
        <v>-2.9620000000000002</v>
      </c>
      <c r="N11" s="496">
        <v>667199.674</v>
      </c>
      <c r="O11" s="2179">
        <v>-6.2478999999999996</v>
      </c>
      <c r="P11" s="2240">
        <v>57671487.527999997</v>
      </c>
      <c r="Q11" s="2179">
        <v>3.1347999999999998</v>
      </c>
    </row>
    <row r="12" spans="1:20" s="2136" customFormat="1" ht="24.95" customHeight="1">
      <c r="A12" s="321">
        <v>2022</v>
      </c>
      <c r="B12" s="1653">
        <v>9826366.4120000005</v>
      </c>
      <c r="C12" s="2131">
        <v>12.646800000000001</v>
      </c>
      <c r="D12" s="496">
        <v>17692429.103</v>
      </c>
      <c r="E12" s="2131">
        <v>15.198700000000001</v>
      </c>
      <c r="F12" s="496">
        <v>1012042.827</v>
      </c>
      <c r="G12" s="2131">
        <v>18.161000000000001</v>
      </c>
      <c r="H12" s="496">
        <v>35127215.030000001</v>
      </c>
      <c r="I12" s="2131">
        <v>14.3071</v>
      </c>
      <c r="J12" s="496">
        <v>1218629.3589999999</v>
      </c>
      <c r="K12" s="2131">
        <v>28.7195</v>
      </c>
      <c r="L12" s="496">
        <v>426407.864</v>
      </c>
      <c r="M12" s="2131">
        <v>9.5787999999999993</v>
      </c>
      <c r="N12" s="496">
        <v>726993.69</v>
      </c>
      <c r="O12" s="2179">
        <v>8.9619</v>
      </c>
      <c r="P12" s="2240">
        <v>66030084.284999996</v>
      </c>
      <c r="Q12" s="2179">
        <v>14.493499999999999</v>
      </c>
    </row>
    <row r="13" spans="1:20" s="2136" customFormat="1" ht="24.95" customHeight="1">
      <c r="A13" s="321">
        <v>2023</v>
      </c>
      <c r="B13" s="1653">
        <v>12332006.32</v>
      </c>
      <c r="C13" s="2131">
        <v>25.499099999999999</v>
      </c>
      <c r="D13" s="496">
        <v>22172939.544</v>
      </c>
      <c r="E13" s="2131">
        <v>25.3245</v>
      </c>
      <c r="F13" s="496">
        <v>1281676.3659999999</v>
      </c>
      <c r="G13" s="2131">
        <v>26.642499999999998</v>
      </c>
      <c r="H13" s="496">
        <v>44661860.463</v>
      </c>
      <c r="I13" s="2131">
        <v>27.1432</v>
      </c>
      <c r="J13" s="496">
        <v>1559251.6070000001</v>
      </c>
      <c r="K13" s="2131">
        <v>27.9513</v>
      </c>
      <c r="L13" s="496">
        <v>518974.90299999999</v>
      </c>
      <c r="M13" s="2131">
        <v>21.708600000000001</v>
      </c>
      <c r="N13" s="496">
        <v>898784.21299999999</v>
      </c>
      <c r="O13" s="2179">
        <v>23.630299999999998</v>
      </c>
      <c r="P13" s="2240">
        <v>83425493.416999996</v>
      </c>
      <c r="Q13" s="2179">
        <v>26.3447</v>
      </c>
    </row>
    <row r="14" spans="1:20" s="2136" customFormat="1" ht="24.95" customHeight="1">
      <c r="A14" s="321">
        <v>2024</v>
      </c>
      <c r="B14" s="1653">
        <v>13649861.550000001</v>
      </c>
      <c r="C14" s="2131">
        <v>10.686500000000001</v>
      </c>
      <c r="D14" s="496">
        <v>23320705.728999998</v>
      </c>
      <c r="E14" s="2131">
        <v>5.1764000000000001</v>
      </c>
      <c r="F14" s="496">
        <v>1348889.2960000001</v>
      </c>
      <c r="G14" s="2131">
        <v>5.2441000000000004</v>
      </c>
      <c r="H14" s="496">
        <v>48133027.501999997</v>
      </c>
      <c r="I14" s="2131">
        <v>7.7721</v>
      </c>
      <c r="J14" s="496">
        <v>1731851.3089999999</v>
      </c>
      <c r="K14" s="2131">
        <v>11.0694</v>
      </c>
      <c r="L14" s="496">
        <v>540495.24600000004</v>
      </c>
      <c r="M14" s="2131">
        <v>4.1467000000000001</v>
      </c>
      <c r="N14" s="496">
        <v>854565.34400000004</v>
      </c>
      <c r="O14" s="2179">
        <v>-4.9199000000000002</v>
      </c>
      <c r="P14" s="2240">
        <v>89579395.975999996</v>
      </c>
      <c r="Q14" s="2179">
        <v>7.3765000000000001</v>
      </c>
    </row>
    <row r="15" spans="1:20" s="2136" customFormat="1" ht="24.95" customHeight="1">
      <c r="A15" s="1917">
        <v>2025</v>
      </c>
      <c r="B15" s="2241">
        <v>14064246.055</v>
      </c>
      <c r="C15" s="2218">
        <v>3.0358000000000001</v>
      </c>
      <c r="D15" s="2242">
        <v>23885478.138</v>
      </c>
      <c r="E15" s="2218">
        <v>2.4218000000000002</v>
      </c>
      <c r="F15" s="2242">
        <v>1402179.5560000001</v>
      </c>
      <c r="G15" s="2218">
        <v>3.9506999999999999</v>
      </c>
      <c r="H15" s="2242">
        <v>50971209.776000001</v>
      </c>
      <c r="I15" s="2218">
        <v>5.8964999999999996</v>
      </c>
      <c r="J15" s="2242">
        <v>1905761.4110000001</v>
      </c>
      <c r="K15" s="2218">
        <v>10.0419</v>
      </c>
      <c r="L15" s="2242">
        <v>545026.02800000005</v>
      </c>
      <c r="M15" s="2218">
        <v>0.83830000000000005</v>
      </c>
      <c r="N15" s="2242">
        <v>829580.64300000004</v>
      </c>
      <c r="O15" s="2220">
        <v>-2.9237000000000002</v>
      </c>
      <c r="P15" s="2243">
        <v>93603481.606999993</v>
      </c>
      <c r="Q15" s="2220">
        <v>4.4922000000000004</v>
      </c>
    </row>
    <row r="16" spans="1:20" s="2136" customFormat="1" ht="24.95" customHeight="1">
      <c r="A16" s="1602" t="s">
        <v>828</v>
      </c>
      <c r="B16" s="2244">
        <v>4330038.9910000004</v>
      </c>
      <c r="C16" s="2186">
        <v>3.9014000000000002</v>
      </c>
      <c r="D16" s="2245">
        <v>7906066.0779999997</v>
      </c>
      <c r="E16" s="2186">
        <v>3.2431000000000001</v>
      </c>
      <c r="F16" s="2245">
        <v>494937.66600000003</v>
      </c>
      <c r="G16" s="2186">
        <v>4.8209</v>
      </c>
      <c r="H16" s="2245">
        <v>16706348.255999999</v>
      </c>
      <c r="I16" s="2186">
        <v>6.8292999999999999</v>
      </c>
      <c r="J16" s="2245">
        <v>673122.076</v>
      </c>
      <c r="K16" s="2246">
        <v>12.4941</v>
      </c>
      <c r="L16" s="2245">
        <v>188251.28400000001</v>
      </c>
      <c r="M16" s="2186">
        <v>1.0112000000000001</v>
      </c>
      <c r="N16" s="2245">
        <v>473604.85399999999</v>
      </c>
      <c r="O16" s="2187">
        <v>-3.6536</v>
      </c>
      <c r="P16" s="2244">
        <v>30772369.204999998</v>
      </c>
      <c r="Q16" s="2187">
        <v>5.3414999999999999</v>
      </c>
    </row>
    <row r="17" spans="1:20" s="2136" customFormat="1" ht="24.95" customHeight="1">
      <c r="A17" s="336">
        <v>2025.04</v>
      </c>
      <c r="B17" s="2247">
        <v>988560.34199999995</v>
      </c>
      <c r="C17" s="2182">
        <v>4.3708999999999998</v>
      </c>
      <c r="D17" s="1599">
        <v>1603178.345</v>
      </c>
      <c r="E17" s="2182">
        <v>2.8599000000000001</v>
      </c>
      <c r="F17" s="1599">
        <v>101882.37699999999</v>
      </c>
      <c r="G17" s="2182">
        <v>5.7567000000000004</v>
      </c>
      <c r="H17" s="1599">
        <v>3911347.5410000002</v>
      </c>
      <c r="I17" s="2182">
        <v>9.9222999999999999</v>
      </c>
      <c r="J17" s="1599">
        <v>147542.61300000001</v>
      </c>
      <c r="K17" s="2248">
        <v>12.343299999999999</v>
      </c>
      <c r="L17" s="1599">
        <v>46039.034</v>
      </c>
      <c r="M17" s="2182">
        <v>1.3963000000000001</v>
      </c>
      <c r="N17" s="1599">
        <v>70444.909</v>
      </c>
      <c r="O17" s="2183">
        <v>-5.4249000000000001</v>
      </c>
      <c r="P17" s="2247">
        <v>6868995.1610000003</v>
      </c>
      <c r="Q17" s="2183">
        <v>7.1337000000000002</v>
      </c>
    </row>
    <row r="18" spans="1:20" s="2136" customFormat="1" ht="24.95" customHeight="1">
      <c r="A18" s="336">
        <v>2025.05</v>
      </c>
      <c r="B18" s="2247">
        <v>909542.28099999996</v>
      </c>
      <c r="C18" s="2182">
        <v>5.3826000000000001</v>
      </c>
      <c r="D18" s="1599">
        <v>1537780.9280000001</v>
      </c>
      <c r="E18" s="2182">
        <v>1.3349</v>
      </c>
      <c r="F18" s="1599">
        <v>80843.626000000004</v>
      </c>
      <c r="G18" s="2182">
        <v>5.6917999999999997</v>
      </c>
      <c r="H18" s="1599">
        <v>3864781.7949999999</v>
      </c>
      <c r="I18" s="2182">
        <v>8.8930000000000007</v>
      </c>
      <c r="J18" s="1599">
        <v>128517.236</v>
      </c>
      <c r="K18" s="2248">
        <v>10.6797</v>
      </c>
      <c r="L18" s="1599">
        <v>43854.3</v>
      </c>
      <c r="M18" s="2182">
        <v>0.67720000000000002</v>
      </c>
      <c r="N18" s="1599">
        <v>46564.252999999997</v>
      </c>
      <c r="O18" s="2183">
        <v>6.8113000000000001</v>
      </c>
      <c r="P18" s="2247">
        <v>6611884.4189999998</v>
      </c>
      <c r="Q18" s="2183">
        <v>6.4797000000000002</v>
      </c>
    </row>
    <row r="19" spans="1:20" s="2136" customFormat="1" ht="24.95" customHeight="1">
      <c r="A19" s="336">
        <v>2025.06</v>
      </c>
      <c r="B19" s="2247">
        <v>996394.272</v>
      </c>
      <c r="C19" s="2182">
        <v>5.2625999999999999</v>
      </c>
      <c r="D19" s="1599">
        <v>1871664.273</v>
      </c>
      <c r="E19" s="2182">
        <v>2.2115999999999998</v>
      </c>
      <c r="F19" s="1599">
        <v>105534.37</v>
      </c>
      <c r="G19" s="2182">
        <v>3.887</v>
      </c>
      <c r="H19" s="1599">
        <v>4387415.3890000004</v>
      </c>
      <c r="I19" s="2182">
        <v>8.8562999999999992</v>
      </c>
      <c r="J19" s="1599">
        <v>135327.86600000001</v>
      </c>
      <c r="K19" s="2248">
        <v>6.6146000000000003</v>
      </c>
      <c r="L19" s="1599">
        <v>43477.322</v>
      </c>
      <c r="M19" s="2182">
        <v>0.12509999999999999</v>
      </c>
      <c r="N19" s="1599">
        <v>36957.218999999997</v>
      </c>
      <c r="O19" s="2183">
        <v>-0.15190000000000001</v>
      </c>
      <c r="P19" s="2247">
        <v>7576770.7120000003</v>
      </c>
      <c r="Q19" s="2183">
        <v>6.4577</v>
      </c>
    </row>
    <row r="20" spans="1:20" s="2136" customFormat="1" ht="24.95" customHeight="1">
      <c r="A20" s="336">
        <v>2025.07</v>
      </c>
      <c r="B20" s="2247">
        <v>1350773.0789999999</v>
      </c>
      <c r="C20" s="2182">
        <v>17.3781</v>
      </c>
      <c r="D20" s="1599">
        <v>2378972.8029999998</v>
      </c>
      <c r="E20" s="2182">
        <v>5.8285999999999998</v>
      </c>
      <c r="F20" s="1599">
        <v>132317.55799999999</v>
      </c>
      <c r="G20" s="2182">
        <v>8.2112999999999996</v>
      </c>
      <c r="H20" s="1599">
        <v>4791630.301</v>
      </c>
      <c r="I20" s="2182">
        <v>9.0530000000000008</v>
      </c>
      <c r="J20" s="1599">
        <v>152106.05499999999</v>
      </c>
      <c r="K20" s="2248">
        <v>15.9323</v>
      </c>
      <c r="L20" s="1599">
        <v>42338.186999999998</v>
      </c>
      <c r="M20" s="2182">
        <v>1.5411999999999999</v>
      </c>
      <c r="N20" s="1599">
        <v>34845.368000000002</v>
      </c>
      <c r="O20" s="2183">
        <v>-0.22589999999999999</v>
      </c>
      <c r="P20" s="2247">
        <v>8882983.3499999996</v>
      </c>
      <c r="Q20" s="2183">
        <v>9.3600999999999992</v>
      </c>
    </row>
    <row r="21" spans="1:20" s="2136" customFormat="1" ht="24.95" customHeight="1">
      <c r="A21" s="336">
        <v>2025.08</v>
      </c>
      <c r="B21" s="2247">
        <v>1772317.601</v>
      </c>
      <c r="C21" s="2182">
        <v>1.6182000000000001</v>
      </c>
      <c r="D21" s="1599">
        <v>2548018.037</v>
      </c>
      <c r="E21" s="2182">
        <v>0.31540000000000001</v>
      </c>
      <c r="F21" s="1599">
        <v>124754.497</v>
      </c>
      <c r="G21" s="2182">
        <v>-1.0107999999999999</v>
      </c>
      <c r="H21" s="1599">
        <v>4667186.4529999997</v>
      </c>
      <c r="I21" s="2182">
        <v>7.3861999999999997</v>
      </c>
      <c r="J21" s="1599">
        <v>181195.71100000001</v>
      </c>
      <c r="K21" s="2248">
        <v>8.1836000000000002</v>
      </c>
      <c r="L21" s="1599">
        <v>43472.77</v>
      </c>
      <c r="M21" s="2182">
        <v>0.96650000000000003</v>
      </c>
      <c r="N21" s="1599">
        <v>33599.589</v>
      </c>
      <c r="O21" s="2183">
        <v>-7.5316999999999998</v>
      </c>
      <c r="P21" s="2247">
        <v>9370544.659</v>
      </c>
      <c r="Q21" s="2183">
        <v>4.0804</v>
      </c>
    </row>
    <row r="22" spans="1:20" s="2136" customFormat="1" ht="24.95" customHeight="1">
      <c r="A22" s="336">
        <v>2025.09</v>
      </c>
      <c r="B22" s="2247">
        <v>1625301.638</v>
      </c>
      <c r="C22" s="2182">
        <v>-5.3213999999999997</v>
      </c>
      <c r="D22" s="1599">
        <v>2186173.5189999999</v>
      </c>
      <c r="E22" s="2182">
        <v>0.4284</v>
      </c>
      <c r="F22" s="1599">
        <v>130658.29700000001</v>
      </c>
      <c r="G22" s="2182">
        <v>2.7791000000000001</v>
      </c>
      <c r="H22" s="1599">
        <v>4152955.3029999998</v>
      </c>
      <c r="I22" s="2182">
        <v>13.734500000000001</v>
      </c>
      <c r="J22" s="1599">
        <v>177564.90299999999</v>
      </c>
      <c r="K22" s="2248">
        <v>4.8414000000000001</v>
      </c>
      <c r="L22" s="1599">
        <v>44285.216999999997</v>
      </c>
      <c r="M22" s="2182">
        <v>0.53790000000000004</v>
      </c>
      <c r="N22" s="1599">
        <v>28790.643</v>
      </c>
      <c r="O22" s="2183">
        <v>-4.891</v>
      </c>
      <c r="P22" s="2247">
        <v>8345729.5190000003</v>
      </c>
      <c r="Q22" s="2183">
        <v>5.4318999999999997</v>
      </c>
    </row>
    <row r="23" spans="1:20" s="2136" customFormat="1" ht="24.95" customHeight="1">
      <c r="A23" s="336">
        <v>2025.1</v>
      </c>
      <c r="B23" s="2247">
        <v>1046136.789</v>
      </c>
      <c r="C23" s="2182">
        <v>-6.9313000000000002</v>
      </c>
      <c r="D23" s="1599">
        <v>1639156.125</v>
      </c>
      <c r="E23" s="2182">
        <v>0.72099999999999997</v>
      </c>
      <c r="F23" s="1599">
        <v>88923.137000000002</v>
      </c>
      <c r="G23" s="2182">
        <v>-1.1890000000000001</v>
      </c>
      <c r="H23" s="1599">
        <v>3727313.37</v>
      </c>
      <c r="I23" s="2182">
        <v>0.90869999999999995</v>
      </c>
      <c r="J23" s="1599">
        <v>138030.139</v>
      </c>
      <c r="K23" s="2248">
        <v>5.8274999999999997</v>
      </c>
      <c r="L23" s="1599">
        <v>44660.144999999997</v>
      </c>
      <c r="M23" s="2182">
        <v>0.4083</v>
      </c>
      <c r="N23" s="1599">
        <v>24943.919999999998</v>
      </c>
      <c r="O23" s="2183">
        <v>-6.8663999999999996</v>
      </c>
      <c r="P23" s="2247">
        <v>6709163.625</v>
      </c>
      <c r="Q23" s="2183">
        <v>-0.41170000000000001</v>
      </c>
    </row>
    <row r="24" spans="1:20" s="2136" customFormat="1" ht="24.95" customHeight="1">
      <c r="A24" s="336">
        <v>2025.11</v>
      </c>
      <c r="B24" s="2247">
        <v>985630.47699999996</v>
      </c>
      <c r="C24" s="2182">
        <v>6.1135999999999999</v>
      </c>
      <c r="D24" s="1599">
        <v>1748391.6040000001</v>
      </c>
      <c r="E24" s="2182">
        <v>2.8228</v>
      </c>
      <c r="F24" s="1599">
        <v>104724.333</v>
      </c>
      <c r="G24" s="2182">
        <v>6.7150999999999996</v>
      </c>
      <c r="H24" s="1599">
        <v>4220867.8190000001</v>
      </c>
      <c r="I24" s="2182">
        <v>-2.1606000000000001</v>
      </c>
      <c r="J24" s="1599">
        <v>162984.06400000001</v>
      </c>
      <c r="K24" s="2248">
        <v>11.5806</v>
      </c>
      <c r="L24" s="1599">
        <v>47162.957000000002</v>
      </c>
      <c r="M24" s="2182">
        <v>1.1972</v>
      </c>
      <c r="N24" s="1599">
        <v>52583.059000000001</v>
      </c>
      <c r="O24" s="2183">
        <v>5.3281000000000001</v>
      </c>
      <c r="P24" s="2247">
        <v>7322344.3119999999</v>
      </c>
      <c r="Q24" s="2183">
        <v>0.52580000000000005</v>
      </c>
    </row>
    <row r="25" spans="1:20" s="2136" customFormat="1" ht="24.95" customHeight="1">
      <c r="A25" s="336">
        <v>2025.12</v>
      </c>
      <c r="B25" s="2247">
        <v>1048110.927</v>
      </c>
      <c r="C25" s="2182">
        <v>3.9462999999999999</v>
      </c>
      <c r="D25" s="1599">
        <v>2069254.7720000001</v>
      </c>
      <c r="E25" s="2182">
        <v>2.3532999999999999</v>
      </c>
      <c r="F25" s="1599">
        <v>139486.07199999999</v>
      </c>
      <c r="G25" s="2182">
        <v>3.2614999999999998</v>
      </c>
      <c r="H25" s="1599">
        <v>4452711.09</v>
      </c>
      <c r="I25" s="2182">
        <v>-1.3959999999999999</v>
      </c>
      <c r="J25" s="1599">
        <v>156913.359</v>
      </c>
      <c r="K25" s="2248">
        <v>7.5585000000000004</v>
      </c>
      <c r="L25" s="1599">
        <v>47523.845000000001</v>
      </c>
      <c r="M25" s="2182">
        <v>0.55369999999999997</v>
      </c>
      <c r="N25" s="1599">
        <v>97691.739000000001</v>
      </c>
      <c r="O25" s="2183">
        <v>-6.2049000000000003</v>
      </c>
      <c r="P25" s="2247">
        <v>8011691.8049999997</v>
      </c>
      <c r="Q25" s="2183">
        <v>0.42059999999999997</v>
      </c>
    </row>
    <row r="26" spans="1:20" s="2136" customFormat="1" ht="24.95" customHeight="1">
      <c r="A26" s="337" t="s">
        <v>829</v>
      </c>
      <c r="B26" s="2249">
        <v>4413436.8020000001</v>
      </c>
      <c r="C26" s="2189">
        <v>1.9259999999999999</v>
      </c>
      <c r="D26" s="2250">
        <v>8041222.6639999999</v>
      </c>
      <c r="E26" s="2189">
        <v>1.7095</v>
      </c>
      <c r="F26" s="2250">
        <v>493756.24599999998</v>
      </c>
      <c r="G26" s="2189">
        <v>-0.2387</v>
      </c>
      <c r="H26" s="2250">
        <v>16385917.299000001</v>
      </c>
      <c r="I26" s="2189">
        <v>-1.9179999999999999</v>
      </c>
      <c r="J26" s="2250">
        <v>679949.26800000004</v>
      </c>
      <c r="K26" s="2251">
        <v>1.0143</v>
      </c>
      <c r="L26" s="2250">
        <v>189942.68700000001</v>
      </c>
      <c r="M26" s="2189">
        <v>0.89849999999999997</v>
      </c>
      <c r="N26" s="2250">
        <v>425987.93900000001</v>
      </c>
      <c r="O26" s="2190">
        <v>-10.0541</v>
      </c>
      <c r="P26" s="2249">
        <v>30630212.903999999</v>
      </c>
      <c r="Q26" s="2190">
        <v>-0.46200000000000002</v>
      </c>
    </row>
    <row r="27" spans="1:20" s="2136" customFormat="1" ht="24.95" customHeight="1">
      <c r="A27" s="337">
        <v>2026.01</v>
      </c>
      <c r="B27" s="2249">
        <v>1218753.6340000001</v>
      </c>
      <c r="C27" s="2189">
        <v>3.9117000000000002</v>
      </c>
      <c r="D27" s="2250">
        <v>2338395.213</v>
      </c>
      <c r="E27" s="2189">
        <v>4.1344000000000003</v>
      </c>
      <c r="F27" s="2250">
        <v>147553.77100000001</v>
      </c>
      <c r="G27" s="2189">
        <v>4.4752999999999998</v>
      </c>
      <c r="H27" s="2250">
        <v>4544674.4009999996</v>
      </c>
      <c r="I27" s="2189">
        <v>1.3231999999999999</v>
      </c>
      <c r="J27" s="2250">
        <v>184790.33100000001</v>
      </c>
      <c r="K27" s="2251">
        <v>3.4481999999999999</v>
      </c>
      <c r="L27" s="2250">
        <v>49912.86</v>
      </c>
      <c r="M27" s="2189">
        <v>1.9429000000000001</v>
      </c>
      <c r="N27" s="2250">
        <v>131797.43799999999</v>
      </c>
      <c r="O27" s="2190">
        <v>-8.5874000000000006</v>
      </c>
      <c r="P27" s="2249">
        <v>8615877.648</v>
      </c>
      <c r="Q27" s="2190">
        <v>2.3656999999999999</v>
      </c>
    </row>
    <row r="28" spans="1:20" s="2136" customFormat="1" ht="24.95" customHeight="1">
      <c r="A28" s="336">
        <v>2026.02</v>
      </c>
      <c r="B28" s="2247">
        <v>1227286.622</v>
      </c>
      <c r="C28" s="2182">
        <v>3.0005999999999999</v>
      </c>
      <c r="D28" s="1599">
        <v>2304639.906</v>
      </c>
      <c r="E28" s="2182">
        <v>3.3109000000000002</v>
      </c>
      <c r="F28" s="1599">
        <v>130451.255</v>
      </c>
      <c r="G28" s="2182">
        <v>1.4209000000000001</v>
      </c>
      <c r="H28" s="1599">
        <v>4152787.4190000002</v>
      </c>
      <c r="I28" s="2182">
        <v>-3.0670000000000002</v>
      </c>
      <c r="J28" s="1599">
        <v>193534.48699999999</v>
      </c>
      <c r="K28" s="2248">
        <v>3.1324000000000001</v>
      </c>
      <c r="L28" s="1599">
        <v>48794.110999999997</v>
      </c>
      <c r="M28" s="2182">
        <v>0.79959999999999998</v>
      </c>
      <c r="N28" s="1599">
        <v>139643.81299999999</v>
      </c>
      <c r="O28" s="2183">
        <v>-7.1124000000000001</v>
      </c>
      <c r="P28" s="2247">
        <v>8197137.6140000001</v>
      </c>
      <c r="Q28" s="2183">
        <v>-0.29659999999999997</v>
      </c>
    </row>
    <row r="29" spans="1:20" s="2136" customFormat="1" ht="24.95" customHeight="1">
      <c r="A29" s="336">
        <v>2026.03</v>
      </c>
      <c r="B29" s="2247">
        <v>973201.97699999996</v>
      </c>
      <c r="C29" s="2182">
        <v>-0.39600000000000002</v>
      </c>
      <c r="D29" s="1599">
        <v>1772251.946</v>
      </c>
      <c r="E29" s="2182">
        <v>-2.9727999999999999</v>
      </c>
      <c r="F29" s="1599">
        <v>115812.557</v>
      </c>
      <c r="G29" s="2182">
        <v>-5.9950999999999999</v>
      </c>
      <c r="H29" s="1599">
        <v>3844767.4789999998</v>
      </c>
      <c r="I29" s="2182">
        <v>-4.4894999999999996</v>
      </c>
      <c r="J29" s="1599">
        <v>157293.60500000001</v>
      </c>
      <c r="K29" s="2248">
        <v>-1.2547999999999999</v>
      </c>
      <c r="L29" s="1599">
        <v>45076.43</v>
      </c>
      <c r="M29" s="2182">
        <v>0.51919999999999999</v>
      </c>
      <c r="N29" s="1599">
        <v>92470.904999999999</v>
      </c>
      <c r="O29" s="2183">
        <v>-14.8872</v>
      </c>
      <c r="P29" s="2247">
        <v>7000874.8990000002</v>
      </c>
      <c r="Q29" s="2183">
        <v>-3.6368999999999998</v>
      </c>
    </row>
    <row r="30" spans="1:20" s="2136" customFormat="1" ht="24.95" customHeight="1">
      <c r="A30" s="338">
        <v>2026.04</v>
      </c>
      <c r="B30" s="2252">
        <v>994194.56799999997</v>
      </c>
      <c r="C30" s="2192">
        <v>0.56989999999999996</v>
      </c>
      <c r="D30" s="2253">
        <v>1625935.5989999999</v>
      </c>
      <c r="E30" s="2192">
        <v>1.4195</v>
      </c>
      <c r="F30" s="2253">
        <v>99938.661999999997</v>
      </c>
      <c r="G30" s="2192">
        <v>-1.9077999999999999</v>
      </c>
      <c r="H30" s="2253">
        <v>3843688</v>
      </c>
      <c r="I30" s="2192">
        <v>-1.7298</v>
      </c>
      <c r="J30" s="2253">
        <v>144330.845</v>
      </c>
      <c r="K30" s="2254">
        <v>-2.1768000000000001</v>
      </c>
      <c r="L30" s="2253">
        <v>46159.286</v>
      </c>
      <c r="M30" s="2192">
        <v>0.26119999999999999</v>
      </c>
      <c r="N30" s="2253">
        <v>62075.783000000003</v>
      </c>
      <c r="O30" s="2193">
        <v>-11.8804</v>
      </c>
      <c r="P30" s="2252">
        <v>6816322.7429999998</v>
      </c>
      <c r="Q30" s="2193">
        <v>-0.76680000000000004</v>
      </c>
      <c r="S30" s="2194"/>
      <c r="T30" s="2255"/>
    </row>
    <row r="31" spans="1:20" s="2136" customFormat="1" ht="3" customHeight="1">
      <c r="A31" s="2157"/>
      <c r="B31" s="2256"/>
      <c r="C31" s="2197"/>
      <c r="D31" s="2256"/>
      <c r="E31" s="2197"/>
      <c r="F31" s="2256"/>
      <c r="G31" s="2197"/>
      <c r="H31" s="2256"/>
      <c r="I31" s="2197"/>
      <c r="J31" s="2256"/>
      <c r="K31" s="2197"/>
      <c r="L31" s="2256"/>
      <c r="M31" s="2197"/>
      <c r="N31" s="2256"/>
      <c r="O31" s="2197"/>
      <c r="P31" s="2256"/>
      <c r="Q31" s="2197"/>
    </row>
    <row r="32" spans="1:20" ht="12" customHeight="1">
      <c r="A32" s="532" t="s">
        <v>1183</v>
      </c>
      <c r="B32" s="2257"/>
      <c r="C32" s="2258"/>
      <c r="D32" s="438"/>
      <c r="E32" s="2258"/>
      <c r="F32" s="2257"/>
      <c r="G32" s="2258"/>
      <c r="H32" s="2257"/>
      <c r="I32" s="532"/>
      <c r="J32" s="2257"/>
      <c r="K32" s="2258"/>
      <c r="L32" s="2257"/>
      <c r="M32" s="532"/>
      <c r="N32" s="532"/>
      <c r="O32" s="532"/>
      <c r="P32" s="2259"/>
      <c r="Q32" s="2260"/>
    </row>
    <row r="33" spans="1:20" ht="12" customHeight="1">
      <c r="A33" s="532" t="s">
        <v>1184</v>
      </c>
      <c r="B33" s="2257"/>
      <c r="C33" s="2258"/>
      <c r="D33" s="438"/>
      <c r="E33" s="2258"/>
      <c r="F33" s="2257"/>
      <c r="G33" s="2258"/>
      <c r="H33" s="2257"/>
      <c r="I33" s="532"/>
      <c r="J33" s="2257"/>
      <c r="K33" s="2258"/>
      <c r="L33" s="2257"/>
      <c r="M33" s="532"/>
      <c r="N33" s="532"/>
      <c r="O33" s="532"/>
      <c r="P33" s="2259"/>
      <c r="Q33" s="2260"/>
    </row>
    <row r="34" spans="1:20" ht="9.9499999999999993" customHeight="1">
      <c r="A34" s="346"/>
      <c r="B34" s="2257"/>
      <c r="C34" s="2258"/>
      <c r="D34" s="2257"/>
      <c r="E34" s="2258"/>
      <c r="F34" s="2257"/>
      <c r="G34" s="2258"/>
      <c r="H34" s="2257"/>
      <c r="I34" s="2258"/>
      <c r="J34" s="2257"/>
      <c r="K34" s="2258"/>
      <c r="L34" s="2257"/>
      <c r="M34" s="2258"/>
      <c r="N34" s="2257"/>
      <c r="O34" s="2258"/>
      <c r="P34" s="2259"/>
      <c r="Q34" s="2260"/>
    </row>
    <row r="35" spans="1:20" ht="6.75" hidden="1" customHeight="1">
      <c r="A35" s="346"/>
      <c r="B35" s="346"/>
      <c r="C35" s="2232"/>
      <c r="D35" s="346"/>
      <c r="E35" s="2232"/>
      <c r="F35" s="346"/>
      <c r="G35" s="2232"/>
      <c r="H35" s="346"/>
      <c r="I35" s="2232"/>
      <c r="J35" s="346"/>
      <c r="K35" s="2232"/>
      <c r="L35" s="346"/>
      <c r="M35" s="346"/>
      <c r="N35" s="346"/>
      <c r="O35" s="346"/>
      <c r="P35" s="528"/>
      <c r="Q35" s="2258"/>
    </row>
    <row r="36" spans="1:20" ht="12" customHeight="1">
      <c r="A36" s="615"/>
      <c r="B36" s="346"/>
      <c r="C36" s="2232"/>
      <c r="D36" s="346"/>
      <c r="E36" s="2232"/>
      <c r="F36" s="346"/>
      <c r="G36" s="2232"/>
      <c r="H36" s="346"/>
      <c r="I36" s="2232"/>
      <c r="J36" s="346"/>
      <c r="K36" s="2232"/>
      <c r="L36" s="346"/>
      <c r="M36" s="346"/>
      <c r="N36" s="346"/>
      <c r="O36" s="346"/>
      <c r="P36" s="528"/>
      <c r="Q36" s="282"/>
    </row>
    <row r="37" spans="1:20" ht="12" customHeight="1">
      <c r="A37" s="349"/>
      <c r="B37" s="272"/>
      <c r="C37" s="2170"/>
      <c r="D37" s="2204"/>
      <c r="E37" s="2170"/>
      <c r="F37" s="272"/>
      <c r="G37" s="2170"/>
      <c r="H37" s="272"/>
      <c r="I37" s="2170"/>
      <c r="J37" s="272"/>
      <c r="K37" s="2170"/>
      <c r="L37" s="272"/>
      <c r="M37" s="349"/>
      <c r="N37" s="272"/>
      <c r="O37" s="349"/>
      <c r="P37" s="613"/>
      <c r="Q37" s="2199"/>
      <c r="S37" s="12"/>
      <c r="T37" s="12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4" orientation="portrait" useFirstPageNumber="1" r:id="rId1"/>
  <headerFooter differentOddEven="1" scaleWithDoc="0" alignWithMargins="0"/>
  <colBreaks count="1" manualBreakCount="1">
    <brk id="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DE0C-FDE1-4243-ADFE-9DF6CB312F7F}">
  <sheetPr>
    <tabColor rgb="FF00B050"/>
  </sheetPr>
  <dimension ref="A1:AE37"/>
  <sheetViews>
    <sheetView showGridLines="0" view="pageBreakPreview" zoomScale="112" zoomScaleNormal="100" zoomScaleSheetLayoutView="112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2" width="13.25" style="271" customWidth="1"/>
    <col min="3" max="3" width="7" style="271" customWidth="1"/>
    <col min="4" max="4" width="13" style="271" customWidth="1"/>
    <col min="5" max="5" width="7" style="271" customWidth="1"/>
    <col min="6" max="6" width="13" style="271" customWidth="1"/>
    <col min="7" max="7" width="7" style="271" customWidth="1"/>
    <col min="8" max="8" width="13" style="271" customWidth="1"/>
    <col min="9" max="9" width="7" style="271" customWidth="1"/>
    <col min="10" max="10" width="12.375" style="271" customWidth="1"/>
    <col min="11" max="11" width="6.5" style="271" customWidth="1"/>
    <col min="12" max="12" width="12.125" style="271" customWidth="1"/>
    <col min="13" max="13" width="6.5" style="271" customWidth="1"/>
    <col min="14" max="14" width="12.125" style="271" customWidth="1"/>
    <col min="15" max="15" width="6.5" style="271" customWidth="1"/>
    <col min="16" max="16" width="12.125" style="271" customWidth="1"/>
    <col min="17" max="17" width="6.5" style="271" customWidth="1"/>
    <col min="18" max="18" width="12.125" style="1382" customWidth="1"/>
    <col min="19" max="19" width="6.5" style="271" customWidth="1"/>
    <col min="20" max="20" width="10" style="271" customWidth="1"/>
    <col min="21" max="21" width="5.875" style="271" bestFit="1" customWidth="1"/>
    <col min="22" max="22" width="7.875" style="271" customWidth="1"/>
    <col min="23" max="23" width="5.875" style="271" bestFit="1" customWidth="1"/>
    <col min="24" max="24" width="7.875" style="271" customWidth="1"/>
    <col min="25" max="25" width="5.875" style="271" bestFit="1" customWidth="1"/>
    <col min="26" max="26" width="7.875" style="271" customWidth="1"/>
    <col min="27" max="27" width="5.875" style="271" bestFit="1" customWidth="1"/>
    <col min="28" max="28" width="7.875" style="271" customWidth="1"/>
    <col min="29" max="29" width="5.875" style="271" bestFit="1" customWidth="1"/>
    <col min="30" max="34" width="13.125" style="271" customWidth="1"/>
    <col min="35" max="16384" width="7.875" style="271"/>
  </cols>
  <sheetData>
    <row r="1" spans="1:31" ht="20.25">
      <c r="A1" s="2125" t="s">
        <v>1185</v>
      </c>
    </row>
    <row r="2" spans="1:31" s="274" customFormat="1" ht="17.25">
      <c r="A2" s="274" t="s">
        <v>1186</v>
      </c>
      <c r="R2" s="1385"/>
    </row>
    <row r="3" spans="1:31" ht="15" customHeight="1">
      <c r="A3" s="272"/>
      <c r="Q3" s="2262" t="s">
        <v>905</v>
      </c>
      <c r="R3" s="2262"/>
      <c r="S3" s="2262"/>
    </row>
    <row r="4" spans="1:31" s="272" customFormat="1" ht="20.100000000000001" customHeight="1">
      <c r="A4" s="283" t="s">
        <v>56</v>
      </c>
      <c r="B4" s="1622" t="s">
        <v>1187</v>
      </c>
      <c r="C4" s="1624"/>
      <c r="D4" s="1625" t="s">
        <v>1188</v>
      </c>
      <c r="E4" s="1623"/>
      <c r="F4" s="1623"/>
      <c r="G4" s="1623"/>
      <c r="H4" s="1623"/>
      <c r="I4" s="1624"/>
      <c r="J4" s="1625" t="s">
        <v>1189</v>
      </c>
      <c r="K4" s="1623"/>
      <c r="L4" s="1623"/>
      <c r="M4" s="1623"/>
      <c r="N4" s="1623"/>
      <c r="O4" s="1623"/>
      <c r="P4" s="1623"/>
      <c r="Q4" s="2128"/>
      <c r="R4" s="1622" t="s">
        <v>1190</v>
      </c>
      <c r="S4" s="2263"/>
    </row>
    <row r="5" spans="1:31" s="272" customFormat="1" ht="20.100000000000001" customHeight="1">
      <c r="A5" s="300"/>
      <c r="B5" s="1719"/>
      <c r="C5" s="2264"/>
      <c r="D5" s="2265" t="s">
        <v>1191</v>
      </c>
      <c r="E5" s="1746"/>
      <c r="F5" s="2265" t="s">
        <v>1192</v>
      </c>
      <c r="G5" s="1746"/>
      <c r="H5" s="2265" t="s">
        <v>1193</v>
      </c>
      <c r="I5" s="1746"/>
      <c r="J5" s="2265" t="s">
        <v>1194</v>
      </c>
      <c r="K5" s="1746"/>
      <c r="L5" s="2265" t="s">
        <v>1195</v>
      </c>
      <c r="M5" s="1746"/>
      <c r="N5" s="2265" t="s">
        <v>1196</v>
      </c>
      <c r="O5" s="1746"/>
      <c r="P5" s="2265" t="s">
        <v>1197</v>
      </c>
      <c r="Q5" s="2266"/>
      <c r="R5" s="1719"/>
      <c r="S5" s="2267"/>
    </row>
    <row r="6" spans="1:31" ht="24.95" customHeight="1">
      <c r="A6" s="2268">
        <v>2015</v>
      </c>
      <c r="B6" s="2269">
        <v>63794044.410999998</v>
      </c>
      <c r="C6" s="2270">
        <v>1.78</v>
      </c>
      <c r="D6" s="2271">
        <v>22178571.885000002</v>
      </c>
      <c r="E6" s="2270">
        <v>2.35</v>
      </c>
      <c r="F6" s="2269">
        <v>132049196.90099999</v>
      </c>
      <c r="G6" s="2270">
        <v>2.66</v>
      </c>
      <c r="H6" s="2269">
        <v>154227768.78600001</v>
      </c>
      <c r="I6" s="2270">
        <v>2.61</v>
      </c>
      <c r="J6" s="2272">
        <v>14644964.459000001</v>
      </c>
      <c r="K6" s="2270">
        <v>8.0299999999999994</v>
      </c>
      <c r="L6" s="2269">
        <v>1630852.91</v>
      </c>
      <c r="M6" s="2270">
        <v>3.81</v>
      </c>
      <c r="N6" s="2269">
        <v>249357184.736</v>
      </c>
      <c r="O6" s="2270">
        <v>-0.05</v>
      </c>
      <c r="P6" s="2269">
        <v>265633002.10499999</v>
      </c>
      <c r="Q6" s="2273">
        <v>0.38</v>
      </c>
      <c r="R6" s="2274">
        <v>483654815.30199999</v>
      </c>
      <c r="S6" s="2273">
        <v>1.2695000000000001</v>
      </c>
      <c r="AD6" s="350"/>
      <c r="AE6" s="350"/>
    </row>
    <row r="7" spans="1:31" ht="24.95" customHeight="1">
      <c r="A7" s="2268">
        <v>2016</v>
      </c>
      <c r="B7" s="2269">
        <v>66173064.987000003</v>
      </c>
      <c r="C7" s="2270">
        <v>3.73</v>
      </c>
      <c r="D7" s="2271">
        <v>22908419.364</v>
      </c>
      <c r="E7" s="2270">
        <v>3.29</v>
      </c>
      <c r="F7" s="2269">
        <v>137982085.93799999</v>
      </c>
      <c r="G7" s="2270">
        <v>4.49</v>
      </c>
      <c r="H7" s="2269">
        <v>160890505.30199999</v>
      </c>
      <c r="I7" s="2270">
        <v>4.32</v>
      </c>
      <c r="J7" s="2272">
        <v>15396810.333000001</v>
      </c>
      <c r="K7" s="2270">
        <v>5.13</v>
      </c>
      <c r="L7" s="2269">
        <v>1754503.2420000001</v>
      </c>
      <c r="M7" s="2270">
        <v>7.58</v>
      </c>
      <c r="N7" s="2269">
        <v>252824020.067</v>
      </c>
      <c r="O7" s="2270">
        <v>1.39</v>
      </c>
      <c r="P7" s="2272">
        <v>269975333.64200002</v>
      </c>
      <c r="Q7" s="2273">
        <v>1.63</v>
      </c>
      <c r="R7" s="2274">
        <v>497038903.93099999</v>
      </c>
      <c r="S7" s="2273">
        <v>2.7673000000000001</v>
      </c>
      <c r="AD7" s="350"/>
      <c r="AE7" s="350"/>
    </row>
    <row r="8" spans="1:31" ht="24.95" customHeight="1">
      <c r="A8" s="2268">
        <v>2017</v>
      </c>
      <c r="B8" s="2275">
        <v>66521684.402000003</v>
      </c>
      <c r="C8" s="2276">
        <v>0.53</v>
      </c>
      <c r="D8" s="2272">
        <v>23608255.568</v>
      </c>
      <c r="E8" s="2276">
        <v>3.05</v>
      </c>
      <c r="F8" s="2272">
        <v>140945345.35100001</v>
      </c>
      <c r="G8" s="2276">
        <v>2.15</v>
      </c>
      <c r="H8" s="2272">
        <v>164553600.919</v>
      </c>
      <c r="I8" s="2276">
        <v>2.2799999999999998</v>
      </c>
      <c r="J8" s="2272">
        <v>15981108.229</v>
      </c>
      <c r="K8" s="2276">
        <v>3.79</v>
      </c>
      <c r="L8" s="2272">
        <v>1746244.2150000001</v>
      </c>
      <c r="M8" s="2276">
        <v>-0.47</v>
      </c>
      <c r="N8" s="2272">
        <v>258944245.93099999</v>
      </c>
      <c r="O8" s="2276">
        <v>2.42</v>
      </c>
      <c r="P8" s="2272">
        <v>276671598.375</v>
      </c>
      <c r="Q8" s="2277">
        <v>2.48</v>
      </c>
      <c r="R8" s="2278">
        <v>507746883.69599998</v>
      </c>
      <c r="S8" s="2279">
        <v>2.1543999999999999</v>
      </c>
      <c r="AD8" s="350"/>
      <c r="AE8" s="350"/>
    </row>
    <row r="9" spans="1:31" ht="24.95" customHeight="1">
      <c r="A9" s="2268">
        <v>2018</v>
      </c>
      <c r="B9" s="2278">
        <v>70703038.942000002</v>
      </c>
      <c r="C9" s="2276">
        <v>6.29</v>
      </c>
      <c r="D9" s="2272">
        <v>24581400.155999999</v>
      </c>
      <c r="E9" s="2276">
        <v>4.12</v>
      </c>
      <c r="F9" s="2272">
        <v>149959720.84799999</v>
      </c>
      <c r="G9" s="2276">
        <v>6.4</v>
      </c>
      <c r="H9" s="2272">
        <v>174541121.00400001</v>
      </c>
      <c r="I9" s="2276">
        <v>6.07</v>
      </c>
      <c r="J9" s="2272">
        <v>17126017.574999999</v>
      </c>
      <c r="K9" s="2276">
        <v>7.16</v>
      </c>
      <c r="L9" s="2272">
        <v>1478381.175</v>
      </c>
      <c r="M9" s="2276">
        <v>-15.34</v>
      </c>
      <c r="N9" s="2272">
        <v>262305861.45500001</v>
      </c>
      <c r="O9" s="2276">
        <v>1.3</v>
      </c>
      <c r="P9" s="2272">
        <v>280910260.20499998</v>
      </c>
      <c r="Q9" s="2277">
        <v>1.53</v>
      </c>
      <c r="R9" s="2274">
        <v>526154420.15100002</v>
      </c>
      <c r="S9" s="2277">
        <v>3.6253000000000002</v>
      </c>
      <c r="AD9" s="350"/>
      <c r="AE9" s="350"/>
    </row>
    <row r="10" spans="1:31" ht="24.95" customHeight="1">
      <c r="A10" s="2268">
        <v>2019</v>
      </c>
      <c r="B10" s="2278">
        <v>70457623.966999993</v>
      </c>
      <c r="C10" s="2276">
        <v>-0.35</v>
      </c>
      <c r="D10" s="2272">
        <v>24489230.063999999</v>
      </c>
      <c r="E10" s="2276">
        <v>-0.37</v>
      </c>
      <c r="F10" s="2272">
        <v>148277456.23699999</v>
      </c>
      <c r="G10" s="2276">
        <v>-1.1200000000000001</v>
      </c>
      <c r="H10" s="2272">
        <v>172766686.301</v>
      </c>
      <c r="I10" s="2276">
        <v>-1.02</v>
      </c>
      <c r="J10" s="2272">
        <v>17304471.732999999</v>
      </c>
      <c r="K10" s="2276">
        <v>1.04</v>
      </c>
      <c r="L10" s="2272">
        <v>1492479.3430000001</v>
      </c>
      <c r="M10" s="2276">
        <v>0.95</v>
      </c>
      <c r="N10" s="2272">
        <v>258477476.382</v>
      </c>
      <c r="O10" s="2276">
        <v>-1.46</v>
      </c>
      <c r="P10" s="2272">
        <v>277274427.458</v>
      </c>
      <c r="Q10" s="2277">
        <v>-1.29</v>
      </c>
      <c r="R10" s="2274">
        <v>520498737.72600001</v>
      </c>
      <c r="S10" s="2277">
        <v>-1.0749</v>
      </c>
      <c r="AD10" s="350"/>
      <c r="AE10" s="350"/>
    </row>
    <row r="11" spans="1:31" ht="24.95" customHeight="1">
      <c r="A11" s="2280">
        <v>2020</v>
      </c>
      <c r="B11" s="2274">
        <v>74073583.237000003</v>
      </c>
      <c r="C11" s="2276">
        <v>5.13</v>
      </c>
      <c r="D11" s="2272">
        <v>23666266.138999999</v>
      </c>
      <c r="E11" s="2276">
        <v>-3.36</v>
      </c>
      <c r="F11" s="2272">
        <v>144400725.539</v>
      </c>
      <c r="G11" s="2276">
        <v>-2.61</v>
      </c>
      <c r="H11" s="2272">
        <v>168066991.678</v>
      </c>
      <c r="I11" s="2276">
        <v>-2.72</v>
      </c>
      <c r="J11" s="2272">
        <v>17036557.300999999</v>
      </c>
      <c r="K11" s="2276">
        <v>-1.55</v>
      </c>
      <c r="L11" s="2272">
        <v>1552099.5330000001</v>
      </c>
      <c r="M11" s="2276">
        <v>3.99</v>
      </c>
      <c r="N11" s="2272">
        <v>248540483.44800001</v>
      </c>
      <c r="O11" s="2276">
        <v>-3.84</v>
      </c>
      <c r="P11" s="2272">
        <v>267129140.28200001</v>
      </c>
      <c r="Q11" s="2279">
        <v>-3.66</v>
      </c>
      <c r="R11" s="2275">
        <v>509269715.19700003</v>
      </c>
      <c r="S11" s="2279">
        <v>-2.1574</v>
      </c>
      <c r="AD11" s="350"/>
      <c r="AE11" s="350"/>
    </row>
    <row r="12" spans="1:31" s="2136" customFormat="1" ht="24.95" customHeight="1">
      <c r="A12" s="2268">
        <v>2021</v>
      </c>
      <c r="B12" s="2278">
        <v>77558386.473000005</v>
      </c>
      <c r="C12" s="2276">
        <v>4.7</v>
      </c>
      <c r="D12" s="2272">
        <v>25152824.431000002</v>
      </c>
      <c r="E12" s="2276">
        <v>6.28</v>
      </c>
      <c r="F12" s="2272">
        <v>148059780.86199999</v>
      </c>
      <c r="G12" s="2276">
        <v>2.5299999999999998</v>
      </c>
      <c r="H12" s="2272">
        <v>173212605.29300001</v>
      </c>
      <c r="I12" s="2276">
        <v>3.06</v>
      </c>
      <c r="J12" s="2272">
        <v>18492374.383000001</v>
      </c>
      <c r="K12" s="2276">
        <v>8.5500000000000007</v>
      </c>
      <c r="L12" s="2272">
        <v>1805581.6610000001</v>
      </c>
      <c r="M12" s="2276">
        <v>16.329999999999998</v>
      </c>
      <c r="N12" s="2272">
        <v>262361863.04800001</v>
      </c>
      <c r="O12" s="2276">
        <v>5.56</v>
      </c>
      <c r="P12" s="2272">
        <v>282659819.09200001</v>
      </c>
      <c r="Q12" s="2277">
        <v>5.81</v>
      </c>
      <c r="R12" s="2274">
        <v>533430810.85799998</v>
      </c>
      <c r="S12" s="2277">
        <v>4.7443</v>
      </c>
      <c r="T12" s="2209"/>
      <c r="AD12" s="2281"/>
      <c r="AE12" s="2281"/>
    </row>
    <row r="13" spans="1:31" s="2136" customFormat="1" ht="24.95" customHeight="1">
      <c r="A13" s="2268">
        <v>2022</v>
      </c>
      <c r="B13" s="2278">
        <v>78557569.170000002</v>
      </c>
      <c r="C13" s="2276">
        <v>1.29</v>
      </c>
      <c r="D13" s="2272">
        <v>26218457.982999999</v>
      </c>
      <c r="E13" s="2276">
        <v>4.24</v>
      </c>
      <c r="F13" s="2272">
        <v>155219784.058</v>
      </c>
      <c r="G13" s="2276">
        <v>4.84</v>
      </c>
      <c r="H13" s="2272">
        <v>181438242.04100001</v>
      </c>
      <c r="I13" s="2276">
        <v>4.75</v>
      </c>
      <c r="J13" s="2272">
        <v>19285373.256999999</v>
      </c>
      <c r="K13" s="2276">
        <v>4.29</v>
      </c>
      <c r="L13" s="2272">
        <v>1758984.57</v>
      </c>
      <c r="M13" s="2276">
        <v>-2.58</v>
      </c>
      <c r="N13" s="2272">
        <v>266892573.17500001</v>
      </c>
      <c r="O13" s="2276">
        <v>1.73</v>
      </c>
      <c r="P13" s="2272">
        <v>287936931.00199997</v>
      </c>
      <c r="Q13" s="2277">
        <v>1.87</v>
      </c>
      <c r="R13" s="2274">
        <v>547932742.21300006</v>
      </c>
      <c r="S13" s="2277">
        <v>2.7185999999999999</v>
      </c>
      <c r="T13" s="2209"/>
      <c r="AD13" s="2281"/>
      <c r="AE13" s="2281"/>
    </row>
    <row r="14" spans="1:31" s="2136" customFormat="1" ht="24.95" customHeight="1">
      <c r="A14" s="2268">
        <v>2023</v>
      </c>
      <c r="B14" s="2278">
        <v>79885924.332000002</v>
      </c>
      <c r="C14" s="2276">
        <v>1.69</v>
      </c>
      <c r="D14" s="2272">
        <v>26604249.359999999</v>
      </c>
      <c r="E14" s="2276">
        <v>1.47</v>
      </c>
      <c r="F14" s="2272">
        <v>157770851.66600001</v>
      </c>
      <c r="G14" s="2276">
        <v>1.64</v>
      </c>
      <c r="H14" s="2272">
        <v>184375101.02599999</v>
      </c>
      <c r="I14" s="2276">
        <v>1.62</v>
      </c>
      <c r="J14" s="2272">
        <v>18777186.965999998</v>
      </c>
      <c r="K14" s="2276">
        <v>-2.64</v>
      </c>
      <c r="L14" s="2272">
        <v>1709275.3359999999</v>
      </c>
      <c r="M14" s="2276">
        <v>-2.83</v>
      </c>
      <c r="N14" s="2272">
        <v>261218467.69</v>
      </c>
      <c r="O14" s="2276">
        <v>-2.13</v>
      </c>
      <c r="P14" s="2272">
        <v>281704929.99199998</v>
      </c>
      <c r="Q14" s="2277">
        <v>-2.16</v>
      </c>
      <c r="R14" s="2274">
        <v>545965955.35000002</v>
      </c>
      <c r="S14" s="2277">
        <v>-0.3589</v>
      </c>
      <c r="T14" s="2209"/>
      <c r="AD14" s="2281"/>
      <c r="AE14" s="2281"/>
    </row>
    <row r="15" spans="1:31" s="2136" customFormat="1" ht="24.95" customHeight="1">
      <c r="A15" s="2268">
        <v>2024</v>
      </c>
      <c r="B15" s="2278">
        <v>84426796.013999999</v>
      </c>
      <c r="C15" s="2276">
        <v>5.68</v>
      </c>
      <c r="D15" s="2272">
        <v>27108812.493999999</v>
      </c>
      <c r="E15" s="2276">
        <v>1.9</v>
      </c>
      <c r="F15" s="2272">
        <v>161049215.998</v>
      </c>
      <c r="G15" s="2276">
        <v>2.08</v>
      </c>
      <c r="H15" s="2272">
        <v>188158028.49200001</v>
      </c>
      <c r="I15" s="2276">
        <v>2.0499999999999998</v>
      </c>
      <c r="J15" s="2272">
        <v>19064576.587000001</v>
      </c>
      <c r="K15" s="2276">
        <v>1.53</v>
      </c>
      <c r="L15" s="2272">
        <v>1638860.8389999999</v>
      </c>
      <c r="M15" s="2276">
        <v>-4.12</v>
      </c>
      <c r="N15" s="2272">
        <v>256532402.896</v>
      </c>
      <c r="O15" s="2276">
        <v>-1.79</v>
      </c>
      <c r="P15" s="2272">
        <v>277235840.32200003</v>
      </c>
      <c r="Q15" s="2277">
        <v>-1.59</v>
      </c>
      <c r="R15" s="2274">
        <v>549820664.82799995</v>
      </c>
      <c r="S15" s="2277">
        <v>0.70599999999999996</v>
      </c>
      <c r="T15" s="2209"/>
      <c r="AD15" s="2281"/>
      <c r="AE15" s="2281"/>
    </row>
    <row r="16" spans="1:31" s="2136" customFormat="1" ht="24.95" customHeight="1">
      <c r="A16" s="2282">
        <v>2025</v>
      </c>
      <c r="B16" s="2283">
        <v>85831652.091000006</v>
      </c>
      <c r="C16" s="2284">
        <v>1.66</v>
      </c>
      <c r="D16" s="2285">
        <v>27922698.030000001</v>
      </c>
      <c r="E16" s="2284">
        <v>3</v>
      </c>
      <c r="F16" s="2285">
        <v>164066494.29699999</v>
      </c>
      <c r="G16" s="2284">
        <v>1.87</v>
      </c>
      <c r="H16" s="2285">
        <v>191989192.32699999</v>
      </c>
      <c r="I16" s="2284">
        <v>2.04</v>
      </c>
      <c r="J16" s="2285">
        <v>19362481.171</v>
      </c>
      <c r="K16" s="2284">
        <v>1.56</v>
      </c>
      <c r="L16" s="2285">
        <v>1483707.645</v>
      </c>
      <c r="M16" s="2284">
        <v>-9.4700000000000006</v>
      </c>
      <c r="N16" s="2285">
        <v>250750226.12599999</v>
      </c>
      <c r="O16" s="2284">
        <v>-2.25</v>
      </c>
      <c r="P16" s="2285">
        <v>271596414.94199997</v>
      </c>
      <c r="Q16" s="2286">
        <v>-2.0299999999999998</v>
      </c>
      <c r="R16" s="2287">
        <v>549417259.36000001</v>
      </c>
      <c r="S16" s="2286">
        <v>-7.3400000000000007E-2</v>
      </c>
      <c r="T16" s="2209"/>
      <c r="AD16" s="2281"/>
      <c r="AE16" s="2281"/>
    </row>
    <row r="17" spans="1:31" s="2136" customFormat="1" ht="24.95" customHeight="1">
      <c r="A17" s="1602" t="s">
        <v>828</v>
      </c>
      <c r="B17" s="2288">
        <v>26691994.285</v>
      </c>
      <c r="C17" s="2289">
        <v>1.95</v>
      </c>
      <c r="D17" s="2290">
        <v>9809696.5769999996</v>
      </c>
      <c r="E17" s="2289">
        <v>3.08</v>
      </c>
      <c r="F17" s="2290">
        <v>56640591.188000001</v>
      </c>
      <c r="G17" s="2289">
        <v>2.54</v>
      </c>
      <c r="H17" s="2290">
        <v>66450287.765000001</v>
      </c>
      <c r="I17" s="2289">
        <v>2.62</v>
      </c>
      <c r="J17" s="2290">
        <v>6940064.0700000003</v>
      </c>
      <c r="K17" s="2289">
        <v>3.34</v>
      </c>
      <c r="L17" s="2290">
        <v>511176.77399999998</v>
      </c>
      <c r="M17" s="2289">
        <v>-11.22</v>
      </c>
      <c r="N17" s="2290">
        <v>83541615.444000006</v>
      </c>
      <c r="O17" s="2289">
        <v>-3.13</v>
      </c>
      <c r="P17" s="2290">
        <v>90992856.288000003</v>
      </c>
      <c r="Q17" s="2291">
        <v>-2.72</v>
      </c>
      <c r="R17" s="2288">
        <v>184135138.338</v>
      </c>
      <c r="S17" s="2291">
        <v>-0.18010000000000001</v>
      </c>
      <c r="T17" s="2209"/>
      <c r="AD17" s="2281"/>
      <c r="AE17" s="2281"/>
    </row>
    <row r="18" spans="1:31" s="2136" customFormat="1" ht="24.95" customHeight="1">
      <c r="A18" s="336">
        <v>2025.04</v>
      </c>
      <c r="B18" s="2275">
        <v>6247063.6229999997</v>
      </c>
      <c r="C18" s="2276">
        <v>1.91</v>
      </c>
      <c r="D18" s="2272">
        <v>2146693.7659999998</v>
      </c>
      <c r="E18" s="2276">
        <v>4.03</v>
      </c>
      <c r="F18" s="2272">
        <v>12335923.716</v>
      </c>
      <c r="G18" s="2276">
        <v>2.2999999999999998</v>
      </c>
      <c r="H18" s="2272">
        <v>14482617.482000001</v>
      </c>
      <c r="I18" s="2276">
        <v>2.5499999999999998</v>
      </c>
      <c r="J18" s="2272">
        <v>1461572.615</v>
      </c>
      <c r="K18" s="2276">
        <v>3.16</v>
      </c>
      <c r="L18" s="2272">
        <v>132384.848</v>
      </c>
      <c r="M18" s="2276">
        <v>-7.88</v>
      </c>
      <c r="N18" s="2272">
        <v>20793251.732999999</v>
      </c>
      <c r="O18" s="2276">
        <v>-0.79</v>
      </c>
      <c r="P18" s="2272">
        <v>22387209.195999999</v>
      </c>
      <c r="Q18" s="2279">
        <v>-0.57999999999999996</v>
      </c>
      <c r="R18" s="2275">
        <v>43116890.300999999</v>
      </c>
      <c r="S18" s="2279">
        <v>0.8085</v>
      </c>
      <c r="T18" s="2209"/>
      <c r="AD18" s="2281"/>
      <c r="AE18" s="2281"/>
    </row>
    <row r="19" spans="1:31" s="2136" customFormat="1" ht="24.95" customHeight="1">
      <c r="A19" s="336">
        <v>2025.05</v>
      </c>
      <c r="B19" s="2275">
        <v>5869599.0870000003</v>
      </c>
      <c r="C19" s="2276">
        <v>2.9</v>
      </c>
      <c r="D19" s="2272">
        <v>1891038.7180000001</v>
      </c>
      <c r="E19" s="2276">
        <v>1.83</v>
      </c>
      <c r="F19" s="2272">
        <v>11487525.248</v>
      </c>
      <c r="G19" s="2276">
        <v>1.86</v>
      </c>
      <c r="H19" s="2272">
        <v>13378563.966</v>
      </c>
      <c r="I19" s="2276">
        <v>1.85</v>
      </c>
      <c r="J19" s="2272">
        <v>1273018.72</v>
      </c>
      <c r="K19" s="2276">
        <v>2.2400000000000002</v>
      </c>
      <c r="L19" s="2272">
        <v>122026.503</v>
      </c>
      <c r="M19" s="2276">
        <v>-9.77</v>
      </c>
      <c r="N19" s="2272">
        <v>20575390.184</v>
      </c>
      <c r="O19" s="2276">
        <v>-1.93</v>
      </c>
      <c r="P19" s="2272">
        <v>21970435.407000002</v>
      </c>
      <c r="Q19" s="2279">
        <v>-1.75</v>
      </c>
      <c r="R19" s="2275">
        <v>41218598.460000001</v>
      </c>
      <c r="S19" s="2279">
        <v>4.4499999999999998E-2</v>
      </c>
      <c r="T19" s="2209"/>
      <c r="AD19" s="2281"/>
      <c r="AE19" s="2281"/>
    </row>
    <row r="20" spans="1:31" s="2136" customFormat="1" ht="24.95" customHeight="1">
      <c r="A20" s="336">
        <v>2025.06</v>
      </c>
      <c r="B20" s="2275">
        <v>6260465.5199999996</v>
      </c>
      <c r="C20" s="2276">
        <v>3.58</v>
      </c>
      <c r="D20" s="2272">
        <v>2078951.2239999999</v>
      </c>
      <c r="E20" s="2276">
        <v>2.92</v>
      </c>
      <c r="F20" s="2272">
        <v>12473560.546</v>
      </c>
      <c r="G20" s="2276">
        <v>1.41</v>
      </c>
      <c r="H20" s="2272">
        <v>14552511.77</v>
      </c>
      <c r="I20" s="2276">
        <v>1.62</v>
      </c>
      <c r="J20" s="2272">
        <v>1373926.4790000001</v>
      </c>
      <c r="K20" s="2276">
        <v>-1.78</v>
      </c>
      <c r="L20" s="2272">
        <v>118969.886</v>
      </c>
      <c r="M20" s="2276">
        <v>-11.06</v>
      </c>
      <c r="N20" s="2272">
        <v>20700014.383000001</v>
      </c>
      <c r="O20" s="2276">
        <v>-1.04</v>
      </c>
      <c r="P20" s="2272">
        <v>22192910.748</v>
      </c>
      <c r="Q20" s="2279">
        <v>-1.1499999999999999</v>
      </c>
      <c r="R20" s="2275">
        <v>43005888.038000003</v>
      </c>
      <c r="S20" s="2279">
        <v>0.44440000000000002</v>
      </c>
      <c r="T20" s="2209"/>
      <c r="AD20" s="2281"/>
      <c r="AE20" s="2281"/>
    </row>
    <row r="21" spans="1:31" s="2136" customFormat="1" ht="24.95" customHeight="1">
      <c r="A21" s="336">
        <v>2025.07</v>
      </c>
      <c r="B21" s="2274">
        <v>8074508.9450000003</v>
      </c>
      <c r="C21" s="2276">
        <v>11.03</v>
      </c>
      <c r="D21" s="2272">
        <v>2449466.2480000001</v>
      </c>
      <c r="E21" s="2276">
        <v>5.69</v>
      </c>
      <c r="F21" s="2272">
        <v>14550657.41</v>
      </c>
      <c r="G21" s="2276">
        <v>5.24</v>
      </c>
      <c r="H21" s="2272">
        <v>17000123.658</v>
      </c>
      <c r="I21" s="2276">
        <v>5.31</v>
      </c>
      <c r="J21" s="2272">
        <v>1517993.0560000001</v>
      </c>
      <c r="K21" s="2276">
        <v>9.11</v>
      </c>
      <c r="L21" s="2272">
        <v>123695.37</v>
      </c>
      <c r="M21" s="2276">
        <v>-8.08</v>
      </c>
      <c r="N21" s="2272">
        <v>22108085.976</v>
      </c>
      <c r="O21" s="2276">
        <v>-0.21</v>
      </c>
      <c r="P21" s="2272">
        <v>23749774.401999999</v>
      </c>
      <c r="Q21" s="2279">
        <v>0.28999999999999998</v>
      </c>
      <c r="R21" s="2274">
        <v>48824407.005000003</v>
      </c>
      <c r="S21" s="2279">
        <v>3.6697000000000002</v>
      </c>
      <c r="T21" s="2209"/>
      <c r="AD21" s="2281"/>
      <c r="AE21" s="2281"/>
    </row>
    <row r="22" spans="1:31" s="2136" customFormat="1" ht="24.95" customHeight="1">
      <c r="A22" s="336">
        <v>2025.08</v>
      </c>
      <c r="B22" s="2275">
        <v>10165017.412</v>
      </c>
      <c r="C22" s="2276">
        <v>0.85</v>
      </c>
      <c r="D22" s="2272">
        <v>2497871.284</v>
      </c>
      <c r="E22" s="2276">
        <v>1.26</v>
      </c>
      <c r="F22" s="2272">
        <v>15810181.380000001</v>
      </c>
      <c r="G22" s="2276">
        <v>0.45</v>
      </c>
      <c r="H22" s="2272">
        <v>18308052.664000001</v>
      </c>
      <c r="I22" s="2276">
        <v>0.56000000000000005</v>
      </c>
      <c r="J22" s="2272">
        <v>1841778.1710000001</v>
      </c>
      <c r="K22" s="2276">
        <v>-0.03</v>
      </c>
      <c r="L22" s="2272">
        <v>113909.78599999999</v>
      </c>
      <c r="M22" s="2276">
        <v>-11.67</v>
      </c>
      <c r="N22" s="2272">
        <v>21689788.015999999</v>
      </c>
      <c r="O22" s="2276">
        <v>-2.14</v>
      </c>
      <c r="P22" s="2272">
        <v>23645475.973000001</v>
      </c>
      <c r="Q22" s="2279">
        <v>-2.0299999999999998</v>
      </c>
      <c r="R22" s="2275">
        <v>52118546.049000002</v>
      </c>
      <c r="S22" s="2279">
        <v>-0.57489999999999997</v>
      </c>
      <c r="T22" s="2209"/>
      <c r="AD22" s="2281"/>
      <c r="AE22" s="2281"/>
    </row>
    <row r="23" spans="1:31" s="2136" customFormat="1" ht="24.95" customHeight="1">
      <c r="A23" s="336">
        <v>2025.09</v>
      </c>
      <c r="B23" s="2275">
        <v>9348329.0549999997</v>
      </c>
      <c r="C23" s="2276">
        <v>-3.77</v>
      </c>
      <c r="D23" s="2272">
        <v>2502314.284</v>
      </c>
      <c r="E23" s="2276">
        <v>1.28</v>
      </c>
      <c r="F23" s="2272">
        <v>14963097.161</v>
      </c>
      <c r="G23" s="2276">
        <v>0.11</v>
      </c>
      <c r="H23" s="2272">
        <v>17465411.445</v>
      </c>
      <c r="I23" s="2276">
        <v>0.27</v>
      </c>
      <c r="J23" s="2272">
        <v>1803687.3389999999</v>
      </c>
      <c r="K23" s="2276">
        <v>-4.07</v>
      </c>
      <c r="L23" s="2272">
        <v>121775.72100000001</v>
      </c>
      <c r="M23" s="2276">
        <v>-0.18</v>
      </c>
      <c r="N23" s="2272">
        <v>21824276.897</v>
      </c>
      <c r="O23" s="2276">
        <v>2.71</v>
      </c>
      <c r="P23" s="2272">
        <v>23749739.956999999</v>
      </c>
      <c r="Q23" s="2279">
        <v>2.15</v>
      </c>
      <c r="R23" s="2275">
        <v>50563480.457000002</v>
      </c>
      <c r="S23" s="2279">
        <v>0.35699999999999998</v>
      </c>
      <c r="T23" s="2209"/>
      <c r="AD23" s="2281"/>
      <c r="AE23" s="2281"/>
    </row>
    <row r="24" spans="1:31" s="2136" customFormat="1" ht="24.95" customHeight="1">
      <c r="A24" s="336">
        <v>2025.1</v>
      </c>
      <c r="B24" s="2275">
        <v>6601830.0120000001</v>
      </c>
      <c r="C24" s="2276">
        <v>-4.79</v>
      </c>
      <c r="D24" s="2272">
        <v>2056226.371</v>
      </c>
      <c r="E24" s="2276">
        <v>3.07</v>
      </c>
      <c r="F24" s="2272">
        <v>12294355.314999999</v>
      </c>
      <c r="G24" s="2276">
        <v>-0.22</v>
      </c>
      <c r="H24" s="2272">
        <v>14350581.686000001</v>
      </c>
      <c r="I24" s="2276">
        <v>0.24</v>
      </c>
      <c r="J24" s="2272">
        <v>1344452.51</v>
      </c>
      <c r="K24" s="2276">
        <v>-2.61</v>
      </c>
      <c r="L24" s="2272">
        <v>108685.045</v>
      </c>
      <c r="M24" s="2276">
        <v>-16.649999999999999</v>
      </c>
      <c r="N24" s="2272">
        <v>19719478.476</v>
      </c>
      <c r="O24" s="2276">
        <v>-7.55</v>
      </c>
      <c r="P24" s="2272">
        <v>21172616.030999999</v>
      </c>
      <c r="Q24" s="2279">
        <v>-7.3</v>
      </c>
      <c r="R24" s="2275">
        <v>42125027.729000002</v>
      </c>
      <c r="S24" s="2279">
        <v>-4.4569000000000001</v>
      </c>
      <c r="T24" s="2209"/>
      <c r="AD24" s="2281"/>
      <c r="AE24" s="2281"/>
    </row>
    <row r="25" spans="1:31" s="2136" customFormat="1" ht="24.95" customHeight="1">
      <c r="A25" s="336">
        <v>2025.11</v>
      </c>
      <c r="B25" s="2275">
        <v>6284340.2630000003</v>
      </c>
      <c r="C25" s="2276">
        <v>3.48</v>
      </c>
      <c r="D25" s="2272">
        <v>2070101.1440000001</v>
      </c>
      <c r="E25" s="2276">
        <v>4.49</v>
      </c>
      <c r="F25" s="2272">
        <v>12099572.744000001</v>
      </c>
      <c r="G25" s="2276">
        <v>2.37</v>
      </c>
      <c r="H25" s="2272">
        <v>14169673.888</v>
      </c>
      <c r="I25" s="2276">
        <v>2.67</v>
      </c>
      <c r="J25" s="2272">
        <v>1707084.513</v>
      </c>
      <c r="K25" s="2276">
        <v>3.29</v>
      </c>
      <c r="L25" s="2272">
        <v>127319.69</v>
      </c>
      <c r="M25" s="2276">
        <v>-7.35</v>
      </c>
      <c r="N25" s="2272">
        <v>19787100.967999998</v>
      </c>
      <c r="O25" s="2276">
        <v>-2.37</v>
      </c>
      <c r="P25" s="2272">
        <v>21621505.171</v>
      </c>
      <c r="Q25" s="2279">
        <v>-1.97</v>
      </c>
      <c r="R25" s="2275">
        <v>42075519.321999997</v>
      </c>
      <c r="S25" s="2279">
        <v>0.34620000000000001</v>
      </c>
      <c r="T25" s="2209"/>
      <c r="AD25" s="2281"/>
      <c r="AE25" s="2281"/>
    </row>
    <row r="26" spans="1:31" s="2136" customFormat="1" ht="24.95" customHeight="1">
      <c r="A26" s="336">
        <v>2025.12</v>
      </c>
      <c r="B26" s="2275">
        <v>6535567.5120000001</v>
      </c>
      <c r="C26" s="2276">
        <v>1.75</v>
      </c>
      <c r="D26" s="2272">
        <v>2567032.1800000002</v>
      </c>
      <c r="E26" s="2276">
        <v>3.35</v>
      </c>
      <c r="F26" s="2272">
        <v>13746953.305</v>
      </c>
      <c r="G26" s="2276">
        <v>1.22</v>
      </c>
      <c r="H26" s="2272">
        <v>16313985.484999999</v>
      </c>
      <c r="I26" s="2276">
        <v>1.55</v>
      </c>
      <c r="J26" s="2272">
        <v>1560476.3130000001</v>
      </c>
      <c r="K26" s="2276">
        <v>0.17</v>
      </c>
      <c r="L26" s="2272">
        <v>136148.87</v>
      </c>
      <c r="M26" s="2276">
        <v>-3.29</v>
      </c>
      <c r="N26" s="2272">
        <v>20804475.782000002</v>
      </c>
      <c r="O26" s="2276">
        <v>-2.0099999999999998</v>
      </c>
      <c r="P26" s="2272">
        <v>22501100.965</v>
      </c>
      <c r="Q26" s="2279">
        <v>-1.87</v>
      </c>
      <c r="R26" s="2275">
        <v>45350653.961999997</v>
      </c>
      <c r="S26" s="2279">
        <v>-0.1469</v>
      </c>
      <c r="T26" s="2209"/>
      <c r="AD26" s="2281"/>
      <c r="AE26" s="2281"/>
    </row>
    <row r="27" spans="1:31" s="2136" customFormat="1" ht="24.95" customHeight="1">
      <c r="A27" s="337" t="s">
        <v>829</v>
      </c>
      <c r="B27" s="2292">
        <v>26986146.373</v>
      </c>
      <c r="C27" s="2293">
        <v>1.1000000000000001</v>
      </c>
      <c r="D27" s="2294">
        <v>9897606.3920000009</v>
      </c>
      <c r="E27" s="2293">
        <v>0.9</v>
      </c>
      <c r="F27" s="2294">
        <v>57092349.414999999</v>
      </c>
      <c r="G27" s="2293">
        <v>0.8</v>
      </c>
      <c r="H27" s="2294">
        <v>66989955.806999996</v>
      </c>
      <c r="I27" s="2293">
        <v>0.81</v>
      </c>
      <c r="J27" s="2294">
        <v>6756672.1320000002</v>
      </c>
      <c r="K27" s="2293">
        <v>-2.64</v>
      </c>
      <c r="L27" s="2294">
        <v>488632.59399999998</v>
      </c>
      <c r="M27" s="2293">
        <v>-4.41</v>
      </c>
      <c r="N27" s="2294">
        <v>81249010.482999995</v>
      </c>
      <c r="O27" s="2293">
        <v>-2.74</v>
      </c>
      <c r="P27" s="2294">
        <v>88494315.209000006</v>
      </c>
      <c r="Q27" s="2295">
        <v>-2.75</v>
      </c>
      <c r="R27" s="2292">
        <v>182470417.389</v>
      </c>
      <c r="S27" s="2295">
        <v>-0.90410000000000001</v>
      </c>
      <c r="T27" s="2209"/>
      <c r="AD27" s="2281"/>
      <c r="AE27" s="2281"/>
    </row>
    <row r="28" spans="1:31" s="2136" customFormat="1" ht="24.95" customHeight="1">
      <c r="A28" s="337">
        <v>2026.01</v>
      </c>
      <c r="B28" s="2292">
        <v>7261310.7429999998</v>
      </c>
      <c r="C28" s="2293">
        <v>2.4</v>
      </c>
      <c r="D28" s="2294">
        <v>2833164.67</v>
      </c>
      <c r="E28" s="2293">
        <v>3.55</v>
      </c>
      <c r="F28" s="2294">
        <v>15952723.689999999</v>
      </c>
      <c r="G28" s="2293">
        <v>2.72</v>
      </c>
      <c r="H28" s="2294">
        <v>18785888.359999999</v>
      </c>
      <c r="I28" s="2293">
        <v>2.85</v>
      </c>
      <c r="J28" s="2294">
        <v>1856093.5959999999</v>
      </c>
      <c r="K28" s="2293">
        <v>-1.64</v>
      </c>
      <c r="L28" s="2294">
        <v>130190.784</v>
      </c>
      <c r="M28" s="2293">
        <v>1.36</v>
      </c>
      <c r="N28" s="2294">
        <v>21319227.002999999</v>
      </c>
      <c r="O28" s="2293">
        <v>-0.49</v>
      </c>
      <c r="P28" s="2294">
        <v>23305511.383000001</v>
      </c>
      <c r="Q28" s="2295">
        <v>-0.56999999999999995</v>
      </c>
      <c r="R28" s="2292">
        <v>49352710.486000001</v>
      </c>
      <c r="S28" s="2295">
        <v>1.1399999999999999</v>
      </c>
      <c r="T28" s="2209"/>
      <c r="AD28" s="2281"/>
      <c r="AE28" s="2281"/>
    </row>
    <row r="29" spans="1:31" s="2136" customFormat="1" ht="24.95" customHeight="1">
      <c r="A29" s="336">
        <v>2026.02</v>
      </c>
      <c r="B29" s="2275">
        <v>7249194.2719999999</v>
      </c>
      <c r="C29" s="2276">
        <v>1.47</v>
      </c>
      <c r="D29" s="2272">
        <v>2638097.2680000002</v>
      </c>
      <c r="E29" s="2276">
        <v>3.09</v>
      </c>
      <c r="F29" s="2272">
        <v>15718496.755999999</v>
      </c>
      <c r="G29" s="2276">
        <v>2.61</v>
      </c>
      <c r="H29" s="2272">
        <v>18356594.024</v>
      </c>
      <c r="I29" s="2276">
        <v>2.68</v>
      </c>
      <c r="J29" s="2272">
        <v>1954798.9110000001</v>
      </c>
      <c r="K29" s="2276">
        <v>-0.18</v>
      </c>
      <c r="L29" s="2272">
        <v>114227.26</v>
      </c>
      <c r="M29" s="2276">
        <v>-6.66</v>
      </c>
      <c r="N29" s="2272">
        <v>19460950.421999998</v>
      </c>
      <c r="O29" s="2276">
        <v>-2.5099999999999998</v>
      </c>
      <c r="P29" s="2272">
        <v>21529976.592999998</v>
      </c>
      <c r="Q29" s="2279">
        <v>-2.33</v>
      </c>
      <c r="R29" s="2275">
        <v>47135764.888999999</v>
      </c>
      <c r="S29" s="2279">
        <v>0.15010000000000001</v>
      </c>
      <c r="T29" s="2209"/>
      <c r="AD29" s="2281"/>
      <c r="AE29" s="2281"/>
    </row>
    <row r="30" spans="1:31" s="2136" customFormat="1" ht="24.95" customHeight="1">
      <c r="A30" s="336">
        <v>2026.03</v>
      </c>
      <c r="B30" s="2275">
        <v>6198534.3969999999</v>
      </c>
      <c r="C30" s="2276">
        <v>-0.17</v>
      </c>
      <c r="D30" s="2272">
        <v>2314123.071</v>
      </c>
      <c r="E30" s="2276">
        <v>-2.27</v>
      </c>
      <c r="F30" s="2272">
        <v>12982258.602</v>
      </c>
      <c r="G30" s="2276">
        <v>-3.52</v>
      </c>
      <c r="H30" s="2272">
        <v>15296381.673</v>
      </c>
      <c r="I30" s="2276">
        <v>-3.34</v>
      </c>
      <c r="J30" s="2272">
        <v>1545378.6580000001</v>
      </c>
      <c r="K30" s="2276">
        <v>-5.37</v>
      </c>
      <c r="L30" s="2272">
        <v>119646.15300000001</v>
      </c>
      <c r="M30" s="2276">
        <v>-6.5</v>
      </c>
      <c r="N30" s="2272">
        <v>20093619.370999999</v>
      </c>
      <c r="O30" s="2276">
        <v>-5.94</v>
      </c>
      <c r="P30" s="2272">
        <v>21758644.182</v>
      </c>
      <c r="Q30" s="2279">
        <v>-5.9</v>
      </c>
      <c r="R30" s="2275">
        <v>43253560.251999997</v>
      </c>
      <c r="S30" s="2279">
        <v>-4.2145000000000001</v>
      </c>
      <c r="T30" s="2209"/>
      <c r="AD30" s="2281"/>
      <c r="AE30" s="2281"/>
    </row>
    <row r="31" spans="1:31" s="2136" customFormat="1" ht="24.95" customHeight="1">
      <c r="A31" s="338">
        <v>2026.04</v>
      </c>
      <c r="B31" s="2296">
        <v>6277106.9610000001</v>
      </c>
      <c r="C31" s="2297">
        <v>0.48</v>
      </c>
      <c r="D31" s="2298">
        <v>2112221.3829999999</v>
      </c>
      <c r="E31" s="2297">
        <v>-1.61</v>
      </c>
      <c r="F31" s="2298">
        <v>12438870.367000001</v>
      </c>
      <c r="G31" s="2297">
        <v>0.83</v>
      </c>
      <c r="H31" s="2298">
        <v>14551091.75</v>
      </c>
      <c r="I31" s="2297">
        <v>0.47</v>
      </c>
      <c r="J31" s="2298">
        <v>1400400.9669999999</v>
      </c>
      <c r="K31" s="2297">
        <v>-4.1900000000000004</v>
      </c>
      <c r="L31" s="2298">
        <v>124568.397</v>
      </c>
      <c r="M31" s="2297">
        <v>-5.9</v>
      </c>
      <c r="N31" s="2298">
        <v>20375213.686999999</v>
      </c>
      <c r="O31" s="2297">
        <v>-2.0099999999999998</v>
      </c>
      <c r="P31" s="2298">
        <v>21900183.050999999</v>
      </c>
      <c r="Q31" s="2299">
        <v>-2.1800000000000002</v>
      </c>
      <c r="R31" s="2296">
        <v>42728381.762000002</v>
      </c>
      <c r="S31" s="2299">
        <v>-0.90110000000000001</v>
      </c>
      <c r="T31" s="2209"/>
      <c r="AD31" s="2281"/>
      <c r="AE31" s="2281"/>
    </row>
    <row r="32" spans="1:31" ht="3.75" customHeight="1">
      <c r="A32" s="272"/>
      <c r="B32" s="272"/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613"/>
      <c r="AD32" s="350"/>
      <c r="AE32" s="350"/>
    </row>
    <row r="33" spans="1:19" ht="12" customHeight="1">
      <c r="A33" s="438" t="s">
        <v>1198</v>
      </c>
      <c r="J33" s="438" t="s">
        <v>1199</v>
      </c>
    </row>
    <row r="34" spans="1:19" ht="8.1" customHeight="1">
      <c r="A34" s="2200"/>
    </row>
    <row r="35" spans="1:19" s="349" customFormat="1" ht="11.25" customHeight="1">
      <c r="A35" s="2300"/>
      <c r="B35" s="2301"/>
      <c r="C35" s="2301"/>
      <c r="D35" s="2301"/>
      <c r="E35" s="2301"/>
      <c r="F35" s="2301"/>
      <c r="G35" s="2301"/>
      <c r="H35" s="2301"/>
      <c r="I35" s="2301"/>
      <c r="J35" s="2301"/>
      <c r="K35" s="2301"/>
      <c r="L35" s="2301"/>
      <c r="M35" s="2301"/>
      <c r="N35" s="2301"/>
      <c r="O35" s="2301"/>
      <c r="P35" s="2301"/>
      <c r="Q35" s="2301"/>
      <c r="R35" s="2301"/>
      <c r="S35" s="282"/>
    </row>
    <row r="36" spans="1:19" s="349" customFormat="1" ht="13.5" customHeight="1">
      <c r="B36" s="2204"/>
      <c r="C36" s="2204"/>
      <c r="D36" s="2204"/>
      <c r="E36" s="2204"/>
      <c r="F36" s="2204"/>
      <c r="G36" s="2204"/>
      <c r="H36" s="2204"/>
      <c r="I36" s="2204"/>
      <c r="J36" s="2204"/>
      <c r="K36" s="2204"/>
      <c r="L36" s="2204"/>
      <c r="M36" s="2204"/>
      <c r="N36" s="2204"/>
      <c r="O36" s="2204"/>
      <c r="P36" s="2204"/>
      <c r="Q36" s="2204"/>
      <c r="R36" s="2302"/>
    </row>
    <row r="37" spans="1:19"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613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6" orientation="portrait" useFirstPageNumber="1" r:id="rId1"/>
  <headerFooter differentOddEven="1" scaleWithDoc="0" alignWithMargins="0"/>
  <colBreaks count="1" manualBreakCount="1">
    <brk id="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0293-EFA6-4B04-AF86-72B7A02D35A7}">
  <sheetPr>
    <tabColor rgb="FF00B050"/>
  </sheetPr>
  <dimension ref="A1:S34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3.25" style="271" customWidth="1"/>
    <col min="2" max="2" width="13.375" style="271" customWidth="1"/>
    <col min="3" max="3" width="7" style="271" customWidth="1"/>
    <col min="4" max="4" width="13" style="271" customWidth="1"/>
    <col min="5" max="5" width="7" style="271" customWidth="1"/>
    <col min="6" max="6" width="13" style="271" customWidth="1"/>
    <col min="7" max="7" width="7" style="271" customWidth="1"/>
    <col min="8" max="8" width="13" style="271" customWidth="1"/>
    <col min="9" max="9" width="7" style="271" customWidth="1"/>
    <col min="10" max="10" width="12.375" style="271" customWidth="1"/>
    <col min="11" max="11" width="6.5" style="271" customWidth="1"/>
    <col min="12" max="12" width="12.125" style="271" customWidth="1"/>
    <col min="13" max="13" width="6.5" style="271" customWidth="1"/>
    <col min="14" max="14" width="12.125" style="271" customWidth="1"/>
    <col min="15" max="15" width="6.5" style="271" customWidth="1"/>
    <col min="16" max="16" width="12.125" style="271" customWidth="1"/>
    <col min="17" max="17" width="6.5" style="271" customWidth="1"/>
    <col min="18" max="18" width="12.125" style="1382" customWidth="1"/>
    <col min="19" max="19" width="6.5" style="271" customWidth="1"/>
    <col min="20" max="22" width="13.125" style="271" customWidth="1"/>
    <col min="23" max="16384" width="7.875" style="271"/>
  </cols>
  <sheetData>
    <row r="1" spans="1:19" ht="20.25">
      <c r="A1" s="2125" t="s">
        <v>1200</v>
      </c>
    </row>
    <row r="2" spans="1:19" s="274" customFormat="1" ht="17.25">
      <c r="A2" s="274" t="s">
        <v>1201</v>
      </c>
      <c r="R2" s="1385"/>
    </row>
    <row r="3" spans="1:19" ht="15" customHeight="1">
      <c r="A3" s="272"/>
      <c r="Q3" s="2262" t="s">
        <v>1202</v>
      </c>
      <c r="R3" s="2262"/>
      <c r="S3" s="2262"/>
    </row>
    <row r="4" spans="1:19" s="272" customFormat="1" ht="21" customHeight="1">
      <c r="A4" s="283" t="s">
        <v>56</v>
      </c>
      <c r="B4" s="1622" t="s">
        <v>1187</v>
      </c>
      <c r="C4" s="1624"/>
      <c r="D4" s="1625" t="s">
        <v>1188</v>
      </c>
      <c r="E4" s="1623"/>
      <c r="F4" s="1623"/>
      <c r="G4" s="1623"/>
      <c r="H4" s="1623"/>
      <c r="I4" s="1624"/>
      <c r="J4" s="1625" t="s">
        <v>1189</v>
      </c>
      <c r="K4" s="1623"/>
      <c r="L4" s="1623"/>
      <c r="M4" s="1623"/>
      <c r="N4" s="1623"/>
      <c r="O4" s="1623"/>
      <c r="P4" s="1623"/>
      <c r="Q4" s="2128"/>
      <c r="R4" s="1622" t="s">
        <v>1190</v>
      </c>
      <c r="S4" s="2263"/>
    </row>
    <row r="5" spans="1:19" s="272" customFormat="1" ht="21" customHeight="1">
      <c r="A5" s="300"/>
      <c r="B5" s="1719"/>
      <c r="C5" s="2264"/>
      <c r="D5" s="2265" t="s">
        <v>1191</v>
      </c>
      <c r="E5" s="1746"/>
      <c r="F5" s="2265" t="s">
        <v>1192</v>
      </c>
      <c r="G5" s="1746"/>
      <c r="H5" s="2265" t="s">
        <v>1193</v>
      </c>
      <c r="I5" s="1746"/>
      <c r="J5" s="2265" t="s">
        <v>1194</v>
      </c>
      <c r="K5" s="1746"/>
      <c r="L5" s="2265" t="s">
        <v>1195</v>
      </c>
      <c r="M5" s="1746"/>
      <c r="N5" s="2265" t="s">
        <v>1196</v>
      </c>
      <c r="O5" s="1746"/>
      <c r="P5" s="2265" t="s">
        <v>1197</v>
      </c>
      <c r="Q5" s="2266"/>
      <c r="R5" s="1719"/>
      <c r="S5" s="2267"/>
    </row>
    <row r="6" spans="1:19" ht="24.95" customHeight="1">
      <c r="A6" s="2303">
        <v>2015</v>
      </c>
      <c r="B6" s="2177">
        <v>12969708</v>
      </c>
      <c r="C6" s="2304">
        <v>1.95</v>
      </c>
      <c r="D6" s="2130">
        <v>196858</v>
      </c>
      <c r="E6" s="2304">
        <v>5.67</v>
      </c>
      <c r="F6" s="2130">
        <v>6987499</v>
      </c>
      <c r="G6" s="2304">
        <v>2.4809999999999999</v>
      </c>
      <c r="H6" s="2305">
        <v>7184357</v>
      </c>
      <c r="I6" s="2304">
        <v>2.5659999999999998</v>
      </c>
      <c r="J6" s="2130">
        <v>1576983</v>
      </c>
      <c r="K6" s="2304">
        <v>4.18</v>
      </c>
      <c r="L6" s="2130">
        <v>3738</v>
      </c>
      <c r="M6" s="2304">
        <v>2.89</v>
      </c>
      <c r="N6" s="2130">
        <v>295429</v>
      </c>
      <c r="O6" s="2304">
        <v>2.2839999999999998</v>
      </c>
      <c r="P6" s="2130">
        <v>1876150</v>
      </c>
      <c r="Q6" s="2304">
        <v>3.8740000000000001</v>
      </c>
      <c r="R6" s="2306">
        <v>22030215</v>
      </c>
      <c r="S6" s="2307">
        <v>2.3126000000000002</v>
      </c>
    </row>
    <row r="7" spans="1:19" ht="27" customHeight="1">
      <c r="A7" s="2303">
        <v>2016</v>
      </c>
      <c r="B7" s="2177">
        <v>13226162</v>
      </c>
      <c r="C7" s="2304">
        <v>1.98</v>
      </c>
      <c r="D7" s="2130">
        <v>210088</v>
      </c>
      <c r="E7" s="2304">
        <v>6.72</v>
      </c>
      <c r="F7" s="2130">
        <v>7170567</v>
      </c>
      <c r="G7" s="2304">
        <v>2.62</v>
      </c>
      <c r="H7" s="2305">
        <v>7380655</v>
      </c>
      <c r="I7" s="2304">
        <v>2.7320000000000002</v>
      </c>
      <c r="J7" s="2130">
        <v>1640563</v>
      </c>
      <c r="K7" s="2304">
        <v>4.03</v>
      </c>
      <c r="L7" s="2130">
        <v>3857</v>
      </c>
      <c r="M7" s="2304">
        <v>3.18</v>
      </c>
      <c r="N7" s="2130">
        <v>301482</v>
      </c>
      <c r="O7" s="2304">
        <v>2.0489999999999999</v>
      </c>
      <c r="P7" s="2130">
        <v>1945902</v>
      </c>
      <c r="Q7" s="2304">
        <v>3.718</v>
      </c>
      <c r="R7" s="2306">
        <v>22552719</v>
      </c>
      <c r="S7" s="2307">
        <v>2.3717999999999999</v>
      </c>
    </row>
    <row r="8" spans="1:19" ht="27" customHeight="1">
      <c r="A8" s="2303">
        <v>2017</v>
      </c>
      <c r="B8" s="2177">
        <v>13480789</v>
      </c>
      <c r="C8" s="2304">
        <v>1.93</v>
      </c>
      <c r="D8" s="2130">
        <v>220655</v>
      </c>
      <c r="E8" s="2304">
        <v>5.03</v>
      </c>
      <c r="F8" s="2130">
        <v>7360055</v>
      </c>
      <c r="G8" s="2304">
        <v>2.6429999999999998</v>
      </c>
      <c r="H8" s="2305">
        <v>7580710</v>
      </c>
      <c r="I8" s="2304">
        <v>2.7109999999999999</v>
      </c>
      <c r="J8" s="2130">
        <v>1705589</v>
      </c>
      <c r="K8" s="2304">
        <v>3.96</v>
      </c>
      <c r="L8" s="2130">
        <v>3044</v>
      </c>
      <c r="M8" s="2304">
        <v>-21.08</v>
      </c>
      <c r="N8" s="2130">
        <v>306891</v>
      </c>
      <c r="O8" s="2304">
        <v>1.794</v>
      </c>
      <c r="P8" s="2130">
        <v>2015524</v>
      </c>
      <c r="Q8" s="2304">
        <v>3.5779999999999998</v>
      </c>
      <c r="R8" s="2306">
        <v>23077023</v>
      </c>
      <c r="S8" s="2307">
        <v>2.3248000000000002</v>
      </c>
    </row>
    <row r="9" spans="1:19" ht="27" customHeight="1">
      <c r="A9" s="2303">
        <v>2018</v>
      </c>
      <c r="B9" s="2177">
        <v>13624717</v>
      </c>
      <c r="C9" s="2304">
        <v>1.07</v>
      </c>
      <c r="D9" s="2130">
        <v>232275</v>
      </c>
      <c r="E9" s="2304">
        <v>5.27</v>
      </c>
      <c r="F9" s="2130">
        <v>7534255</v>
      </c>
      <c r="G9" s="2304">
        <v>2.367</v>
      </c>
      <c r="H9" s="2305">
        <v>7766530</v>
      </c>
      <c r="I9" s="2304">
        <v>2.4510000000000001</v>
      </c>
      <c r="J9" s="2130">
        <v>1763247</v>
      </c>
      <c r="K9" s="2304">
        <v>3.38</v>
      </c>
      <c r="L9" s="2130">
        <v>2980</v>
      </c>
      <c r="M9" s="2304">
        <v>-2.1</v>
      </c>
      <c r="N9" s="2130">
        <v>344068</v>
      </c>
      <c r="O9" s="2304">
        <v>12.114000000000001</v>
      </c>
      <c r="P9" s="2130">
        <v>2110295</v>
      </c>
      <c r="Q9" s="2304">
        <v>4.702</v>
      </c>
      <c r="R9" s="2306">
        <v>23501542</v>
      </c>
      <c r="S9" s="2307">
        <v>1.8395999999999999</v>
      </c>
    </row>
    <row r="10" spans="1:19" ht="27" customHeight="1">
      <c r="A10" s="2303">
        <v>2019</v>
      </c>
      <c r="B10" s="2177">
        <v>13721737</v>
      </c>
      <c r="C10" s="2304">
        <v>0.71</v>
      </c>
      <c r="D10" s="2130">
        <v>248168</v>
      </c>
      <c r="E10" s="2304">
        <v>6.84</v>
      </c>
      <c r="F10" s="2130">
        <v>7723637</v>
      </c>
      <c r="G10" s="2304">
        <v>2.5139999999999998</v>
      </c>
      <c r="H10" s="2305">
        <v>7971805</v>
      </c>
      <c r="I10" s="2304">
        <v>2.6429999999999998</v>
      </c>
      <c r="J10" s="2130">
        <v>1813907</v>
      </c>
      <c r="K10" s="2304">
        <v>2.87</v>
      </c>
      <c r="L10" s="2130">
        <v>2952</v>
      </c>
      <c r="M10" s="2304">
        <v>-0.94</v>
      </c>
      <c r="N10" s="2130">
        <v>349631</v>
      </c>
      <c r="O10" s="2304">
        <v>1.617</v>
      </c>
      <c r="P10" s="2130">
        <v>2166490</v>
      </c>
      <c r="Q10" s="2304">
        <v>2.6629999999999998</v>
      </c>
      <c r="R10" s="2306">
        <v>23860032</v>
      </c>
      <c r="S10" s="2307">
        <v>1.5254000000000001</v>
      </c>
    </row>
    <row r="11" spans="1:19" ht="27" customHeight="1">
      <c r="A11" s="2308">
        <v>2020</v>
      </c>
      <c r="B11" s="2177">
        <v>13762259</v>
      </c>
      <c r="C11" s="2304">
        <v>0.3</v>
      </c>
      <c r="D11" s="2130">
        <v>268596</v>
      </c>
      <c r="E11" s="2304">
        <v>8.23</v>
      </c>
      <c r="F11" s="2130">
        <v>7929622</v>
      </c>
      <c r="G11" s="2304">
        <v>2.6669999999999998</v>
      </c>
      <c r="H11" s="2305">
        <v>8198218</v>
      </c>
      <c r="I11" s="2304">
        <v>2.84</v>
      </c>
      <c r="J11" s="2130">
        <v>1876277</v>
      </c>
      <c r="K11" s="2304">
        <v>3.44</v>
      </c>
      <c r="L11" s="2130">
        <v>3251</v>
      </c>
      <c r="M11" s="2304">
        <v>10.130000000000001</v>
      </c>
      <c r="N11" s="2130">
        <v>358299</v>
      </c>
      <c r="O11" s="2304">
        <v>2.4790000000000001</v>
      </c>
      <c r="P11" s="2130">
        <v>2237827</v>
      </c>
      <c r="Q11" s="2304">
        <v>3.2930000000000001</v>
      </c>
      <c r="R11" s="2306">
        <v>24198304</v>
      </c>
      <c r="S11" s="2307">
        <v>1.4177</v>
      </c>
    </row>
    <row r="12" spans="1:19" s="2136" customFormat="1" ht="27" customHeight="1">
      <c r="A12" s="2308">
        <v>2021</v>
      </c>
      <c r="B12" s="2177">
        <v>13810969</v>
      </c>
      <c r="C12" s="2304">
        <v>0.35</v>
      </c>
      <c r="D12" s="2130">
        <v>285837</v>
      </c>
      <c r="E12" s="2304">
        <v>6.42</v>
      </c>
      <c r="F12" s="2130">
        <v>8115860</v>
      </c>
      <c r="G12" s="2304">
        <v>2.3490000000000002</v>
      </c>
      <c r="H12" s="2305">
        <v>8401697</v>
      </c>
      <c r="I12" s="2304">
        <v>2.4820000000000002</v>
      </c>
      <c r="J12" s="2130">
        <v>1943570</v>
      </c>
      <c r="K12" s="2304">
        <v>3.59</v>
      </c>
      <c r="L12" s="2130">
        <v>3218</v>
      </c>
      <c r="M12" s="2304">
        <v>-1.02</v>
      </c>
      <c r="N12" s="2130">
        <v>363850</v>
      </c>
      <c r="O12" s="2304">
        <v>1.5489999999999999</v>
      </c>
      <c r="P12" s="2130">
        <v>2310638</v>
      </c>
      <c r="Q12" s="2304">
        <v>3.254</v>
      </c>
      <c r="R12" s="2306">
        <v>24523304</v>
      </c>
      <c r="S12" s="2307">
        <v>1.3431</v>
      </c>
    </row>
    <row r="13" spans="1:19" s="2136" customFormat="1" ht="27" customHeight="1">
      <c r="A13" s="2308">
        <v>2022</v>
      </c>
      <c r="B13" s="2177">
        <v>13846501</v>
      </c>
      <c r="C13" s="2304">
        <v>0.26</v>
      </c>
      <c r="D13" s="2130">
        <v>306058</v>
      </c>
      <c r="E13" s="2304">
        <v>7.07</v>
      </c>
      <c r="F13" s="2130">
        <v>8335115</v>
      </c>
      <c r="G13" s="2304">
        <v>2.702</v>
      </c>
      <c r="H13" s="2305">
        <v>8641173</v>
      </c>
      <c r="I13" s="2304">
        <v>2.85</v>
      </c>
      <c r="J13" s="2130">
        <v>2008599</v>
      </c>
      <c r="K13" s="2304">
        <v>3.35</v>
      </c>
      <c r="L13" s="2130">
        <v>3165</v>
      </c>
      <c r="M13" s="2304">
        <v>-1.65</v>
      </c>
      <c r="N13" s="2130">
        <v>366937</v>
      </c>
      <c r="O13" s="2304">
        <v>0.84799999999999998</v>
      </c>
      <c r="P13" s="2130">
        <v>2378701</v>
      </c>
      <c r="Q13" s="2304">
        <v>2.9460000000000002</v>
      </c>
      <c r="R13" s="2306">
        <v>24866375</v>
      </c>
      <c r="S13" s="2307">
        <v>1.399</v>
      </c>
    </row>
    <row r="14" spans="1:19" s="2136" customFormat="1" ht="27" customHeight="1">
      <c r="A14" s="2308">
        <v>2023</v>
      </c>
      <c r="B14" s="2177">
        <v>13860748</v>
      </c>
      <c r="C14" s="2304">
        <v>0.1</v>
      </c>
      <c r="D14" s="2130">
        <v>328326</v>
      </c>
      <c r="E14" s="2304">
        <v>7.28</v>
      </c>
      <c r="F14" s="2130">
        <v>8527470</v>
      </c>
      <c r="G14" s="2304">
        <v>2.3079999999999998</v>
      </c>
      <c r="H14" s="2305">
        <v>8855796</v>
      </c>
      <c r="I14" s="2304">
        <v>2.484</v>
      </c>
      <c r="J14" s="2130">
        <v>2041306</v>
      </c>
      <c r="K14" s="2304">
        <v>1.63</v>
      </c>
      <c r="L14" s="2130">
        <v>3111</v>
      </c>
      <c r="M14" s="2304">
        <v>-1.71</v>
      </c>
      <c r="N14" s="2130">
        <v>367913</v>
      </c>
      <c r="O14" s="2304">
        <v>0.26600000000000001</v>
      </c>
      <c r="P14" s="2130">
        <v>2412330</v>
      </c>
      <c r="Q14" s="2304">
        <v>1.4139999999999999</v>
      </c>
      <c r="R14" s="2306">
        <v>25128874</v>
      </c>
      <c r="S14" s="2307">
        <v>1.0556000000000001</v>
      </c>
    </row>
    <row r="15" spans="1:19" s="2136" customFormat="1" ht="27" customHeight="1">
      <c r="A15" s="2308">
        <v>2024</v>
      </c>
      <c r="B15" s="2177">
        <v>13853467</v>
      </c>
      <c r="C15" s="2304">
        <v>-0.05</v>
      </c>
      <c r="D15" s="2130">
        <v>349199</v>
      </c>
      <c r="E15" s="2304">
        <v>6.36</v>
      </c>
      <c r="F15" s="2130">
        <v>8679634</v>
      </c>
      <c r="G15" s="2304">
        <v>1.784</v>
      </c>
      <c r="H15" s="2305">
        <v>9028833</v>
      </c>
      <c r="I15" s="2304">
        <v>1.954</v>
      </c>
      <c r="J15" s="2130">
        <v>2069225</v>
      </c>
      <c r="K15" s="2304">
        <v>1.37</v>
      </c>
      <c r="L15" s="2130">
        <v>3028</v>
      </c>
      <c r="M15" s="2304">
        <v>-2.67</v>
      </c>
      <c r="N15" s="2130">
        <v>366682</v>
      </c>
      <c r="O15" s="2304">
        <v>-0.33500000000000002</v>
      </c>
      <c r="P15" s="2130">
        <v>2438935</v>
      </c>
      <c r="Q15" s="2304">
        <v>1.103</v>
      </c>
      <c r="R15" s="2306">
        <v>25321235</v>
      </c>
      <c r="S15" s="2307">
        <v>0.76549999999999996</v>
      </c>
    </row>
    <row r="16" spans="1:19" s="2136" customFormat="1" ht="27" customHeight="1">
      <c r="A16" s="2309">
        <v>2025</v>
      </c>
      <c r="B16" s="2215">
        <v>13809090</v>
      </c>
      <c r="C16" s="2310">
        <v>-0.32</v>
      </c>
      <c r="D16" s="2311">
        <v>367987</v>
      </c>
      <c r="E16" s="2310">
        <v>5.38</v>
      </c>
      <c r="F16" s="2311">
        <v>8805637</v>
      </c>
      <c r="G16" s="2310">
        <v>1.452</v>
      </c>
      <c r="H16" s="2312">
        <v>9173624</v>
      </c>
      <c r="I16" s="2310">
        <v>1.6040000000000001</v>
      </c>
      <c r="J16" s="2311">
        <v>2084379</v>
      </c>
      <c r="K16" s="2310">
        <v>0.73</v>
      </c>
      <c r="L16" s="2311">
        <v>2912</v>
      </c>
      <c r="M16" s="2310">
        <v>-3.83</v>
      </c>
      <c r="N16" s="2311">
        <v>364171</v>
      </c>
      <c r="O16" s="2310">
        <v>-0.68500000000000005</v>
      </c>
      <c r="P16" s="2311">
        <v>2451462</v>
      </c>
      <c r="Q16" s="2310">
        <v>0.51400000000000001</v>
      </c>
      <c r="R16" s="2313">
        <v>25434176</v>
      </c>
      <c r="S16" s="2314">
        <v>0.44600000000000001</v>
      </c>
    </row>
    <row r="17" spans="1:19" s="2136" customFormat="1" ht="27" customHeight="1">
      <c r="A17" s="2315">
        <v>2025.04</v>
      </c>
      <c r="B17" s="2221">
        <v>13844933</v>
      </c>
      <c r="C17" s="2316">
        <v>-0.1</v>
      </c>
      <c r="D17" s="2148">
        <v>355409</v>
      </c>
      <c r="E17" s="2316">
        <v>5.85</v>
      </c>
      <c r="F17" s="2148">
        <v>8714976</v>
      </c>
      <c r="G17" s="2316">
        <v>1.573</v>
      </c>
      <c r="H17" s="2317">
        <v>9070385</v>
      </c>
      <c r="I17" s="2316">
        <v>1.734</v>
      </c>
      <c r="J17" s="2148">
        <v>2070274</v>
      </c>
      <c r="K17" s="2316">
        <v>0.92</v>
      </c>
      <c r="L17" s="2148">
        <v>2980</v>
      </c>
      <c r="M17" s="2316">
        <v>-2.9</v>
      </c>
      <c r="N17" s="2148">
        <v>366181</v>
      </c>
      <c r="O17" s="2316">
        <v>-0.46600000000000003</v>
      </c>
      <c r="P17" s="2148">
        <v>2439435</v>
      </c>
      <c r="Q17" s="2316">
        <v>0.70799999999999996</v>
      </c>
      <c r="R17" s="2318">
        <v>25354753</v>
      </c>
      <c r="S17" s="2319">
        <v>0.62480000000000002</v>
      </c>
    </row>
    <row r="18" spans="1:19" s="2136" customFormat="1" ht="27" customHeight="1">
      <c r="A18" s="1478">
        <v>2025.05</v>
      </c>
      <c r="B18" s="2177">
        <v>13835664</v>
      </c>
      <c r="C18" s="2304">
        <v>-0.12</v>
      </c>
      <c r="D18" s="2130">
        <v>355829</v>
      </c>
      <c r="E18" s="2304">
        <v>5.67</v>
      </c>
      <c r="F18" s="2130">
        <v>8722465</v>
      </c>
      <c r="G18" s="2304">
        <v>1.5509999999999999</v>
      </c>
      <c r="H18" s="2305">
        <v>9078294</v>
      </c>
      <c r="I18" s="2304">
        <v>1.706</v>
      </c>
      <c r="J18" s="2130">
        <v>1994820</v>
      </c>
      <c r="K18" s="2304">
        <v>1.3</v>
      </c>
      <c r="L18" s="2130">
        <v>2981</v>
      </c>
      <c r="M18" s="2304">
        <v>-2.68</v>
      </c>
      <c r="N18" s="2130">
        <v>365840</v>
      </c>
      <c r="O18" s="2304">
        <v>-0.45</v>
      </c>
      <c r="P18" s="2130">
        <v>2363641</v>
      </c>
      <c r="Q18" s="2304">
        <v>1.02</v>
      </c>
      <c r="R18" s="2306">
        <v>25277599</v>
      </c>
      <c r="S18" s="2307">
        <v>0.63239999999999996</v>
      </c>
    </row>
    <row r="19" spans="1:19" s="2136" customFormat="1" ht="27" customHeight="1">
      <c r="A19" s="1478">
        <v>2025.06</v>
      </c>
      <c r="B19" s="2177">
        <v>13830799</v>
      </c>
      <c r="C19" s="2304">
        <v>-0.14000000000000001</v>
      </c>
      <c r="D19" s="2130">
        <v>357390</v>
      </c>
      <c r="E19" s="2304">
        <v>5.62</v>
      </c>
      <c r="F19" s="2130">
        <v>8733337</v>
      </c>
      <c r="G19" s="2304">
        <v>1.5269999999999999</v>
      </c>
      <c r="H19" s="2305">
        <v>9090727</v>
      </c>
      <c r="I19" s="2304">
        <v>1.6819999999999999</v>
      </c>
      <c r="J19" s="2130">
        <v>1996639</v>
      </c>
      <c r="K19" s="2304">
        <v>1.21</v>
      </c>
      <c r="L19" s="2130">
        <v>2990</v>
      </c>
      <c r="M19" s="2304">
        <v>-2.2599999999999998</v>
      </c>
      <c r="N19" s="2130">
        <v>365447</v>
      </c>
      <c r="O19" s="2304">
        <v>-0.499</v>
      </c>
      <c r="P19" s="2130">
        <v>2365076</v>
      </c>
      <c r="Q19" s="2304">
        <v>0.93899999999999995</v>
      </c>
      <c r="R19" s="2306">
        <v>25286602</v>
      </c>
      <c r="S19" s="2307">
        <v>0.60709999999999997</v>
      </c>
    </row>
    <row r="20" spans="1:19" s="2136" customFormat="1" ht="27" customHeight="1">
      <c r="A20" s="1478">
        <v>2025.07</v>
      </c>
      <c r="B20" s="2180">
        <v>13830179</v>
      </c>
      <c r="C20" s="2304">
        <v>-0.14000000000000001</v>
      </c>
      <c r="D20" s="2130">
        <v>359152</v>
      </c>
      <c r="E20" s="2304">
        <v>5.53</v>
      </c>
      <c r="F20" s="2130">
        <v>8750985</v>
      </c>
      <c r="G20" s="2304">
        <v>1.5580000000000001</v>
      </c>
      <c r="H20" s="2320">
        <v>9110137</v>
      </c>
      <c r="I20" s="2304">
        <v>1.7090000000000001</v>
      </c>
      <c r="J20" s="2130">
        <v>1999339</v>
      </c>
      <c r="K20" s="2304">
        <v>1.17</v>
      </c>
      <c r="L20" s="2130">
        <v>2970</v>
      </c>
      <c r="M20" s="2304">
        <v>-2.69</v>
      </c>
      <c r="N20" s="2130">
        <v>365280</v>
      </c>
      <c r="O20" s="2304">
        <v>-0.48499999999999999</v>
      </c>
      <c r="P20" s="2130">
        <v>2367589</v>
      </c>
      <c r="Q20" s="2307">
        <v>0.90800000000000003</v>
      </c>
      <c r="R20" s="2306">
        <v>25307905</v>
      </c>
      <c r="S20" s="2307">
        <v>0.6179</v>
      </c>
    </row>
    <row r="21" spans="1:19" s="2136" customFormat="1" ht="27" customHeight="1">
      <c r="A21" s="1478">
        <v>2025.08</v>
      </c>
      <c r="B21" s="2177">
        <v>13825790</v>
      </c>
      <c r="C21" s="2304">
        <v>-0.22</v>
      </c>
      <c r="D21" s="2130">
        <v>360716</v>
      </c>
      <c r="E21" s="2304">
        <v>5.4</v>
      </c>
      <c r="F21" s="2130">
        <v>8764455</v>
      </c>
      <c r="G21" s="2304">
        <v>1.5660000000000001</v>
      </c>
      <c r="H21" s="2305">
        <v>9125171</v>
      </c>
      <c r="I21" s="2304">
        <v>1.712</v>
      </c>
      <c r="J21" s="2130">
        <v>2003287</v>
      </c>
      <c r="K21" s="2304">
        <v>1.1499999999999999</v>
      </c>
      <c r="L21" s="2130">
        <v>2968</v>
      </c>
      <c r="M21" s="2304">
        <v>-2.75</v>
      </c>
      <c r="N21" s="2130">
        <v>365172</v>
      </c>
      <c r="O21" s="2304">
        <v>-0.52200000000000002</v>
      </c>
      <c r="P21" s="2130">
        <v>2371427</v>
      </c>
      <c r="Q21" s="2304">
        <v>0.88300000000000001</v>
      </c>
      <c r="R21" s="2306">
        <v>25322388</v>
      </c>
      <c r="S21" s="2307">
        <v>0.57010000000000005</v>
      </c>
    </row>
    <row r="22" spans="1:19" s="2136" customFormat="1" ht="27" customHeight="1">
      <c r="A22" s="1478">
        <v>2025.09</v>
      </c>
      <c r="B22" s="2177">
        <v>13825180</v>
      </c>
      <c r="C22" s="2304">
        <v>-0.23</v>
      </c>
      <c r="D22" s="2130">
        <v>362424</v>
      </c>
      <c r="E22" s="2304">
        <v>5.48</v>
      </c>
      <c r="F22" s="2130">
        <v>8773369</v>
      </c>
      <c r="G22" s="2304">
        <v>1.524</v>
      </c>
      <c r="H22" s="2305">
        <v>9135793</v>
      </c>
      <c r="I22" s="2304">
        <v>1.675</v>
      </c>
      <c r="J22" s="2130">
        <v>2006001</v>
      </c>
      <c r="K22" s="2304">
        <v>1.1200000000000001</v>
      </c>
      <c r="L22" s="2130">
        <v>2962</v>
      </c>
      <c r="M22" s="2304">
        <v>-2.63</v>
      </c>
      <c r="N22" s="2130">
        <v>364872</v>
      </c>
      <c r="O22" s="2304">
        <v>-0.58399999999999996</v>
      </c>
      <c r="P22" s="2130">
        <v>2373835</v>
      </c>
      <c r="Q22" s="2304">
        <v>0.85299999999999998</v>
      </c>
      <c r="R22" s="2306">
        <v>25334808</v>
      </c>
      <c r="S22" s="2307">
        <v>0.55110000000000003</v>
      </c>
    </row>
    <row r="23" spans="1:19" s="2136" customFormat="1" ht="27" customHeight="1">
      <c r="A23" s="1478">
        <v>2025.1</v>
      </c>
      <c r="B23" s="2177">
        <v>13818956</v>
      </c>
      <c r="C23" s="2304">
        <v>-0.25</v>
      </c>
      <c r="D23" s="2130">
        <v>363956</v>
      </c>
      <c r="E23" s="2304">
        <v>5.49</v>
      </c>
      <c r="F23" s="2130">
        <v>8780201</v>
      </c>
      <c r="G23" s="2304">
        <v>1.488</v>
      </c>
      <c r="H23" s="2305">
        <v>9144157</v>
      </c>
      <c r="I23" s="2304">
        <v>1.641</v>
      </c>
      <c r="J23" s="2130">
        <v>2007486</v>
      </c>
      <c r="K23" s="2304">
        <v>1.1000000000000001</v>
      </c>
      <c r="L23" s="2130">
        <v>2939</v>
      </c>
      <c r="M23" s="2304">
        <v>-3.26</v>
      </c>
      <c r="N23" s="2130">
        <v>364568</v>
      </c>
      <c r="O23" s="2304">
        <v>-0.63300000000000001</v>
      </c>
      <c r="P23" s="2130">
        <v>2374993</v>
      </c>
      <c r="Q23" s="2304">
        <v>0.82799999999999996</v>
      </c>
      <c r="R23" s="2306">
        <v>25338106</v>
      </c>
      <c r="S23" s="2307">
        <v>0.52580000000000005</v>
      </c>
    </row>
    <row r="24" spans="1:19" s="2136" customFormat="1" ht="27" customHeight="1">
      <c r="A24" s="1478">
        <v>2025.11</v>
      </c>
      <c r="B24" s="2177">
        <v>13815527</v>
      </c>
      <c r="C24" s="2304">
        <v>-0.3</v>
      </c>
      <c r="D24" s="2130">
        <v>365841</v>
      </c>
      <c r="E24" s="2304">
        <v>5.37</v>
      </c>
      <c r="F24" s="2130">
        <v>8792360</v>
      </c>
      <c r="G24" s="2304">
        <v>1.446</v>
      </c>
      <c r="H24" s="2305">
        <v>9158201</v>
      </c>
      <c r="I24" s="2304">
        <v>1.597</v>
      </c>
      <c r="J24" s="2130">
        <v>2563192</v>
      </c>
      <c r="K24" s="2304">
        <v>1.06</v>
      </c>
      <c r="L24" s="2130">
        <v>2925</v>
      </c>
      <c r="M24" s="2304">
        <v>-3.53</v>
      </c>
      <c r="N24" s="2130">
        <v>364483</v>
      </c>
      <c r="O24" s="2304">
        <v>-0.63700000000000001</v>
      </c>
      <c r="P24" s="2130">
        <v>2930600</v>
      </c>
      <c r="Q24" s="2304">
        <v>0.84399999999999997</v>
      </c>
      <c r="R24" s="2306">
        <v>25904328</v>
      </c>
      <c r="S24" s="2307">
        <v>0.49120000000000003</v>
      </c>
    </row>
    <row r="25" spans="1:19" s="2136" customFormat="1" ht="27" customHeight="1">
      <c r="A25" s="1478">
        <v>2025.12</v>
      </c>
      <c r="B25" s="2177">
        <v>13809090</v>
      </c>
      <c r="C25" s="2304">
        <v>-0.32</v>
      </c>
      <c r="D25" s="2130">
        <v>367987</v>
      </c>
      <c r="E25" s="2304">
        <v>5.38</v>
      </c>
      <c r="F25" s="2130">
        <v>8805637</v>
      </c>
      <c r="G25" s="2304">
        <v>1.452</v>
      </c>
      <c r="H25" s="2305">
        <v>9173624</v>
      </c>
      <c r="I25" s="2304">
        <v>1.6040000000000001</v>
      </c>
      <c r="J25" s="2130">
        <v>2084379</v>
      </c>
      <c r="K25" s="2304">
        <v>0.73</v>
      </c>
      <c r="L25" s="2130">
        <v>2912</v>
      </c>
      <c r="M25" s="2304">
        <v>-3.83</v>
      </c>
      <c r="N25" s="2130">
        <v>364171</v>
      </c>
      <c r="O25" s="2304">
        <v>-0.68500000000000005</v>
      </c>
      <c r="P25" s="2130">
        <v>2451462</v>
      </c>
      <c r="Q25" s="2304">
        <v>0.51400000000000001</v>
      </c>
      <c r="R25" s="2306">
        <v>25434176</v>
      </c>
      <c r="S25" s="2307">
        <v>0.44600000000000001</v>
      </c>
    </row>
    <row r="26" spans="1:19" s="2136" customFormat="1" ht="27" customHeight="1">
      <c r="A26" s="2315">
        <v>2026.01</v>
      </c>
      <c r="B26" s="2221">
        <v>13808048</v>
      </c>
      <c r="C26" s="2316">
        <v>-0.34</v>
      </c>
      <c r="D26" s="2148">
        <v>369974</v>
      </c>
      <c r="E26" s="2316">
        <v>5.1100000000000003</v>
      </c>
      <c r="F26" s="2148">
        <v>8817045</v>
      </c>
      <c r="G26" s="2316">
        <v>1.43</v>
      </c>
      <c r="H26" s="2317">
        <v>9187019</v>
      </c>
      <c r="I26" s="2316">
        <v>1.573</v>
      </c>
      <c r="J26" s="2148">
        <v>2001981</v>
      </c>
      <c r="K26" s="2316">
        <v>1.07</v>
      </c>
      <c r="L26" s="2148">
        <v>2902</v>
      </c>
      <c r="M26" s="2316">
        <v>-3.75</v>
      </c>
      <c r="N26" s="2148">
        <v>364054</v>
      </c>
      <c r="O26" s="2316">
        <v>-0.71699999999999997</v>
      </c>
      <c r="P26" s="2148">
        <v>2368937</v>
      </c>
      <c r="Q26" s="2316">
        <v>0.78400000000000003</v>
      </c>
      <c r="R26" s="2318">
        <v>25364004</v>
      </c>
      <c r="S26" s="2319">
        <v>0.45219999999999999</v>
      </c>
    </row>
    <row r="27" spans="1:19" s="2136" customFormat="1" ht="27" customHeight="1">
      <c r="A27" s="1478">
        <v>2026.02</v>
      </c>
      <c r="B27" s="2177">
        <v>13806399</v>
      </c>
      <c r="C27" s="2304">
        <v>-0.31</v>
      </c>
      <c r="D27" s="2130">
        <v>371169</v>
      </c>
      <c r="E27" s="2304">
        <v>5.07</v>
      </c>
      <c r="F27" s="2130">
        <v>8823512</v>
      </c>
      <c r="G27" s="2304">
        <v>1.458</v>
      </c>
      <c r="H27" s="2305">
        <v>9194681</v>
      </c>
      <c r="I27" s="2304">
        <v>1.599</v>
      </c>
      <c r="J27" s="2130">
        <v>2001539</v>
      </c>
      <c r="K27" s="2304">
        <v>1.1100000000000001</v>
      </c>
      <c r="L27" s="2130">
        <v>2891</v>
      </c>
      <c r="M27" s="2304">
        <v>-3.31</v>
      </c>
      <c r="N27" s="2130">
        <v>363967</v>
      </c>
      <c r="O27" s="2304">
        <v>-0.69499999999999995</v>
      </c>
      <c r="P27" s="2130">
        <v>2368397</v>
      </c>
      <c r="Q27" s="2304">
        <v>0.82599999999999996</v>
      </c>
      <c r="R27" s="2306">
        <v>25369477</v>
      </c>
      <c r="S27" s="2307">
        <v>0.48230000000000001</v>
      </c>
    </row>
    <row r="28" spans="1:19" s="2136" customFormat="1" ht="27" customHeight="1">
      <c r="A28" s="1478">
        <v>2026.03</v>
      </c>
      <c r="B28" s="2177">
        <v>13804210</v>
      </c>
      <c r="C28" s="2304">
        <v>-0.33</v>
      </c>
      <c r="D28" s="2130">
        <v>371785</v>
      </c>
      <c r="E28" s="2304">
        <v>4.9400000000000004</v>
      </c>
      <c r="F28" s="2130">
        <v>8828389</v>
      </c>
      <c r="G28" s="2304">
        <v>1.4279999999999999</v>
      </c>
      <c r="H28" s="2305">
        <v>9200174</v>
      </c>
      <c r="I28" s="2304">
        <v>1.5649999999999999</v>
      </c>
      <c r="J28" s="2130">
        <v>2558610</v>
      </c>
      <c r="K28" s="2304">
        <v>0.78</v>
      </c>
      <c r="L28" s="2130">
        <v>2873</v>
      </c>
      <c r="M28" s="2304">
        <v>-3.53</v>
      </c>
      <c r="N28" s="2130">
        <v>363800</v>
      </c>
      <c r="O28" s="2304">
        <v>-0.72299999999999998</v>
      </c>
      <c r="P28" s="2130">
        <v>2925283</v>
      </c>
      <c r="Q28" s="2304">
        <v>0.58599999999999997</v>
      </c>
      <c r="R28" s="2306">
        <v>25929667</v>
      </c>
      <c r="S28" s="2307">
        <v>0.43609999999999999</v>
      </c>
    </row>
    <row r="29" spans="1:19" s="2136" customFormat="1" ht="27" customHeight="1">
      <c r="A29" s="2321">
        <v>2026.04</v>
      </c>
      <c r="B29" s="2226">
        <v>13804607</v>
      </c>
      <c r="C29" s="2322">
        <v>-0.28999999999999998</v>
      </c>
      <c r="D29" s="2154">
        <v>372854</v>
      </c>
      <c r="E29" s="2322">
        <v>4.91</v>
      </c>
      <c r="F29" s="2154">
        <v>8849145</v>
      </c>
      <c r="G29" s="2322">
        <v>1.54</v>
      </c>
      <c r="H29" s="2323">
        <v>9221999</v>
      </c>
      <c r="I29" s="2322">
        <v>1.6719999999999999</v>
      </c>
      <c r="J29" s="2154">
        <v>2093632</v>
      </c>
      <c r="K29" s="2322">
        <v>1.1299999999999999</v>
      </c>
      <c r="L29" s="2154">
        <v>2863</v>
      </c>
      <c r="M29" s="2322">
        <v>-3.93</v>
      </c>
      <c r="N29" s="2154">
        <v>363688</v>
      </c>
      <c r="O29" s="2322">
        <v>-0.68100000000000005</v>
      </c>
      <c r="P29" s="2154">
        <v>2460183</v>
      </c>
      <c r="Q29" s="2322">
        <v>0.85099999999999998</v>
      </c>
      <c r="R29" s="2324">
        <v>25486789</v>
      </c>
      <c r="S29" s="2325">
        <v>0.52080000000000004</v>
      </c>
    </row>
    <row r="30" spans="1:19" s="2136" customFormat="1" ht="3" customHeight="1">
      <c r="A30" s="1266"/>
      <c r="B30" s="682"/>
      <c r="C30" s="2231"/>
      <c r="D30" s="682"/>
      <c r="E30" s="2231"/>
      <c r="F30" s="682"/>
      <c r="G30" s="2231"/>
      <c r="H30" s="2305"/>
      <c r="I30" s="2231"/>
      <c r="J30" s="682"/>
      <c r="K30" s="2231"/>
      <c r="L30" s="682"/>
      <c r="M30" s="2231"/>
      <c r="N30" s="682"/>
      <c r="O30" s="2231"/>
      <c r="P30" s="682"/>
      <c r="Q30" s="2231"/>
      <c r="R30" s="2305"/>
      <c r="S30" s="2231"/>
    </row>
    <row r="31" spans="1:19" ht="12" customHeight="1">
      <c r="A31" s="438" t="s">
        <v>1198</v>
      </c>
      <c r="J31" s="438" t="s">
        <v>1199</v>
      </c>
    </row>
    <row r="32" spans="1:19" ht="8.1" customHeight="1">
      <c r="A32" s="2200"/>
    </row>
    <row r="33" spans="1:19" s="349" customFormat="1" ht="11.25" customHeight="1">
      <c r="A33" s="346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P33" s="271"/>
      <c r="Q33" s="271"/>
      <c r="R33" s="627"/>
      <c r="S33" s="282"/>
    </row>
    <row r="34" spans="1:19" s="349" customFormat="1" ht="13.5" customHeight="1"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P34" s="271"/>
      <c r="Q34" s="271"/>
      <c r="R34" s="627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8" orientation="portrait" useFirstPageNumber="1" r:id="rId1"/>
  <headerFooter differentOddEven="1" scaleWithDoc="0" alignWithMargins="0"/>
  <colBreaks count="1" manualBreakCount="1">
    <brk id="9" max="33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83CA-9497-447D-95F1-7061C60EB31B}">
  <sheetPr>
    <tabColor rgb="FF00B050"/>
  </sheetPr>
  <dimension ref="A1:AE36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3.25" style="271" customWidth="1"/>
    <col min="2" max="2" width="13" style="271" customWidth="1"/>
    <col min="3" max="3" width="7" style="271" customWidth="1"/>
    <col min="4" max="4" width="13" style="271" customWidth="1"/>
    <col min="5" max="5" width="7" style="271" customWidth="1"/>
    <col min="6" max="6" width="13" style="271" customWidth="1"/>
    <col min="7" max="7" width="7" style="271" customWidth="1"/>
    <col min="8" max="8" width="13.375" style="271" customWidth="1"/>
    <col min="9" max="9" width="7" style="271" customWidth="1"/>
    <col min="10" max="10" width="12.125" style="271" customWidth="1"/>
    <col min="11" max="11" width="6.5" style="271" customWidth="1"/>
    <col min="12" max="12" width="12.125" style="271" customWidth="1"/>
    <col min="13" max="13" width="6.5" style="271" customWidth="1"/>
    <col min="14" max="14" width="12.125" style="271" customWidth="1"/>
    <col min="15" max="15" width="6.5" style="271" customWidth="1"/>
    <col min="16" max="16" width="12.125" style="271" customWidth="1"/>
    <col min="17" max="17" width="6.5" style="271" customWidth="1"/>
    <col min="18" max="18" width="12.125" style="1382" customWidth="1"/>
    <col min="19" max="19" width="6.5" style="271" customWidth="1"/>
    <col min="20" max="20" width="10" style="271" customWidth="1"/>
    <col min="21" max="21" width="5.875" style="271" bestFit="1" customWidth="1"/>
    <col min="22" max="22" width="7.875" style="271" customWidth="1"/>
    <col min="23" max="23" width="5.875" style="271" bestFit="1" customWidth="1"/>
    <col min="24" max="24" width="7.875" style="271" customWidth="1"/>
    <col min="25" max="25" width="5.875" style="271" bestFit="1" customWidth="1"/>
    <col min="26" max="26" width="7.875" style="271" customWidth="1"/>
    <col min="27" max="27" width="5.875" style="271" bestFit="1" customWidth="1"/>
    <col min="28" max="28" width="7.875" style="271" customWidth="1"/>
    <col min="29" max="29" width="5.875" style="271" bestFit="1" customWidth="1"/>
    <col min="30" max="34" width="13.125" style="271" customWidth="1"/>
    <col min="35" max="16384" width="7.875" style="271"/>
  </cols>
  <sheetData>
    <row r="1" spans="1:31" ht="20.25">
      <c r="A1" s="2125" t="s">
        <v>1203</v>
      </c>
    </row>
    <row r="2" spans="1:31" s="274" customFormat="1" ht="17.25">
      <c r="A2" s="274" t="s">
        <v>1204</v>
      </c>
      <c r="R2" s="1385"/>
    </row>
    <row r="3" spans="1:31">
      <c r="A3" s="272"/>
      <c r="Q3" s="2262" t="s">
        <v>1181</v>
      </c>
      <c r="R3" s="2262"/>
      <c r="S3" s="2262"/>
    </row>
    <row r="4" spans="1:31" s="272" customFormat="1" ht="21" customHeight="1">
      <c r="A4" s="283" t="s">
        <v>56</v>
      </c>
      <c r="B4" s="1622" t="s">
        <v>1187</v>
      </c>
      <c r="C4" s="1624"/>
      <c r="D4" s="1625" t="s">
        <v>1188</v>
      </c>
      <c r="E4" s="1623"/>
      <c r="F4" s="1623"/>
      <c r="G4" s="1623"/>
      <c r="H4" s="1623"/>
      <c r="I4" s="1624"/>
      <c r="J4" s="1625" t="s">
        <v>1189</v>
      </c>
      <c r="K4" s="1623"/>
      <c r="L4" s="1623"/>
      <c r="M4" s="1623"/>
      <c r="N4" s="1623"/>
      <c r="O4" s="1623"/>
      <c r="P4" s="1623"/>
      <c r="Q4" s="2128"/>
      <c r="R4" s="1622" t="s">
        <v>1190</v>
      </c>
      <c r="S4" s="2263"/>
    </row>
    <row r="5" spans="1:31" s="272" customFormat="1" ht="21" customHeight="1">
      <c r="A5" s="300"/>
      <c r="B5" s="1719"/>
      <c r="C5" s="2264"/>
      <c r="D5" s="2265" t="s">
        <v>1191</v>
      </c>
      <c r="E5" s="1746"/>
      <c r="F5" s="2265" t="s">
        <v>1192</v>
      </c>
      <c r="G5" s="1746"/>
      <c r="H5" s="2265" t="s">
        <v>1193</v>
      </c>
      <c r="I5" s="1746"/>
      <c r="J5" s="2265" t="s">
        <v>1194</v>
      </c>
      <c r="K5" s="1746"/>
      <c r="L5" s="2265" t="s">
        <v>1195</v>
      </c>
      <c r="M5" s="1746"/>
      <c r="N5" s="2265" t="s">
        <v>1196</v>
      </c>
      <c r="O5" s="1746"/>
      <c r="P5" s="2265" t="s">
        <v>1197</v>
      </c>
      <c r="Q5" s="2266"/>
      <c r="R5" s="1719"/>
      <c r="S5" s="2267"/>
    </row>
    <row r="6" spans="1:31" ht="24.95" customHeight="1">
      <c r="A6" s="321">
        <v>2015</v>
      </c>
      <c r="B6" s="2278">
        <v>7870506.4500000002</v>
      </c>
      <c r="C6" s="2276">
        <v>0.55000000000000004</v>
      </c>
      <c r="D6" s="2272">
        <v>2601868.7659999998</v>
      </c>
      <c r="E6" s="2276">
        <v>3.74</v>
      </c>
      <c r="F6" s="2272">
        <v>16018005.597999999</v>
      </c>
      <c r="G6" s="2276">
        <v>3.6269999999999998</v>
      </c>
      <c r="H6" s="2272">
        <v>18619874.364999998</v>
      </c>
      <c r="I6" s="2276">
        <v>3.6429999999999998</v>
      </c>
      <c r="J6" s="2272">
        <v>704319.79299999995</v>
      </c>
      <c r="K6" s="2276">
        <v>7.93</v>
      </c>
      <c r="L6" s="2272">
        <v>218885.492</v>
      </c>
      <c r="M6" s="2276">
        <v>3.35</v>
      </c>
      <c r="N6" s="2272">
        <v>26550096.364</v>
      </c>
      <c r="O6" s="2276">
        <v>0.24</v>
      </c>
      <c r="P6" s="2272">
        <v>27473301.649</v>
      </c>
      <c r="Q6" s="2277">
        <v>0.44800000000000001</v>
      </c>
      <c r="R6" s="2274">
        <v>53963682.464000002</v>
      </c>
      <c r="S6" s="2277">
        <v>1.5422</v>
      </c>
      <c r="AD6" s="350"/>
      <c r="AE6" s="350"/>
    </row>
    <row r="7" spans="1:31" ht="24.95" customHeight="1">
      <c r="A7" s="321">
        <v>2016</v>
      </c>
      <c r="B7" s="2278">
        <v>8018072.7800000003</v>
      </c>
      <c r="C7" s="2276">
        <v>1.87</v>
      </c>
      <c r="D7" s="2272">
        <v>2689381.077</v>
      </c>
      <c r="E7" s="2276">
        <v>3.36</v>
      </c>
      <c r="F7" s="2272">
        <v>16803508.66</v>
      </c>
      <c r="G7" s="2276">
        <v>4.9039999999999999</v>
      </c>
      <c r="H7" s="2272">
        <v>19492889.738000002</v>
      </c>
      <c r="I7" s="2276">
        <v>4.6890000000000001</v>
      </c>
      <c r="J7" s="2272">
        <v>743145.85800000001</v>
      </c>
      <c r="K7" s="2276">
        <v>5.51</v>
      </c>
      <c r="L7" s="2272">
        <v>231244.73499999999</v>
      </c>
      <c r="M7" s="2276">
        <v>5.65</v>
      </c>
      <c r="N7" s="2272">
        <v>26802169.949000001</v>
      </c>
      <c r="O7" s="2276">
        <v>0.94899999999999995</v>
      </c>
      <c r="P7" s="2272">
        <v>27776560.541999999</v>
      </c>
      <c r="Q7" s="2277">
        <v>1.1040000000000001</v>
      </c>
      <c r="R7" s="2274">
        <v>55287523.060000002</v>
      </c>
      <c r="S7" s="2277">
        <v>2.4531999999999998</v>
      </c>
      <c r="AD7" s="350"/>
      <c r="AE7" s="350"/>
    </row>
    <row r="8" spans="1:31" ht="24.95" customHeight="1">
      <c r="A8" s="321">
        <v>2017</v>
      </c>
      <c r="B8" s="2278">
        <v>7217783.1129999999</v>
      </c>
      <c r="C8" s="2276">
        <v>-9.98</v>
      </c>
      <c r="D8" s="2272">
        <v>2705512.8509999998</v>
      </c>
      <c r="E8" s="2276">
        <v>0.6</v>
      </c>
      <c r="F8" s="2272">
        <v>17169638.771000002</v>
      </c>
      <c r="G8" s="2276">
        <v>2.1789999999999998</v>
      </c>
      <c r="H8" s="2272">
        <v>19875151.622000001</v>
      </c>
      <c r="I8" s="2276">
        <v>1.9610000000000001</v>
      </c>
      <c r="J8" s="2272">
        <v>773420.40300000005</v>
      </c>
      <c r="K8" s="2276">
        <v>4.07</v>
      </c>
      <c r="L8" s="2272">
        <v>231031.894</v>
      </c>
      <c r="M8" s="2276">
        <v>-0.09</v>
      </c>
      <c r="N8" s="2272">
        <v>27516661.101</v>
      </c>
      <c r="O8" s="2276">
        <v>2.6659999999999999</v>
      </c>
      <c r="P8" s="2272">
        <v>28521113.397999998</v>
      </c>
      <c r="Q8" s="2277">
        <v>2.681</v>
      </c>
      <c r="R8" s="2274">
        <v>55614048.133000001</v>
      </c>
      <c r="S8" s="2277">
        <v>0.59060000000000001</v>
      </c>
      <c r="AD8" s="350"/>
      <c r="AE8" s="350"/>
    </row>
    <row r="9" spans="1:31" ht="24.95" customHeight="1">
      <c r="A9" s="321">
        <v>2018</v>
      </c>
      <c r="B9" s="2278">
        <v>7545899.142</v>
      </c>
      <c r="C9" s="2276">
        <v>4.55</v>
      </c>
      <c r="D9" s="2272">
        <v>2827258.0279999999</v>
      </c>
      <c r="E9" s="2276">
        <v>4.5</v>
      </c>
      <c r="F9" s="2272">
        <v>18254584.329999998</v>
      </c>
      <c r="G9" s="2276">
        <v>6.319</v>
      </c>
      <c r="H9" s="2272">
        <v>21081842.357000001</v>
      </c>
      <c r="I9" s="2276">
        <v>6.0709999999999997</v>
      </c>
      <c r="J9" s="2272">
        <v>826588.09699999995</v>
      </c>
      <c r="K9" s="2276">
        <v>6.87</v>
      </c>
      <c r="L9" s="2272">
        <v>198110.89199999999</v>
      </c>
      <c r="M9" s="2276">
        <v>-14.25</v>
      </c>
      <c r="N9" s="2272">
        <v>27565096.307999998</v>
      </c>
      <c r="O9" s="2276" t="s">
        <v>1060</v>
      </c>
      <c r="P9" s="2272">
        <v>28589795.296999998</v>
      </c>
      <c r="Q9" s="2277">
        <v>0.24099999999999999</v>
      </c>
      <c r="R9" s="2274">
        <v>57217536.795999996</v>
      </c>
      <c r="S9" s="2277">
        <v>2.8832</v>
      </c>
      <c r="AD9" s="350"/>
      <c r="AE9" s="350"/>
    </row>
    <row r="10" spans="1:31" ht="24.95" customHeight="1">
      <c r="A10" s="321">
        <v>2019</v>
      </c>
      <c r="B10" s="2278">
        <v>7380211.574</v>
      </c>
      <c r="C10" s="2276">
        <v>-2.2000000000000002</v>
      </c>
      <c r="D10" s="2272">
        <v>2824187.0060000001</v>
      </c>
      <c r="E10" s="2276">
        <v>-0.11</v>
      </c>
      <c r="F10" s="2272">
        <v>18132981.425999999</v>
      </c>
      <c r="G10" s="2276">
        <v>-0.66600000000000004</v>
      </c>
      <c r="H10" s="2272">
        <v>20957168.432</v>
      </c>
      <c r="I10" s="2276">
        <v>-0.59099999999999997</v>
      </c>
      <c r="J10" s="2272">
        <v>841435.10800000001</v>
      </c>
      <c r="K10" s="2276">
        <v>1.8</v>
      </c>
      <c r="L10" s="2272">
        <v>198146.27100000001</v>
      </c>
      <c r="M10" s="2276">
        <v>0.02</v>
      </c>
      <c r="N10" s="2272">
        <v>27179538.907000002</v>
      </c>
      <c r="O10" s="2276">
        <v>-1.399</v>
      </c>
      <c r="P10" s="2272">
        <v>28219120.287</v>
      </c>
      <c r="Q10" s="2277">
        <v>-1.2969999999999999</v>
      </c>
      <c r="R10" s="2274">
        <v>56556500.292000003</v>
      </c>
      <c r="S10" s="2277">
        <v>-1.1553</v>
      </c>
      <c r="AD10" s="350"/>
      <c r="AE10" s="350"/>
    </row>
    <row r="11" spans="1:31" ht="24.95" customHeight="1">
      <c r="A11" s="321">
        <v>2020</v>
      </c>
      <c r="B11" s="2278">
        <v>7978434.0520000001</v>
      </c>
      <c r="C11" s="2276">
        <v>8.11</v>
      </c>
      <c r="D11" s="2272">
        <v>2749595.423</v>
      </c>
      <c r="E11" s="2276">
        <v>-2.64</v>
      </c>
      <c r="F11" s="2272">
        <v>17811610.895</v>
      </c>
      <c r="G11" s="2276">
        <v>-1.772</v>
      </c>
      <c r="H11" s="2272">
        <v>20561206.318</v>
      </c>
      <c r="I11" s="2276">
        <v>-1.889</v>
      </c>
      <c r="J11" s="2272">
        <v>839686.82400000002</v>
      </c>
      <c r="K11" s="2276">
        <v>-0.21</v>
      </c>
      <c r="L11" s="2272">
        <v>202440.50200000001</v>
      </c>
      <c r="M11" s="2276">
        <v>2.17</v>
      </c>
      <c r="N11" s="2272">
        <v>26336810.513</v>
      </c>
      <c r="O11" s="2276">
        <v>-3.101</v>
      </c>
      <c r="P11" s="2272">
        <v>27378937.84</v>
      </c>
      <c r="Q11" s="2277">
        <v>-2.9769999999999999</v>
      </c>
      <c r="R11" s="2274">
        <v>55918578.210000001</v>
      </c>
      <c r="S11" s="2277">
        <v>-1.1278999999999999</v>
      </c>
      <c r="AD11" s="350"/>
      <c r="AE11" s="350"/>
    </row>
    <row r="12" spans="1:31" s="2136" customFormat="1" ht="24.95" customHeight="1">
      <c r="A12" s="321">
        <v>2021</v>
      </c>
      <c r="B12" s="2278">
        <v>8449618.6459999997</v>
      </c>
      <c r="C12" s="2276">
        <v>5.91</v>
      </c>
      <c r="D12" s="2272">
        <v>2872946.5720000002</v>
      </c>
      <c r="E12" s="2276">
        <v>4.49</v>
      </c>
      <c r="F12" s="2272">
        <v>17897334.524</v>
      </c>
      <c r="G12" s="2276">
        <v>0.48099999999999998</v>
      </c>
      <c r="H12" s="2272">
        <v>20770281.096000001</v>
      </c>
      <c r="I12" s="2276">
        <v>1.0169999999999999</v>
      </c>
      <c r="J12" s="2272">
        <v>867275.09499999997</v>
      </c>
      <c r="K12" s="2276">
        <v>3.29</v>
      </c>
      <c r="L12" s="2272">
        <v>230244.22899999999</v>
      </c>
      <c r="M12" s="2276">
        <v>13.73</v>
      </c>
      <c r="N12" s="2272">
        <v>27354068.462000001</v>
      </c>
      <c r="O12" s="2276">
        <v>3.8620000000000001</v>
      </c>
      <c r="P12" s="2272">
        <v>28451587.785999998</v>
      </c>
      <c r="Q12" s="2277">
        <v>3.9180000000000001</v>
      </c>
      <c r="R12" s="2274">
        <v>57671487.527999997</v>
      </c>
      <c r="S12" s="2277">
        <v>3.1347999999999998</v>
      </c>
      <c r="T12" s="2209"/>
      <c r="AD12" s="2281"/>
      <c r="AE12" s="2281"/>
    </row>
    <row r="13" spans="1:31" s="2136" customFormat="1" ht="24.95" customHeight="1">
      <c r="A13" s="321">
        <v>2022</v>
      </c>
      <c r="B13" s="2278">
        <v>9508017.2430000007</v>
      </c>
      <c r="C13" s="2276">
        <v>12.53</v>
      </c>
      <c r="D13" s="2272">
        <v>3286233.287</v>
      </c>
      <c r="E13" s="2276">
        <v>14.39</v>
      </c>
      <c r="F13" s="2272">
        <v>20501181.363000002</v>
      </c>
      <c r="G13" s="2276">
        <v>14.548999999999999</v>
      </c>
      <c r="H13" s="2272">
        <v>23787414.649999999</v>
      </c>
      <c r="I13" s="2276">
        <v>14.526</v>
      </c>
      <c r="J13" s="2272">
        <v>1115609.9129999999</v>
      </c>
      <c r="K13" s="2276">
        <v>28.63</v>
      </c>
      <c r="L13" s="2272">
        <v>247649.91099999999</v>
      </c>
      <c r="M13" s="2276">
        <v>7.56</v>
      </c>
      <c r="N13" s="2272">
        <v>31371392.500999998</v>
      </c>
      <c r="O13" s="2276">
        <v>14.686</v>
      </c>
      <c r="P13" s="2272">
        <v>32734652.324999999</v>
      </c>
      <c r="Q13" s="2277">
        <v>15.054</v>
      </c>
      <c r="R13" s="2274">
        <v>66030084.218000002</v>
      </c>
      <c r="S13" s="2277">
        <v>14.493499999999999</v>
      </c>
      <c r="T13" s="2209"/>
      <c r="AD13" s="2281"/>
      <c r="AE13" s="2281"/>
    </row>
    <row r="14" spans="1:31" s="2136" customFormat="1" ht="24.95" customHeight="1">
      <c r="A14" s="321">
        <v>2023</v>
      </c>
      <c r="B14" s="2278">
        <v>11939355.833000001</v>
      </c>
      <c r="C14" s="2276">
        <v>25.57</v>
      </c>
      <c r="D14" s="2272">
        <v>4139098.8769999999</v>
      </c>
      <c r="E14" s="2276">
        <v>25.95</v>
      </c>
      <c r="F14" s="2272">
        <v>25734856.528999999</v>
      </c>
      <c r="G14" s="2276">
        <v>25.529</v>
      </c>
      <c r="H14" s="2272">
        <v>29873955.405999999</v>
      </c>
      <c r="I14" s="2276">
        <v>25.587</v>
      </c>
      <c r="J14" s="2272">
        <v>1439815.7450000001</v>
      </c>
      <c r="K14" s="2276">
        <v>29.06</v>
      </c>
      <c r="L14" s="2272">
        <v>299776.04599999997</v>
      </c>
      <c r="M14" s="2276">
        <v>21.05</v>
      </c>
      <c r="N14" s="2272">
        <v>39872590.387000002</v>
      </c>
      <c r="O14" s="2276">
        <v>27.099</v>
      </c>
      <c r="P14" s="2272">
        <v>41612182.178000003</v>
      </c>
      <c r="Q14" s="2277">
        <v>27.12</v>
      </c>
      <c r="R14" s="2274">
        <v>83425493.416999996</v>
      </c>
      <c r="S14" s="2277">
        <v>26.3447</v>
      </c>
      <c r="T14" s="2209"/>
      <c r="AD14" s="2281"/>
      <c r="AE14" s="2281"/>
    </row>
    <row r="15" spans="1:31" ht="24.95" customHeight="1">
      <c r="A15" s="321">
        <v>2024</v>
      </c>
      <c r="B15" s="2278">
        <v>13223919.734999999</v>
      </c>
      <c r="C15" s="2276">
        <v>10.76</v>
      </c>
      <c r="D15" s="2272">
        <v>4445882.5449999999</v>
      </c>
      <c r="E15" s="2276">
        <v>7.41</v>
      </c>
      <c r="F15" s="2272">
        <v>27120557.114</v>
      </c>
      <c r="G15" s="2276">
        <v>5.3849999999999998</v>
      </c>
      <c r="H15" s="2272">
        <v>31566439.659000002</v>
      </c>
      <c r="I15" s="2276">
        <v>5.665</v>
      </c>
      <c r="J15" s="2272">
        <v>1596031.534</v>
      </c>
      <c r="K15" s="2276">
        <v>10.85</v>
      </c>
      <c r="L15" s="2272">
        <v>309897.54599999997</v>
      </c>
      <c r="M15" s="2276">
        <v>3.38</v>
      </c>
      <c r="N15" s="2272">
        <v>42883107.501999997</v>
      </c>
      <c r="O15" s="2276">
        <v>7.55</v>
      </c>
      <c r="P15" s="2272">
        <v>44789036.582999997</v>
      </c>
      <c r="Q15" s="2277">
        <v>7.6340000000000003</v>
      </c>
      <c r="R15" s="2274">
        <v>89579395.975999996</v>
      </c>
      <c r="S15" s="2277">
        <v>7.3765000000000001</v>
      </c>
      <c r="T15" s="2300"/>
      <c r="AD15" s="350"/>
      <c r="AE15" s="350"/>
    </row>
    <row r="16" spans="1:31" s="2136" customFormat="1" ht="24.95" customHeight="1">
      <c r="A16" s="1917">
        <v>2025</v>
      </c>
      <c r="B16" s="2283">
        <v>13619555.380999999</v>
      </c>
      <c r="C16" s="2284">
        <v>2.99</v>
      </c>
      <c r="D16" s="2285">
        <v>4699616.4419999998</v>
      </c>
      <c r="E16" s="2284">
        <v>5.71</v>
      </c>
      <c r="F16" s="2285">
        <v>27915355.684</v>
      </c>
      <c r="G16" s="2284">
        <v>2.931</v>
      </c>
      <c r="H16" s="2285">
        <v>32614972.125999998</v>
      </c>
      <c r="I16" s="2284">
        <v>3.3220000000000001</v>
      </c>
      <c r="J16" s="2285">
        <v>1747374.0330000001</v>
      </c>
      <c r="K16" s="2284">
        <v>9.48</v>
      </c>
      <c r="L16" s="2285">
        <v>304569.59100000001</v>
      </c>
      <c r="M16" s="2284">
        <v>-1.72</v>
      </c>
      <c r="N16" s="2285">
        <v>45317010.476000004</v>
      </c>
      <c r="O16" s="2284">
        <v>5.6760000000000002</v>
      </c>
      <c r="P16" s="2285">
        <v>47368954.100000001</v>
      </c>
      <c r="Q16" s="2286">
        <v>5.76</v>
      </c>
      <c r="R16" s="2287">
        <v>93603481.606999993</v>
      </c>
      <c r="S16" s="2286">
        <v>4.4922000000000004</v>
      </c>
      <c r="T16" s="2209"/>
      <c r="AD16" s="2281"/>
      <c r="AE16" s="2281"/>
    </row>
    <row r="17" spans="1:31" s="2136" customFormat="1" ht="24.95" customHeight="1">
      <c r="A17" s="1602" t="s">
        <v>828</v>
      </c>
      <c r="B17" s="2326">
        <v>4173381.662</v>
      </c>
      <c r="C17" s="2289">
        <v>3.77</v>
      </c>
      <c r="D17" s="2290">
        <v>1589005.942</v>
      </c>
      <c r="E17" s="2289">
        <v>5.88</v>
      </c>
      <c r="F17" s="2290">
        <v>9422667.3100000005</v>
      </c>
      <c r="G17" s="2289">
        <v>3.903</v>
      </c>
      <c r="H17" s="2290">
        <v>11011673.253</v>
      </c>
      <c r="I17" s="2289">
        <v>4.1840000000000002</v>
      </c>
      <c r="J17" s="2290">
        <v>614386.79700000002</v>
      </c>
      <c r="K17" s="2289">
        <v>11.33</v>
      </c>
      <c r="L17" s="2290">
        <v>102546.433</v>
      </c>
      <c r="M17" s="2289">
        <v>-1.82</v>
      </c>
      <c r="N17" s="2290">
        <v>14870381.060000001</v>
      </c>
      <c r="O17" s="2289">
        <v>6.4859999999999998</v>
      </c>
      <c r="P17" s="2290">
        <v>15587314.289999999</v>
      </c>
      <c r="Q17" s="2291">
        <v>6.61</v>
      </c>
      <c r="R17" s="2327">
        <v>30772369.204999998</v>
      </c>
      <c r="S17" s="2328">
        <v>5.3414999999999999</v>
      </c>
      <c r="T17" s="2209"/>
      <c r="AD17" s="2281"/>
      <c r="AE17" s="2281"/>
    </row>
    <row r="18" spans="1:31" s="2136" customFormat="1" ht="24.95" customHeight="1">
      <c r="A18" s="337">
        <v>2025.04</v>
      </c>
      <c r="B18" s="2329">
        <v>955720.38699999999</v>
      </c>
      <c r="C18" s="2293">
        <v>4.3499999999999996</v>
      </c>
      <c r="D18" s="2294">
        <v>333724.87099999998</v>
      </c>
      <c r="E18" s="2293">
        <v>7.03</v>
      </c>
      <c r="F18" s="2294">
        <v>1938317.713</v>
      </c>
      <c r="G18" s="2293">
        <v>4.2430000000000003</v>
      </c>
      <c r="H18" s="2294">
        <v>2272042.5839999998</v>
      </c>
      <c r="I18" s="2293">
        <v>4.6440000000000001</v>
      </c>
      <c r="J18" s="2294">
        <v>132836.44399999999</v>
      </c>
      <c r="K18" s="2293">
        <v>10.88</v>
      </c>
      <c r="L18" s="2294">
        <v>24716.203000000001</v>
      </c>
      <c r="M18" s="2293">
        <v>2.99</v>
      </c>
      <c r="N18" s="2294">
        <v>3483679.5430000001</v>
      </c>
      <c r="O18" s="2293">
        <v>9.5259999999999998</v>
      </c>
      <c r="P18" s="2294">
        <v>3641232.19</v>
      </c>
      <c r="Q18" s="2295">
        <v>9.5269999999999992</v>
      </c>
      <c r="R18" s="2330">
        <v>6868995.1610000003</v>
      </c>
      <c r="S18" s="2331">
        <v>7.1337000000000002</v>
      </c>
      <c r="T18" s="2209"/>
      <c r="AD18" s="2281"/>
      <c r="AE18" s="2281"/>
    </row>
    <row r="19" spans="1:31" s="2136" customFormat="1" ht="24.95" customHeight="1">
      <c r="A19" s="336">
        <v>2025.05</v>
      </c>
      <c r="B19" s="2278">
        <v>880497.995</v>
      </c>
      <c r="C19" s="2276">
        <v>5.42</v>
      </c>
      <c r="D19" s="2272">
        <v>302502.60800000001</v>
      </c>
      <c r="E19" s="2276">
        <v>1.69</v>
      </c>
      <c r="F19" s="2272">
        <v>1840811.1059999999</v>
      </c>
      <c r="G19" s="2276">
        <v>3.3820000000000001</v>
      </c>
      <c r="H19" s="2272">
        <v>2143313.7149999999</v>
      </c>
      <c r="I19" s="2276">
        <v>3.1389999999999998</v>
      </c>
      <c r="J19" s="2272">
        <v>118302.784</v>
      </c>
      <c r="K19" s="2276">
        <v>9.86</v>
      </c>
      <c r="L19" s="2272">
        <v>23108.977999999999</v>
      </c>
      <c r="M19" s="2276">
        <v>1.1000000000000001</v>
      </c>
      <c r="N19" s="2272">
        <v>3446660.946</v>
      </c>
      <c r="O19" s="2276">
        <v>8.8759999999999994</v>
      </c>
      <c r="P19" s="2272">
        <v>3588072.7089999998</v>
      </c>
      <c r="Q19" s="2279">
        <v>8.8539999999999992</v>
      </c>
      <c r="R19" s="2274">
        <v>6611884.4189999998</v>
      </c>
      <c r="S19" s="2277">
        <v>6.4797000000000002</v>
      </c>
      <c r="T19" s="2209"/>
      <c r="AD19" s="2281"/>
      <c r="AE19" s="2281"/>
    </row>
    <row r="20" spans="1:31" s="2136" customFormat="1" ht="24.95" customHeight="1">
      <c r="A20" s="336">
        <v>2025.06</v>
      </c>
      <c r="B20" s="2278">
        <v>965415.09699999995</v>
      </c>
      <c r="C20" s="2276">
        <v>5.37</v>
      </c>
      <c r="D20" s="2272">
        <v>366909.73800000001</v>
      </c>
      <c r="E20" s="2276">
        <v>5.92</v>
      </c>
      <c r="F20" s="2272">
        <v>2188449.773</v>
      </c>
      <c r="G20" s="2276">
        <v>2.9590000000000001</v>
      </c>
      <c r="H20" s="2272">
        <v>2555359.5109999999</v>
      </c>
      <c r="I20" s="2276">
        <v>3.3740000000000001</v>
      </c>
      <c r="J20" s="2272">
        <v>125665.25199999999</v>
      </c>
      <c r="K20" s="2276">
        <v>6.45</v>
      </c>
      <c r="L20" s="2272">
        <v>25654.819</v>
      </c>
      <c r="M20" s="2276">
        <v>-0.83</v>
      </c>
      <c r="N20" s="2272">
        <v>3904676.0320000001</v>
      </c>
      <c r="O20" s="2276">
        <v>8.9160000000000004</v>
      </c>
      <c r="P20" s="2272">
        <v>4055996.1039999998</v>
      </c>
      <c r="Q20" s="2279">
        <v>8.77</v>
      </c>
      <c r="R20" s="2274">
        <v>7576770.7120000003</v>
      </c>
      <c r="S20" s="2277">
        <v>6.4577</v>
      </c>
      <c r="T20" s="2209"/>
      <c r="AD20" s="2281"/>
      <c r="AE20" s="2281"/>
    </row>
    <row r="21" spans="1:31" s="2136" customFormat="1" ht="24.95" customHeight="1">
      <c r="A21" s="336">
        <v>2025.07</v>
      </c>
      <c r="B21" s="2278">
        <v>1312861.402</v>
      </c>
      <c r="C21" s="2276">
        <v>17.559999999999999</v>
      </c>
      <c r="D21" s="2272">
        <v>445589.93</v>
      </c>
      <c r="E21" s="2276">
        <v>9.2899999999999991</v>
      </c>
      <c r="F21" s="2272">
        <v>2686591.844</v>
      </c>
      <c r="G21" s="2276">
        <v>5.9690000000000003</v>
      </c>
      <c r="H21" s="2272">
        <v>3132181.7740000002</v>
      </c>
      <c r="I21" s="2276">
        <v>6.4290000000000003</v>
      </c>
      <c r="J21" s="2272">
        <v>139482.60500000001</v>
      </c>
      <c r="K21" s="2276">
        <v>15.8</v>
      </c>
      <c r="L21" s="2272">
        <v>27494.555</v>
      </c>
      <c r="M21" s="2276">
        <v>0.36</v>
      </c>
      <c r="N21" s="2272">
        <v>4270963.0140000004</v>
      </c>
      <c r="O21" s="2276">
        <v>9.0879999999999992</v>
      </c>
      <c r="P21" s="2272">
        <v>4437940.1739999996</v>
      </c>
      <c r="Q21" s="2279">
        <v>9.2279999999999998</v>
      </c>
      <c r="R21" s="2274">
        <v>8882983.3499999996</v>
      </c>
      <c r="S21" s="2277">
        <v>9.3600999999999992</v>
      </c>
      <c r="T21" s="2209"/>
      <c r="AD21" s="2281"/>
      <c r="AE21" s="2281"/>
    </row>
    <row r="22" spans="1:31" s="2136" customFormat="1" ht="24.95" customHeight="1">
      <c r="A22" s="336">
        <v>2025.08</v>
      </c>
      <c r="B22" s="2278">
        <v>1725433.578</v>
      </c>
      <c r="C22" s="2276">
        <v>1.62</v>
      </c>
      <c r="D22" s="2272">
        <v>468642.228</v>
      </c>
      <c r="E22" s="2276">
        <v>8.4</v>
      </c>
      <c r="F22" s="2272">
        <v>2857334.91</v>
      </c>
      <c r="G22" s="2276">
        <v>1.3759999999999999</v>
      </c>
      <c r="H22" s="2272">
        <v>3325977.1379999998</v>
      </c>
      <c r="I22" s="2276">
        <v>2.31</v>
      </c>
      <c r="J22" s="2272">
        <v>166318.53</v>
      </c>
      <c r="K22" s="2276">
        <v>7.81</v>
      </c>
      <c r="L22" s="2272">
        <v>25363.595000000001</v>
      </c>
      <c r="M22" s="2276">
        <v>-3.14</v>
      </c>
      <c r="N22" s="2272">
        <v>4127451.8190000001</v>
      </c>
      <c r="O22" s="2276">
        <v>6.5449999999999999</v>
      </c>
      <c r="P22" s="2272">
        <v>4319133.943</v>
      </c>
      <c r="Q22" s="2279">
        <v>6.5309999999999997</v>
      </c>
      <c r="R22" s="2274">
        <v>9370544.659</v>
      </c>
      <c r="S22" s="2277">
        <v>4.0804</v>
      </c>
      <c r="T22" s="2209"/>
      <c r="AD22" s="2281"/>
      <c r="AE22" s="2281"/>
    </row>
    <row r="23" spans="1:31" s="2136" customFormat="1" ht="24.95" customHeight="1">
      <c r="A23" s="336">
        <v>2025.09</v>
      </c>
      <c r="B23" s="2278">
        <v>1581337.588</v>
      </c>
      <c r="C23" s="2276">
        <v>-5.41</v>
      </c>
      <c r="D23" s="2272">
        <v>410800.65600000002</v>
      </c>
      <c r="E23" s="2276">
        <v>5.65</v>
      </c>
      <c r="F23" s="2272">
        <v>2465065.5219999999</v>
      </c>
      <c r="G23" s="2276">
        <v>1.468</v>
      </c>
      <c r="H23" s="2272">
        <v>2875866.1779999998</v>
      </c>
      <c r="I23" s="2276">
        <v>2.0449999999999999</v>
      </c>
      <c r="J23" s="2272">
        <v>162919.038</v>
      </c>
      <c r="K23" s="2276">
        <v>4.46</v>
      </c>
      <c r="L23" s="2272">
        <v>23866.489000000001</v>
      </c>
      <c r="M23" s="2276">
        <v>7.93</v>
      </c>
      <c r="N23" s="2272">
        <v>3701740.227</v>
      </c>
      <c r="O23" s="2276">
        <v>13.981</v>
      </c>
      <c r="P23" s="2272">
        <v>3888525.7540000002</v>
      </c>
      <c r="Q23" s="2279">
        <v>13.509</v>
      </c>
      <c r="R23" s="2274">
        <v>8345729.5190000003</v>
      </c>
      <c r="S23" s="2277">
        <v>5.4318999999999997</v>
      </c>
      <c r="T23" s="2209"/>
      <c r="AD23" s="2281"/>
      <c r="AE23" s="2281"/>
    </row>
    <row r="24" spans="1:31" s="2136" customFormat="1" ht="24.95" customHeight="1">
      <c r="A24" s="336">
        <v>2025.1</v>
      </c>
      <c r="B24" s="2278">
        <v>1014477.787</v>
      </c>
      <c r="C24" s="2276">
        <v>-7.08</v>
      </c>
      <c r="D24" s="2272">
        <v>321760.74599999998</v>
      </c>
      <c r="E24" s="2276">
        <v>4.0599999999999996</v>
      </c>
      <c r="F24" s="2272">
        <v>1926241.27</v>
      </c>
      <c r="G24" s="2276">
        <v>1.1120000000000001</v>
      </c>
      <c r="H24" s="2272">
        <v>2248002.0150000001</v>
      </c>
      <c r="I24" s="2276">
        <v>1.5229999999999999</v>
      </c>
      <c r="J24" s="2272">
        <v>125387.45</v>
      </c>
      <c r="K24" s="2276">
        <v>5.38</v>
      </c>
      <c r="L24" s="2272">
        <v>21009.626</v>
      </c>
      <c r="M24" s="2276">
        <v>-7.53</v>
      </c>
      <c r="N24" s="2272">
        <v>3300286.747</v>
      </c>
      <c r="O24" s="2276">
        <v>0.33700000000000002</v>
      </c>
      <c r="P24" s="2272">
        <v>3446683.8229999999</v>
      </c>
      <c r="Q24" s="2279">
        <v>0.46</v>
      </c>
      <c r="R24" s="2274">
        <v>6709163.625</v>
      </c>
      <c r="S24" s="2277">
        <v>-0.41170000000000001</v>
      </c>
      <c r="T24" s="2209"/>
      <c r="AD24" s="2281"/>
      <c r="AE24" s="2281"/>
    </row>
    <row r="25" spans="1:31" s="2136" customFormat="1" ht="24.95" customHeight="1">
      <c r="A25" s="336">
        <v>2025.11</v>
      </c>
      <c r="B25" s="2278">
        <v>954353.96</v>
      </c>
      <c r="C25" s="2276">
        <v>6.15</v>
      </c>
      <c r="D25" s="2272">
        <v>359862.68800000002</v>
      </c>
      <c r="E25" s="2276">
        <v>4.3899999999999997</v>
      </c>
      <c r="F25" s="2272">
        <v>2092821.4939999999</v>
      </c>
      <c r="G25" s="2276">
        <v>2.0680000000000001</v>
      </c>
      <c r="H25" s="2272">
        <v>2452684.182</v>
      </c>
      <c r="I25" s="2276">
        <v>2.4009999999999998</v>
      </c>
      <c r="J25" s="2272">
        <v>150307.486</v>
      </c>
      <c r="K25" s="2276">
        <v>11.44</v>
      </c>
      <c r="L25" s="2272">
        <v>26668.334999999999</v>
      </c>
      <c r="M25" s="2276">
        <v>-6.44</v>
      </c>
      <c r="N25" s="2272">
        <v>3738330.3489999999</v>
      </c>
      <c r="O25" s="2276">
        <v>-2.3029999999999999</v>
      </c>
      <c r="P25" s="2272">
        <v>3915306.17</v>
      </c>
      <c r="Q25" s="2279">
        <v>-1.8680000000000001</v>
      </c>
      <c r="R25" s="2274">
        <v>7322344.3119999999</v>
      </c>
      <c r="S25" s="2277">
        <v>0.52580000000000005</v>
      </c>
      <c r="T25" s="2209"/>
      <c r="AD25" s="2281"/>
      <c r="AE25" s="2281"/>
    </row>
    <row r="26" spans="1:31" s="2136" customFormat="1" ht="24.95" customHeight="1">
      <c r="A26" s="336">
        <v>2025.12</v>
      </c>
      <c r="B26" s="2278">
        <v>1011796.312</v>
      </c>
      <c r="C26" s="2276">
        <v>3.93</v>
      </c>
      <c r="D26" s="2272">
        <v>434541.90600000002</v>
      </c>
      <c r="E26" s="2276">
        <v>3.85</v>
      </c>
      <c r="F26" s="2272">
        <v>2435372.4539999999</v>
      </c>
      <c r="G26" s="2276">
        <v>1.177</v>
      </c>
      <c r="H26" s="2272">
        <v>2869914.36</v>
      </c>
      <c r="I26" s="2276">
        <v>1.573</v>
      </c>
      <c r="J26" s="2272">
        <v>144604.092</v>
      </c>
      <c r="K26" s="2276">
        <v>8</v>
      </c>
      <c r="L26" s="2272">
        <v>28856.758999999998</v>
      </c>
      <c r="M26" s="2276">
        <v>-3.18</v>
      </c>
      <c r="N26" s="2272">
        <v>3956520.281</v>
      </c>
      <c r="O26" s="2276">
        <v>-1.4670000000000001</v>
      </c>
      <c r="P26" s="2272">
        <v>4129981.1329999999</v>
      </c>
      <c r="Q26" s="2279">
        <v>-1.1759999999999999</v>
      </c>
      <c r="R26" s="2274">
        <v>8011691.8049999997</v>
      </c>
      <c r="S26" s="2277">
        <v>0.42059999999999997</v>
      </c>
      <c r="T26" s="2209"/>
      <c r="AD26" s="2281"/>
      <c r="AE26" s="2281"/>
    </row>
    <row r="27" spans="1:31" s="2136" customFormat="1" ht="24.95" customHeight="1">
      <c r="A27" s="337" t="s">
        <v>829</v>
      </c>
      <c r="B27" s="2329">
        <v>4251994.7070000004</v>
      </c>
      <c r="C27" s="2293">
        <v>1.88</v>
      </c>
      <c r="D27" s="2294">
        <v>1609943.422</v>
      </c>
      <c r="E27" s="2293">
        <v>1.32</v>
      </c>
      <c r="F27" s="2294">
        <v>9548050.2960000001</v>
      </c>
      <c r="G27" s="2293">
        <v>1.331</v>
      </c>
      <c r="H27" s="2294">
        <v>11157993.718</v>
      </c>
      <c r="I27" s="2293">
        <v>1.329</v>
      </c>
      <c r="J27" s="2294">
        <v>622269.15500000003</v>
      </c>
      <c r="K27" s="2293">
        <v>1.28</v>
      </c>
      <c r="L27" s="2294">
        <v>98090.816000000006</v>
      </c>
      <c r="M27" s="2293">
        <v>-4.34</v>
      </c>
      <c r="N27" s="2294">
        <v>14499864.509</v>
      </c>
      <c r="O27" s="2293">
        <v>-2.492</v>
      </c>
      <c r="P27" s="2294">
        <v>15220224.479</v>
      </c>
      <c r="Q27" s="2295">
        <v>-2.355</v>
      </c>
      <c r="R27" s="2330">
        <v>30630212.903999999</v>
      </c>
      <c r="S27" s="2331">
        <v>-0.46200000000000002</v>
      </c>
      <c r="T27" s="2209"/>
      <c r="AD27" s="2281"/>
      <c r="AE27" s="2281"/>
    </row>
    <row r="28" spans="1:31" s="2136" customFormat="1" ht="24.95" customHeight="1">
      <c r="A28" s="337">
        <v>2026.01</v>
      </c>
      <c r="B28" s="2329">
        <v>1173118.8740000001</v>
      </c>
      <c r="C28" s="2293">
        <v>3.91</v>
      </c>
      <c r="D28" s="2294">
        <v>469420.06099999999</v>
      </c>
      <c r="E28" s="2293">
        <v>4.76</v>
      </c>
      <c r="F28" s="2294">
        <v>2751372.3220000002</v>
      </c>
      <c r="G28" s="2293">
        <v>3.5390000000000001</v>
      </c>
      <c r="H28" s="2294">
        <v>3220792.3829999999</v>
      </c>
      <c r="I28" s="2293">
        <v>3.7149999999999999</v>
      </c>
      <c r="J28" s="2294">
        <v>170227.31599999999</v>
      </c>
      <c r="K28" s="2293">
        <v>4.1399999999999997</v>
      </c>
      <c r="L28" s="2294">
        <v>27499.481</v>
      </c>
      <c r="M28" s="2293">
        <v>0.97</v>
      </c>
      <c r="N28" s="2294">
        <v>4024239.5950000002</v>
      </c>
      <c r="O28" s="2293">
        <v>0.81499999999999995</v>
      </c>
      <c r="P28" s="2294">
        <v>4221966.392</v>
      </c>
      <c r="Q28" s="2295">
        <v>0.94599999999999995</v>
      </c>
      <c r="R28" s="2330">
        <v>8615877.648</v>
      </c>
      <c r="S28" s="2331">
        <v>2.3656999999999999</v>
      </c>
      <c r="T28" s="2209"/>
      <c r="AD28" s="2281"/>
      <c r="AE28" s="2281"/>
    </row>
    <row r="29" spans="1:31" s="2136" customFormat="1" ht="24.95" customHeight="1">
      <c r="A29" s="336">
        <v>2026.02</v>
      </c>
      <c r="B29" s="2278">
        <v>1178634.831</v>
      </c>
      <c r="C29" s="2276">
        <v>2.69</v>
      </c>
      <c r="D29" s="2272">
        <v>441428.54599999997</v>
      </c>
      <c r="E29" s="2276">
        <v>2.66</v>
      </c>
      <c r="F29" s="2272">
        <v>2708579.821</v>
      </c>
      <c r="G29" s="2276">
        <v>2.5470000000000002</v>
      </c>
      <c r="H29" s="2272">
        <v>3150008.3670000001</v>
      </c>
      <c r="I29" s="2276">
        <v>2.5630000000000002</v>
      </c>
      <c r="J29" s="2272">
        <v>178361.372</v>
      </c>
      <c r="K29" s="2276">
        <v>3.19</v>
      </c>
      <c r="L29" s="2272">
        <v>24552.945</v>
      </c>
      <c r="M29" s="2276">
        <v>-6.3</v>
      </c>
      <c r="N29" s="2272">
        <v>3665580.1</v>
      </c>
      <c r="O29" s="2276">
        <v>-3.6230000000000002</v>
      </c>
      <c r="P29" s="2272">
        <v>3868494.4160000002</v>
      </c>
      <c r="Q29" s="2279">
        <v>-3.3460000000000001</v>
      </c>
      <c r="R29" s="2274">
        <v>8197137.6140000001</v>
      </c>
      <c r="S29" s="2277">
        <v>-0.29659999999999997</v>
      </c>
      <c r="T29" s="2209"/>
      <c r="AD29" s="2281"/>
      <c r="AE29" s="2281"/>
    </row>
    <row r="30" spans="1:31" s="2136" customFormat="1" ht="24.95" customHeight="1">
      <c r="A30" s="336">
        <v>2026.03</v>
      </c>
      <c r="B30" s="2278">
        <v>939240.70400000003</v>
      </c>
      <c r="C30" s="2276">
        <v>-0.18</v>
      </c>
      <c r="D30" s="2272">
        <v>370265.00099999999</v>
      </c>
      <c r="E30" s="2276">
        <v>-1.84</v>
      </c>
      <c r="F30" s="2272">
        <v>2124921.497</v>
      </c>
      <c r="G30" s="2276">
        <v>-2.782</v>
      </c>
      <c r="H30" s="2272">
        <v>2495186.4980000001</v>
      </c>
      <c r="I30" s="2276">
        <v>-2.6429999999999998</v>
      </c>
      <c r="J30" s="2272">
        <v>143096.87400000001</v>
      </c>
      <c r="K30" s="2276">
        <v>-1.48</v>
      </c>
      <c r="L30" s="2272">
        <v>22846.626</v>
      </c>
      <c r="M30" s="2276">
        <v>-6.33</v>
      </c>
      <c r="N30" s="2272">
        <v>3400504.196</v>
      </c>
      <c r="O30" s="2276">
        <v>-5.3209999999999997</v>
      </c>
      <c r="P30" s="2272">
        <v>3566447.6970000002</v>
      </c>
      <c r="Q30" s="2279">
        <v>-5.1790000000000003</v>
      </c>
      <c r="R30" s="2274">
        <v>7000874.8990000002</v>
      </c>
      <c r="S30" s="2277">
        <v>-3.6368999999999998</v>
      </c>
      <c r="T30" s="2209"/>
      <c r="AD30" s="2281"/>
      <c r="AE30" s="2281"/>
    </row>
    <row r="31" spans="1:31" s="2136" customFormat="1" ht="24.95" customHeight="1">
      <c r="A31" s="338">
        <v>2026.04</v>
      </c>
      <c r="B31" s="2332">
        <v>961000.29799999995</v>
      </c>
      <c r="C31" s="2297">
        <v>0.55000000000000004</v>
      </c>
      <c r="D31" s="2298">
        <v>328829.815</v>
      </c>
      <c r="E31" s="2297">
        <v>-1.47</v>
      </c>
      <c r="F31" s="2298">
        <v>1963176.655</v>
      </c>
      <c r="G31" s="2297">
        <v>1.2829999999999999</v>
      </c>
      <c r="H31" s="2298">
        <v>2292006.4700000002</v>
      </c>
      <c r="I31" s="2297">
        <v>0.879</v>
      </c>
      <c r="J31" s="2298">
        <v>130583.594</v>
      </c>
      <c r="K31" s="2297">
        <v>-1.7</v>
      </c>
      <c r="L31" s="2298">
        <v>23191.762999999999</v>
      </c>
      <c r="M31" s="2297">
        <v>-6.17</v>
      </c>
      <c r="N31" s="2298">
        <v>3409540.6170000001</v>
      </c>
      <c r="O31" s="2297">
        <v>-2.1280000000000001</v>
      </c>
      <c r="P31" s="2298">
        <v>3563315.9750000001</v>
      </c>
      <c r="Q31" s="2299">
        <v>-2.14</v>
      </c>
      <c r="R31" s="2333">
        <v>6816322.7429999998</v>
      </c>
      <c r="S31" s="2334">
        <v>-0.76680000000000004</v>
      </c>
      <c r="T31" s="2209"/>
      <c r="AD31" s="2281"/>
      <c r="AE31" s="2281"/>
    </row>
    <row r="32" spans="1:31" s="2136" customFormat="1" ht="3" customHeight="1">
      <c r="A32" s="1266"/>
      <c r="B32" s="2269"/>
      <c r="C32" s="2335"/>
      <c r="D32" s="2269"/>
      <c r="E32" s="2335"/>
      <c r="F32" s="2269"/>
      <c r="G32" s="2335"/>
      <c r="H32" s="2269"/>
      <c r="I32" s="2335"/>
      <c r="J32" s="2269"/>
      <c r="K32" s="2335"/>
      <c r="L32" s="2269"/>
      <c r="M32" s="2335"/>
      <c r="N32" s="2269"/>
      <c r="O32" s="2335"/>
      <c r="P32" s="2269"/>
      <c r="Q32" s="2335"/>
      <c r="R32" s="2269"/>
      <c r="S32" s="2335"/>
      <c r="T32" s="2209"/>
      <c r="AD32" s="2281"/>
      <c r="AE32" s="2281"/>
    </row>
    <row r="33" spans="1:19" ht="10.5" customHeight="1">
      <c r="A33" s="438" t="s">
        <v>1198</v>
      </c>
      <c r="J33" s="438" t="s">
        <v>1205</v>
      </c>
    </row>
    <row r="34" spans="1:19" ht="13.5" customHeight="1">
      <c r="A34" s="438" t="s">
        <v>1199</v>
      </c>
    </row>
    <row r="35" spans="1:19" s="349" customFormat="1" ht="11.25" customHeight="1">
      <c r="A35" s="615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P35" s="271"/>
      <c r="Q35" s="271"/>
      <c r="R35" s="627"/>
      <c r="S35" s="282"/>
    </row>
    <row r="36" spans="1:19" s="349" customFormat="1" ht="13.5" customHeight="1"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P36" s="271"/>
      <c r="Q36" s="271"/>
      <c r="R36" s="627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0" orientation="portrait" useFirstPageNumber="1" r:id="rId1"/>
  <headerFooter differentOddEven="1" scaleWithDoc="0" alignWithMargins="0"/>
  <colBreaks count="1" manualBreakCount="1">
    <brk id="9" max="33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2110-DBE4-46E6-89D9-6B652EAE1997}">
  <sheetPr>
    <tabColor rgb="FF00B050"/>
  </sheetPr>
  <dimension ref="A1:V35"/>
  <sheetViews>
    <sheetView showGridLines="0" view="pageBreakPreview" zoomScale="106" zoomScaleNormal="100" zoomScaleSheetLayoutView="106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0.5" style="271" customWidth="1"/>
    <col min="2" max="19" width="9.25" style="271" customWidth="1"/>
    <col min="20" max="20" width="10.5" style="271" customWidth="1"/>
    <col min="21" max="16384" width="7.875" style="271"/>
  </cols>
  <sheetData>
    <row r="1" spans="1:22" ht="20.25" customHeight="1">
      <c r="A1" s="2125" t="s">
        <v>1206</v>
      </c>
      <c r="B1" s="1116"/>
      <c r="C1" s="1116"/>
    </row>
    <row r="2" spans="1:22" s="274" customFormat="1" ht="17.25" customHeight="1">
      <c r="A2" s="274" t="s">
        <v>1207</v>
      </c>
      <c r="B2" s="1116"/>
      <c r="C2" s="1116"/>
      <c r="N2" s="996"/>
    </row>
    <row r="3" spans="1:22" ht="13.5" customHeight="1">
      <c r="A3" s="1116"/>
      <c r="B3" s="1116"/>
      <c r="C3" s="111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438"/>
      <c r="Q3" s="346"/>
      <c r="R3" s="438"/>
      <c r="S3" s="346"/>
      <c r="T3" s="1388" t="s">
        <v>1208</v>
      </c>
    </row>
    <row r="4" spans="1:22" s="272" customFormat="1" ht="39.950000000000003" customHeight="1">
      <c r="A4" s="2173" t="s">
        <v>844</v>
      </c>
      <c r="B4" s="2174" t="s">
        <v>1209</v>
      </c>
      <c r="C4" s="2237" t="s">
        <v>1210</v>
      </c>
      <c r="D4" s="2237" t="s">
        <v>1211</v>
      </c>
      <c r="E4" s="2237" t="s">
        <v>1212</v>
      </c>
      <c r="F4" s="2237" t="s">
        <v>1213</v>
      </c>
      <c r="G4" s="2237" t="s">
        <v>1214</v>
      </c>
      <c r="H4" s="2237" t="s">
        <v>1215</v>
      </c>
      <c r="I4" s="2237" t="s">
        <v>1216</v>
      </c>
      <c r="J4" s="2237" t="s">
        <v>1217</v>
      </c>
      <c r="K4" s="2237" t="s">
        <v>1218</v>
      </c>
      <c r="L4" s="2237" t="s">
        <v>1219</v>
      </c>
      <c r="M4" s="2237" t="s">
        <v>1220</v>
      </c>
      <c r="N4" s="2237" t="s">
        <v>1221</v>
      </c>
      <c r="O4" s="2237" t="s">
        <v>1222</v>
      </c>
      <c r="P4" s="2237" t="s">
        <v>1223</v>
      </c>
      <c r="Q4" s="1788" t="s">
        <v>1224</v>
      </c>
      <c r="R4" s="2237" t="s">
        <v>1225</v>
      </c>
      <c r="S4" s="2237" t="s">
        <v>1226</v>
      </c>
      <c r="T4" s="2336" t="s">
        <v>1227</v>
      </c>
    </row>
    <row r="5" spans="1:22" ht="24.75" customHeight="1">
      <c r="A5" s="2337">
        <v>2015</v>
      </c>
      <c r="B5" s="2129">
        <v>45381483.836000003</v>
      </c>
      <c r="C5" s="2130">
        <v>20002306.756999999</v>
      </c>
      <c r="D5" s="2130">
        <v>14947708.243000001</v>
      </c>
      <c r="E5" s="2130">
        <v>23211766.079999998</v>
      </c>
      <c r="F5" s="2130">
        <v>8333872.5109999999</v>
      </c>
      <c r="G5" s="2130">
        <v>9182737.2210000008</v>
      </c>
      <c r="H5" s="2130">
        <v>30286139.754999999</v>
      </c>
      <c r="I5" s="2130">
        <v>2641139.3840000001</v>
      </c>
      <c r="J5" s="2130">
        <v>105048003.086</v>
      </c>
      <c r="K5" s="2130">
        <v>16206617.922</v>
      </c>
      <c r="L5" s="2130">
        <v>22949032</v>
      </c>
      <c r="M5" s="2130">
        <v>47286061.579000004</v>
      </c>
      <c r="N5" s="2130">
        <v>22086859.798</v>
      </c>
      <c r="O5" s="2130">
        <v>32637829.25</v>
      </c>
      <c r="P5" s="2130">
        <v>44956836.138999999</v>
      </c>
      <c r="Q5" s="2214">
        <v>33876325.144000001</v>
      </c>
      <c r="R5" s="2130">
        <v>4429553.2180000003</v>
      </c>
      <c r="S5" s="2130" t="s">
        <v>133</v>
      </c>
      <c r="T5" s="2338">
        <v>483654815.68800002</v>
      </c>
    </row>
    <row r="6" spans="1:22" ht="24.75" customHeight="1">
      <c r="A6" s="321">
        <v>2016</v>
      </c>
      <c r="B6" s="2129">
        <v>46493233.513999999</v>
      </c>
      <c r="C6" s="2130">
        <v>20467093.004999999</v>
      </c>
      <c r="D6" s="2130">
        <v>15268113.945</v>
      </c>
      <c r="E6" s="2130">
        <v>23875856.840999998</v>
      </c>
      <c r="F6" s="2130">
        <v>8558369.0960000008</v>
      </c>
      <c r="G6" s="2130">
        <v>9379632.8460000008</v>
      </c>
      <c r="H6" s="2130">
        <v>32095216.598000001</v>
      </c>
      <c r="I6" s="2130">
        <v>2801868.69</v>
      </c>
      <c r="J6" s="2130">
        <v>109403901.147</v>
      </c>
      <c r="K6" s="2130">
        <v>16498768.267999999</v>
      </c>
      <c r="L6" s="2130">
        <v>24008862.796999998</v>
      </c>
      <c r="M6" s="2130">
        <v>48453931.354999997</v>
      </c>
      <c r="N6" s="2130">
        <v>22733494.577</v>
      </c>
      <c r="O6" s="2130">
        <v>33096901.635000002</v>
      </c>
      <c r="P6" s="2130">
        <v>44647502.968999997</v>
      </c>
      <c r="Q6" s="2214">
        <v>34497476.623000003</v>
      </c>
      <c r="R6" s="2130">
        <v>4738201.4539999999</v>
      </c>
      <c r="S6" s="2130" t="s">
        <v>133</v>
      </c>
      <c r="T6" s="2338">
        <v>497038903.93099999</v>
      </c>
    </row>
    <row r="7" spans="1:22" ht="24.75" customHeight="1">
      <c r="A7" s="321">
        <v>2017</v>
      </c>
      <c r="B7" s="2129">
        <v>46298157.924000002</v>
      </c>
      <c r="C7" s="2129">
        <v>21007357.905999999</v>
      </c>
      <c r="D7" s="2129">
        <v>15386371.626</v>
      </c>
      <c r="E7" s="2129">
        <v>24515313.318</v>
      </c>
      <c r="F7" s="2129">
        <v>8683648.5240000002</v>
      </c>
      <c r="G7" s="2129">
        <v>9423804.0580000002</v>
      </c>
      <c r="H7" s="2129">
        <v>31609849.693</v>
      </c>
      <c r="I7" s="2130">
        <v>2918758.1889999998</v>
      </c>
      <c r="J7" s="2130">
        <v>114847859.17299999</v>
      </c>
      <c r="K7" s="2130">
        <v>16552913.937000001</v>
      </c>
      <c r="L7" s="2129">
        <v>24843398.447999999</v>
      </c>
      <c r="M7" s="2129">
        <v>50180209.075999998</v>
      </c>
      <c r="N7" s="2129">
        <v>22799647.085999999</v>
      </c>
      <c r="O7" s="2129">
        <v>33562076.115000002</v>
      </c>
      <c r="P7" s="2129">
        <v>45455612.425999999</v>
      </c>
      <c r="Q7" s="682">
        <v>34647863.920999996</v>
      </c>
      <c r="R7" s="2130">
        <v>5013544.6909999996</v>
      </c>
      <c r="S7" s="2130" t="s">
        <v>133</v>
      </c>
      <c r="T7" s="2338">
        <v>507746386.111</v>
      </c>
    </row>
    <row r="8" spans="1:22" ht="24.75" customHeight="1">
      <c r="A8" s="321">
        <v>2018</v>
      </c>
      <c r="B8" s="2129">
        <v>47810210.174999997</v>
      </c>
      <c r="C8" s="2129">
        <v>21216605.078000002</v>
      </c>
      <c r="D8" s="2129">
        <v>15675749.426999999</v>
      </c>
      <c r="E8" s="2129">
        <v>24921925.852000002</v>
      </c>
      <c r="F8" s="2129">
        <v>8773811.2339999992</v>
      </c>
      <c r="G8" s="2129">
        <v>9648827.4839999992</v>
      </c>
      <c r="H8" s="2129">
        <v>33748169.232000001</v>
      </c>
      <c r="I8" s="2130">
        <v>3087692.6030000001</v>
      </c>
      <c r="J8" s="2130">
        <v>122695954.153</v>
      </c>
      <c r="K8" s="2130">
        <v>16845836.072999999</v>
      </c>
      <c r="L8" s="2129">
        <v>26239894.791000001</v>
      </c>
      <c r="M8" s="2129">
        <v>52012704.696999997</v>
      </c>
      <c r="N8" s="2129">
        <v>22961959.142999999</v>
      </c>
      <c r="O8" s="2129">
        <v>34118387.814000003</v>
      </c>
      <c r="P8" s="2129">
        <v>45958814.484999999</v>
      </c>
      <c r="Q8" s="682">
        <v>35158610.100000001</v>
      </c>
      <c r="R8" s="2130">
        <v>5272603.9050000003</v>
      </c>
      <c r="S8" s="2130" t="s">
        <v>133</v>
      </c>
      <c r="T8" s="2338">
        <v>526149161.727</v>
      </c>
    </row>
    <row r="9" spans="1:22" ht="24.75" customHeight="1">
      <c r="A9" s="321">
        <v>2019</v>
      </c>
      <c r="B9" s="2129">
        <v>47167206.321999997</v>
      </c>
      <c r="C9" s="2129">
        <v>20802409.776999999</v>
      </c>
      <c r="D9" s="2129">
        <v>15265584.668</v>
      </c>
      <c r="E9" s="2129">
        <v>24280689.532000002</v>
      </c>
      <c r="F9" s="2129">
        <v>8603296.9969999995</v>
      </c>
      <c r="G9" s="2129">
        <v>9415699.3589999992</v>
      </c>
      <c r="H9" s="2129">
        <v>34138998.538000003</v>
      </c>
      <c r="I9" s="2130">
        <v>3226179.08</v>
      </c>
      <c r="J9" s="2130">
        <v>123022307.212</v>
      </c>
      <c r="K9" s="2130">
        <v>16368274.578</v>
      </c>
      <c r="L9" s="2129">
        <v>26732302.723000001</v>
      </c>
      <c r="M9" s="2129">
        <v>52644853.553999998</v>
      </c>
      <c r="N9" s="2129">
        <v>22280692.537999999</v>
      </c>
      <c r="O9" s="2129">
        <v>32385387.875</v>
      </c>
      <c r="P9" s="2129">
        <v>44314767.43</v>
      </c>
      <c r="Q9" s="682">
        <v>34472017.387999997</v>
      </c>
      <c r="R9" s="2130">
        <v>5374284.6210000003</v>
      </c>
      <c r="S9" s="2130" t="s">
        <v>133</v>
      </c>
      <c r="T9" s="2338">
        <v>520498737.72600001</v>
      </c>
    </row>
    <row r="10" spans="1:22" ht="24.75" customHeight="1">
      <c r="A10" s="321">
        <v>2020</v>
      </c>
      <c r="B10" s="2180">
        <v>45787926.023000002</v>
      </c>
      <c r="C10" s="2130">
        <v>20503969.144000001</v>
      </c>
      <c r="D10" s="2130">
        <v>14758568.460000001</v>
      </c>
      <c r="E10" s="2130">
        <v>23638582.596999999</v>
      </c>
      <c r="F10" s="2130">
        <v>8531108.2559999991</v>
      </c>
      <c r="G10" s="2130">
        <v>9405220.7489999998</v>
      </c>
      <c r="H10" s="2130">
        <v>33157834.460000001</v>
      </c>
      <c r="I10" s="2130">
        <v>3393222.554</v>
      </c>
      <c r="J10" s="2130">
        <v>124688963.67900001</v>
      </c>
      <c r="K10" s="2130">
        <v>16120066.841</v>
      </c>
      <c r="L10" s="2130">
        <v>26901894.48</v>
      </c>
      <c r="M10" s="2130">
        <v>50422732.359999999</v>
      </c>
      <c r="N10" s="2130">
        <v>20538911.574000001</v>
      </c>
      <c r="O10" s="2130">
        <v>30973974.635000002</v>
      </c>
      <c r="P10" s="2130">
        <v>41001626.604000002</v>
      </c>
      <c r="Q10" s="2130">
        <v>34069974.245999999</v>
      </c>
      <c r="R10" s="2130">
        <v>5373287.6349999998</v>
      </c>
      <c r="S10" s="1588" t="s">
        <v>133</v>
      </c>
      <c r="T10" s="2339">
        <v>509269715.19700003</v>
      </c>
    </row>
    <row r="11" spans="1:22" ht="24.75" customHeight="1">
      <c r="A11" s="321">
        <v>2021</v>
      </c>
      <c r="B11" s="2129">
        <v>47295806.686999999</v>
      </c>
      <c r="C11" s="2129">
        <v>21067833.25</v>
      </c>
      <c r="D11" s="2129">
        <v>15443948.851</v>
      </c>
      <c r="E11" s="2129">
        <v>24901194.390000001</v>
      </c>
      <c r="F11" s="2129">
        <v>8973446.523</v>
      </c>
      <c r="G11" s="2129">
        <v>9748620.6779999994</v>
      </c>
      <c r="H11" s="2129">
        <v>33593122.987000003</v>
      </c>
      <c r="I11" s="2130">
        <v>4295362.6849999996</v>
      </c>
      <c r="J11" s="2130">
        <v>133445948.11499999</v>
      </c>
      <c r="K11" s="2130">
        <v>16808005.646000002</v>
      </c>
      <c r="L11" s="2129">
        <v>28402062.631000001</v>
      </c>
      <c r="M11" s="2129">
        <v>48801625.850000001</v>
      </c>
      <c r="N11" s="2129">
        <v>21486860.693</v>
      </c>
      <c r="O11" s="2129">
        <v>33486886.16</v>
      </c>
      <c r="P11" s="2129">
        <v>44258296.597000003</v>
      </c>
      <c r="Q11" s="682">
        <v>35734059.494000003</v>
      </c>
      <c r="R11" s="2130">
        <v>5687729.6210000003</v>
      </c>
      <c r="S11" s="2130" t="s">
        <v>133</v>
      </c>
      <c r="T11" s="2338">
        <v>533430810.85799998</v>
      </c>
    </row>
    <row r="12" spans="1:22" ht="24.75" customHeight="1">
      <c r="A12" s="321">
        <v>2022</v>
      </c>
      <c r="B12" s="2129">
        <v>48788677.386</v>
      </c>
      <c r="C12" s="2129">
        <v>21493647.967999998</v>
      </c>
      <c r="D12" s="2129">
        <v>16039260.228</v>
      </c>
      <c r="E12" s="2129">
        <v>25506863.978</v>
      </c>
      <c r="F12" s="2129">
        <v>9116870.7219999991</v>
      </c>
      <c r="G12" s="2129">
        <v>10016877.129000001</v>
      </c>
      <c r="H12" s="2129">
        <v>32919180.715999998</v>
      </c>
      <c r="I12" s="2130">
        <v>3182079.2880000002</v>
      </c>
      <c r="J12" s="2130">
        <v>140531011.87</v>
      </c>
      <c r="K12" s="2130">
        <v>17325520.416000001</v>
      </c>
      <c r="L12" s="2129">
        <v>29412226.655000001</v>
      </c>
      <c r="M12" s="2129">
        <v>50259638.115999997</v>
      </c>
      <c r="N12" s="2129">
        <v>21838473.954</v>
      </c>
      <c r="O12" s="2129">
        <v>34665104.612000003</v>
      </c>
      <c r="P12" s="2129">
        <v>44601033.372000001</v>
      </c>
      <c r="Q12" s="682">
        <v>36190919.774999999</v>
      </c>
      <c r="R12" s="2130">
        <v>6045356.0279999999</v>
      </c>
      <c r="S12" s="2130" t="s">
        <v>133</v>
      </c>
      <c r="T12" s="2338">
        <v>547932742.21300006</v>
      </c>
    </row>
    <row r="13" spans="1:22" ht="24.75" customHeight="1">
      <c r="A13" s="321">
        <v>2023</v>
      </c>
      <c r="B13" s="2129">
        <v>49218955.892999999</v>
      </c>
      <c r="C13" s="2129">
        <v>21555665.142999999</v>
      </c>
      <c r="D13" s="2129">
        <v>16288849.613</v>
      </c>
      <c r="E13" s="2129">
        <v>25875668.590999998</v>
      </c>
      <c r="F13" s="2129">
        <v>9083242.1679999996</v>
      </c>
      <c r="G13" s="2129">
        <v>9922139.1329999994</v>
      </c>
      <c r="H13" s="2129">
        <v>31826126.695</v>
      </c>
      <c r="I13" s="2130">
        <v>3935499.9180000001</v>
      </c>
      <c r="J13" s="2130">
        <v>140312047.134</v>
      </c>
      <c r="K13" s="2130">
        <v>17114657.318999998</v>
      </c>
      <c r="L13" s="2129">
        <v>29450797.311000001</v>
      </c>
      <c r="M13" s="2129">
        <v>49626734.252999999</v>
      </c>
      <c r="N13" s="2129">
        <v>21443447.686000001</v>
      </c>
      <c r="O13" s="2129">
        <v>33984865.689000003</v>
      </c>
      <c r="P13" s="2129">
        <v>43897599.809</v>
      </c>
      <c r="Q13" s="682">
        <v>36351795.754000001</v>
      </c>
      <c r="R13" s="2130">
        <v>6077863.2410000004</v>
      </c>
      <c r="S13" s="1588" t="s">
        <v>133</v>
      </c>
      <c r="T13" s="2338">
        <v>545965955.35000002</v>
      </c>
    </row>
    <row r="14" spans="1:22" ht="24.75" customHeight="1">
      <c r="A14" s="321">
        <v>2024</v>
      </c>
      <c r="B14" s="2129">
        <v>50351994.210000001</v>
      </c>
      <c r="C14" s="2129">
        <v>21851299.982000001</v>
      </c>
      <c r="D14" s="2129">
        <v>16746899.098999999</v>
      </c>
      <c r="E14" s="2129">
        <v>25964394.539999999</v>
      </c>
      <c r="F14" s="2129">
        <v>9343347.7819999997</v>
      </c>
      <c r="G14" s="2129">
        <v>10169884.217</v>
      </c>
      <c r="H14" s="2129">
        <v>31919080.791999999</v>
      </c>
      <c r="I14" s="2130">
        <v>4151675.8289999999</v>
      </c>
      <c r="J14" s="2130">
        <v>143301641.199</v>
      </c>
      <c r="K14" s="2130">
        <v>16688343.262</v>
      </c>
      <c r="L14" s="2129">
        <v>27567058.048</v>
      </c>
      <c r="M14" s="2129">
        <v>50036919.773999996</v>
      </c>
      <c r="N14" s="2129">
        <v>21640147.094999999</v>
      </c>
      <c r="O14" s="2129">
        <v>33580743.729999997</v>
      </c>
      <c r="P14" s="2129">
        <v>43732809.119000003</v>
      </c>
      <c r="Q14" s="682">
        <v>36577869.844999999</v>
      </c>
      <c r="R14" s="2130">
        <v>6196556.3049999997</v>
      </c>
      <c r="S14" s="2340" t="s">
        <v>133</v>
      </c>
      <c r="T14" s="2338">
        <v>549820664.82799995</v>
      </c>
    </row>
    <row r="15" spans="1:22" s="2136" customFormat="1" ht="24.75" customHeight="1">
      <c r="A15" s="1917">
        <v>2025</v>
      </c>
      <c r="B15" s="2341">
        <v>51137877.258000001</v>
      </c>
      <c r="C15" s="2311">
        <v>22099968.489</v>
      </c>
      <c r="D15" s="2311">
        <v>16726373.359999999</v>
      </c>
      <c r="E15" s="2311">
        <v>26344736.030000001</v>
      </c>
      <c r="F15" s="2311">
        <v>9337862.6260000002</v>
      </c>
      <c r="G15" s="2311">
        <v>10349065.983999999</v>
      </c>
      <c r="H15" s="2311">
        <v>30098712.699999999</v>
      </c>
      <c r="I15" s="2311">
        <v>4298525.9529999997</v>
      </c>
      <c r="J15" s="2311">
        <v>145316214.396</v>
      </c>
      <c r="K15" s="2311">
        <v>16427302.470000001</v>
      </c>
      <c r="L15" s="2311">
        <v>26913055.653999999</v>
      </c>
      <c r="M15" s="2311">
        <v>49905692.708999999</v>
      </c>
      <c r="N15" s="2311">
        <v>21725065.410999998</v>
      </c>
      <c r="O15" s="2311">
        <v>33379686.743000001</v>
      </c>
      <c r="P15" s="2311">
        <v>42556884.166000001</v>
      </c>
      <c r="Q15" s="2311">
        <v>36569833.864</v>
      </c>
      <c r="R15" s="2311">
        <v>6230401.5470000003</v>
      </c>
      <c r="S15" s="2342" t="s">
        <v>133</v>
      </c>
      <c r="T15" s="2343">
        <v>549417259.36000001</v>
      </c>
      <c r="V15" s="2344"/>
    </row>
    <row r="16" spans="1:22" s="2136" customFormat="1" ht="24.75" customHeight="1">
      <c r="A16" s="1602" t="s">
        <v>828</v>
      </c>
      <c r="B16" s="2345">
        <v>16539266.992000001</v>
      </c>
      <c r="C16" s="2346">
        <v>7211940.4709999999</v>
      </c>
      <c r="D16" s="2346">
        <v>5488580.4249999998</v>
      </c>
      <c r="E16" s="2346">
        <v>8641739.6079999991</v>
      </c>
      <c r="F16" s="2346">
        <v>3104144.659</v>
      </c>
      <c r="G16" s="2346">
        <v>3395046.557</v>
      </c>
      <c r="H16" s="2346">
        <v>9864834.7109999992</v>
      </c>
      <c r="I16" s="2346">
        <v>1406882.2509999999</v>
      </c>
      <c r="J16" s="2346">
        <v>48412829.245999999</v>
      </c>
      <c r="K16" s="2346">
        <v>5912920.3830000004</v>
      </c>
      <c r="L16" s="2346">
        <v>9123089.9279999994</v>
      </c>
      <c r="M16" s="2346">
        <v>16862064.445</v>
      </c>
      <c r="N16" s="2346">
        <v>7354324.1689999998</v>
      </c>
      <c r="O16" s="2346">
        <v>11668533.865</v>
      </c>
      <c r="P16" s="2346">
        <v>14380601.457</v>
      </c>
      <c r="Q16" s="2346">
        <v>12656979.478</v>
      </c>
      <c r="R16" s="2347">
        <v>2111359.693</v>
      </c>
      <c r="S16" s="2347" t="s">
        <v>133</v>
      </c>
      <c r="T16" s="2348">
        <v>184135138.338</v>
      </c>
      <c r="V16" s="2344"/>
    </row>
    <row r="17" spans="1:22" s="2136" customFormat="1" ht="24" customHeight="1">
      <c r="A17" s="336">
        <v>2025.04</v>
      </c>
      <c r="B17" s="2349">
        <v>3682784.0260000001</v>
      </c>
      <c r="C17" s="2350">
        <v>1700143.6189999999</v>
      </c>
      <c r="D17" s="2350">
        <v>1278332.2879999999</v>
      </c>
      <c r="E17" s="2350">
        <v>1975313.544</v>
      </c>
      <c r="F17" s="2350">
        <v>724237.15399999998</v>
      </c>
      <c r="G17" s="2350">
        <v>776970.31200000003</v>
      </c>
      <c r="H17" s="2350">
        <v>2536601.6239999998</v>
      </c>
      <c r="I17" s="2350">
        <v>333927.299</v>
      </c>
      <c r="J17" s="2350">
        <v>11149972.498</v>
      </c>
      <c r="K17" s="2350">
        <v>1322814.297</v>
      </c>
      <c r="L17" s="2350">
        <v>2128868.4029999999</v>
      </c>
      <c r="M17" s="2350">
        <v>4027175.3879999998</v>
      </c>
      <c r="N17" s="2350">
        <v>1745958.0889999999</v>
      </c>
      <c r="O17" s="2350">
        <v>2819548.0269999998</v>
      </c>
      <c r="P17" s="2350">
        <v>3464829.6669999999</v>
      </c>
      <c r="Q17" s="2350">
        <v>2950944.6630000002</v>
      </c>
      <c r="R17" s="2350">
        <v>498469.40299999999</v>
      </c>
      <c r="S17" s="2351" t="s">
        <v>133</v>
      </c>
      <c r="T17" s="2352">
        <v>43116890.300999999</v>
      </c>
      <c r="V17" s="2344"/>
    </row>
    <row r="18" spans="1:22" s="2136" customFormat="1" ht="24.75" customHeight="1">
      <c r="A18" s="336">
        <v>2025.05</v>
      </c>
      <c r="B18" s="2349">
        <v>3500907.7519999999</v>
      </c>
      <c r="C18" s="2350">
        <v>1594987.5870000001</v>
      </c>
      <c r="D18" s="2350">
        <v>1204206.7169999999</v>
      </c>
      <c r="E18" s="2350">
        <v>1951398.5090000001</v>
      </c>
      <c r="F18" s="2350">
        <v>668583.23400000005</v>
      </c>
      <c r="G18" s="2350">
        <v>738058.05099999998</v>
      </c>
      <c r="H18" s="2350">
        <v>2533581.202</v>
      </c>
      <c r="I18" s="2350">
        <v>324789.24300000002</v>
      </c>
      <c r="J18" s="2350">
        <v>10684975.68</v>
      </c>
      <c r="K18" s="2350">
        <v>1209337.0009999999</v>
      </c>
      <c r="L18" s="2350">
        <v>2017109.0730000001</v>
      </c>
      <c r="M18" s="2350">
        <v>3890400.1869999999</v>
      </c>
      <c r="N18" s="2350">
        <v>1660206.406</v>
      </c>
      <c r="O18" s="2350">
        <v>2712362.4610000001</v>
      </c>
      <c r="P18" s="2350">
        <v>3358296.1850000001</v>
      </c>
      <c r="Q18" s="2350">
        <v>2716029.1</v>
      </c>
      <c r="R18" s="2350">
        <v>453370.07199999999</v>
      </c>
      <c r="S18" s="2351" t="s">
        <v>133</v>
      </c>
      <c r="T18" s="2352">
        <v>41218598.460000001</v>
      </c>
      <c r="V18" s="2344"/>
    </row>
    <row r="19" spans="1:22" s="2136" customFormat="1" ht="24.75" customHeight="1">
      <c r="A19" s="336">
        <v>2025.06</v>
      </c>
      <c r="B19" s="2349">
        <v>3955859.37</v>
      </c>
      <c r="C19" s="2350">
        <v>1689479.64</v>
      </c>
      <c r="D19" s="2350">
        <v>1309218.365</v>
      </c>
      <c r="E19" s="2350">
        <v>2060148.9680000001</v>
      </c>
      <c r="F19" s="2350">
        <v>714234.27</v>
      </c>
      <c r="G19" s="2350">
        <v>805862.92200000002</v>
      </c>
      <c r="H19" s="2350">
        <v>2464921.44</v>
      </c>
      <c r="I19" s="2350">
        <v>339814.05900000001</v>
      </c>
      <c r="J19" s="2350">
        <v>11337488.468</v>
      </c>
      <c r="K19" s="2350">
        <v>1206890.6869999999</v>
      </c>
      <c r="L19" s="2350">
        <v>2116852.9569999999</v>
      </c>
      <c r="M19" s="2350">
        <v>4035915.1349999998</v>
      </c>
      <c r="N19" s="2350">
        <v>1673887.865</v>
      </c>
      <c r="O19" s="2350">
        <v>2617360.27</v>
      </c>
      <c r="P19" s="2350">
        <v>3400285.3420000002</v>
      </c>
      <c r="Q19" s="2350">
        <v>2813809.0649999999</v>
      </c>
      <c r="R19" s="2350">
        <v>463859.21500000003</v>
      </c>
      <c r="S19" s="2351" t="s">
        <v>133</v>
      </c>
      <c r="T19" s="2352">
        <v>43005888.038000003</v>
      </c>
      <c r="V19" s="2344"/>
    </row>
    <row r="20" spans="1:22" s="2136" customFormat="1" ht="24.75" customHeight="1">
      <c r="A20" s="336">
        <v>2025.07</v>
      </c>
      <c r="B20" s="2349">
        <v>4912057.2110000001</v>
      </c>
      <c r="C20" s="2350">
        <v>2003905.3060000001</v>
      </c>
      <c r="D20" s="2350">
        <v>1538681.67</v>
      </c>
      <c r="E20" s="2350">
        <v>2379689.5019999999</v>
      </c>
      <c r="F20" s="2350">
        <v>861303.86100000003</v>
      </c>
      <c r="G20" s="2350">
        <v>944990.87</v>
      </c>
      <c r="H20" s="2350">
        <v>2652720.4649999999</v>
      </c>
      <c r="I20" s="2350">
        <v>380005.86300000001</v>
      </c>
      <c r="J20" s="2350">
        <v>13024768.186000001</v>
      </c>
      <c r="K20" s="2350">
        <v>1306070.402</v>
      </c>
      <c r="L20" s="2350">
        <v>2319306.7409999999</v>
      </c>
      <c r="M20" s="2350">
        <v>4355283.8679999998</v>
      </c>
      <c r="N20" s="2350">
        <v>1882474.4010000001</v>
      </c>
      <c r="O20" s="2350">
        <v>2828025.5279999999</v>
      </c>
      <c r="P20" s="2350">
        <v>3704918.1150000002</v>
      </c>
      <c r="Q20" s="2350">
        <v>3183827.6239999998</v>
      </c>
      <c r="R20" s="2350">
        <v>546377.39199999999</v>
      </c>
      <c r="S20" s="2351" t="s">
        <v>133</v>
      </c>
      <c r="T20" s="2352">
        <v>48824407.005000003</v>
      </c>
      <c r="V20" s="2344"/>
    </row>
    <row r="21" spans="1:22" s="2136" customFormat="1" ht="24.75" customHeight="1">
      <c r="A21" s="336">
        <v>2025.08</v>
      </c>
      <c r="B21" s="2349">
        <v>5547875.5640000002</v>
      </c>
      <c r="C21" s="2350">
        <v>2217390.7790000001</v>
      </c>
      <c r="D21" s="2350">
        <v>1648368.665</v>
      </c>
      <c r="E21" s="2350">
        <v>2566974.5389999999</v>
      </c>
      <c r="F21" s="2350">
        <v>931016.05900000001</v>
      </c>
      <c r="G21" s="2350">
        <v>1050199.763</v>
      </c>
      <c r="H21" s="2350">
        <v>2723485.5970000001</v>
      </c>
      <c r="I21" s="2350">
        <v>409414.30499999999</v>
      </c>
      <c r="J21" s="2350">
        <v>13978198.676000001</v>
      </c>
      <c r="K21" s="2350">
        <v>1434213.477</v>
      </c>
      <c r="L21" s="2350">
        <v>2440960.0290000001</v>
      </c>
      <c r="M21" s="2350">
        <v>4446562.9589999998</v>
      </c>
      <c r="N21" s="2350">
        <v>1990481.949</v>
      </c>
      <c r="O21" s="2350">
        <v>2985179.09</v>
      </c>
      <c r="P21" s="2350">
        <v>3864251.1940000001</v>
      </c>
      <c r="Q21" s="2350">
        <v>3262855.9279999998</v>
      </c>
      <c r="R21" s="2350">
        <v>621117.47600000002</v>
      </c>
      <c r="S21" s="2351" t="s">
        <v>133</v>
      </c>
      <c r="T21" s="2352">
        <v>52118546.049000002</v>
      </c>
      <c r="V21" s="2344"/>
    </row>
    <row r="22" spans="1:22" s="2136" customFormat="1" ht="24.75" customHeight="1">
      <c r="A22" s="336">
        <v>2025.09</v>
      </c>
      <c r="B22" s="2349">
        <v>5092481.7520000003</v>
      </c>
      <c r="C22" s="2350">
        <v>2221502.6359999999</v>
      </c>
      <c r="D22" s="2350">
        <v>1646399.6869999999</v>
      </c>
      <c r="E22" s="2350">
        <v>2475515.338</v>
      </c>
      <c r="F22" s="2350">
        <v>913562.76399999997</v>
      </c>
      <c r="G22" s="2350">
        <v>1010994.465</v>
      </c>
      <c r="H22" s="2350">
        <v>2701688.5430000001</v>
      </c>
      <c r="I22" s="2350">
        <v>405407.35499999998</v>
      </c>
      <c r="J22" s="2350">
        <v>13240703.148</v>
      </c>
      <c r="K22" s="2350">
        <v>1384287.487</v>
      </c>
      <c r="L22" s="2350">
        <v>2395187.2719999999</v>
      </c>
      <c r="M22" s="2350">
        <v>4387449.1009999998</v>
      </c>
      <c r="N22" s="2350">
        <v>1962252.4310000001</v>
      </c>
      <c r="O22" s="2350">
        <v>2918367.858</v>
      </c>
      <c r="P22" s="2350">
        <v>3849173.327</v>
      </c>
      <c r="Q22" s="2350">
        <v>3348440.7420000001</v>
      </c>
      <c r="R22" s="2350">
        <v>610066.55099999998</v>
      </c>
      <c r="S22" s="2353" t="s">
        <v>133</v>
      </c>
      <c r="T22" s="2352">
        <v>50563480.457000002</v>
      </c>
      <c r="V22" s="2344"/>
    </row>
    <row r="23" spans="1:22" s="2136" customFormat="1" ht="24.75" customHeight="1">
      <c r="A23" s="336">
        <v>2025.1</v>
      </c>
      <c r="B23" s="2349">
        <v>3815102.2850000001</v>
      </c>
      <c r="C23" s="2350">
        <v>1740394.872</v>
      </c>
      <c r="D23" s="2350">
        <v>1264302.6629999999</v>
      </c>
      <c r="E23" s="2350">
        <v>2016189.6580000001</v>
      </c>
      <c r="F23" s="2350">
        <v>717011.424</v>
      </c>
      <c r="G23" s="2350">
        <v>793567.23699999996</v>
      </c>
      <c r="H23" s="2350">
        <v>2473235.77</v>
      </c>
      <c r="I23" s="2350">
        <v>337590.30200000003</v>
      </c>
      <c r="J23" s="2350">
        <v>11165290.841</v>
      </c>
      <c r="K23" s="2350">
        <v>1193226.6669999999</v>
      </c>
      <c r="L23" s="2350">
        <v>2113065.7059999998</v>
      </c>
      <c r="M23" s="2350">
        <v>3850165.7489999998</v>
      </c>
      <c r="N23" s="2350">
        <v>1656092.2690000001</v>
      </c>
      <c r="O23" s="2350">
        <v>2578919.747</v>
      </c>
      <c r="P23" s="2350">
        <v>3211981.4909999999</v>
      </c>
      <c r="Q23" s="2350">
        <v>2695261.7779999999</v>
      </c>
      <c r="R23" s="2350">
        <v>503629.27</v>
      </c>
      <c r="S23" s="2351" t="s">
        <v>133</v>
      </c>
      <c r="T23" s="2352">
        <v>42125027.729000002</v>
      </c>
      <c r="V23" s="2344"/>
    </row>
    <row r="24" spans="1:22" s="2136" customFormat="1" ht="24.75" customHeight="1">
      <c r="A24" s="336">
        <v>2025.11</v>
      </c>
      <c r="B24" s="2349">
        <v>3649985.2560000001</v>
      </c>
      <c r="C24" s="2350">
        <v>1654518.2450000001</v>
      </c>
      <c r="D24" s="2350">
        <v>1261272.6939999999</v>
      </c>
      <c r="E24" s="2350">
        <v>2034194.8970000001</v>
      </c>
      <c r="F24" s="2350">
        <v>688391.10800000001</v>
      </c>
      <c r="G24" s="2350">
        <v>768526.05299999996</v>
      </c>
      <c r="H24" s="2350">
        <v>2281092.6869999999</v>
      </c>
      <c r="I24" s="2350">
        <v>334883.85100000002</v>
      </c>
      <c r="J24" s="2350">
        <v>11238762.623</v>
      </c>
      <c r="K24" s="2350">
        <v>1315862.219</v>
      </c>
      <c r="L24" s="2350">
        <v>2095620.0889999999</v>
      </c>
      <c r="M24" s="2350">
        <v>3914023.4240000001</v>
      </c>
      <c r="N24" s="2350">
        <v>1708335.1569999999</v>
      </c>
      <c r="O24" s="2350">
        <v>2526337.8280000002</v>
      </c>
      <c r="P24" s="2350">
        <v>3339114.3480000002</v>
      </c>
      <c r="Q24" s="2350">
        <v>2813048.352</v>
      </c>
      <c r="R24" s="2350">
        <v>451550.49099999998</v>
      </c>
      <c r="S24" s="2351" t="s">
        <v>133</v>
      </c>
      <c r="T24" s="2352">
        <v>42075519.321999997</v>
      </c>
      <c r="V24" s="2344"/>
    </row>
    <row r="25" spans="1:22" s="2136" customFormat="1" ht="24.75" customHeight="1">
      <c r="A25" s="336">
        <v>2025.12</v>
      </c>
      <c r="B25" s="2349">
        <v>4124341.0759999999</v>
      </c>
      <c r="C25" s="2350">
        <v>1765848.953</v>
      </c>
      <c r="D25" s="2350">
        <v>1365342.4739999999</v>
      </c>
      <c r="E25" s="2350">
        <v>2218885.0109999999</v>
      </c>
      <c r="F25" s="2350">
        <v>739615.24699999997</v>
      </c>
      <c r="G25" s="2350">
        <v>841820.06599999999</v>
      </c>
      <c r="H25" s="2350">
        <v>2403152.2850000001</v>
      </c>
      <c r="I25" s="2350">
        <v>359738.72399999999</v>
      </c>
      <c r="J25" s="2350">
        <v>12233197.528000001</v>
      </c>
      <c r="K25" s="2350">
        <v>1464494.1470000001</v>
      </c>
      <c r="L25" s="2350">
        <v>2291863.8590000002</v>
      </c>
      <c r="M25" s="2350">
        <v>4163827.841</v>
      </c>
      <c r="N25" s="2350">
        <v>1837010.764</v>
      </c>
      <c r="O25" s="2350">
        <v>2544600.0959999999</v>
      </c>
      <c r="P25" s="2350">
        <v>3448262.7069999999</v>
      </c>
      <c r="Q25" s="2350">
        <v>3079581.7969999998</v>
      </c>
      <c r="R25" s="2350">
        <v>469071.38699999999</v>
      </c>
      <c r="S25" s="2351" t="s">
        <v>133</v>
      </c>
      <c r="T25" s="2352">
        <v>45350653.961999997</v>
      </c>
      <c r="V25" s="2344"/>
    </row>
    <row r="26" spans="1:22" s="2136" customFormat="1" ht="24.75" customHeight="1">
      <c r="A26" s="337" t="s">
        <v>829</v>
      </c>
      <c r="B26" s="2354">
        <v>16799311.327</v>
      </c>
      <c r="C26" s="2355">
        <v>7185976.8049999997</v>
      </c>
      <c r="D26" s="2355">
        <v>5539285.9800000004</v>
      </c>
      <c r="E26" s="2355">
        <v>8852932.0030000005</v>
      </c>
      <c r="F26" s="2355">
        <v>3024492.446</v>
      </c>
      <c r="G26" s="2355">
        <v>3436804.6869999999</v>
      </c>
      <c r="H26" s="2355">
        <v>9390517.591</v>
      </c>
      <c r="I26" s="2355">
        <v>1420028.4469999999</v>
      </c>
      <c r="J26" s="2355">
        <v>49235879.347000003</v>
      </c>
      <c r="K26" s="2355">
        <v>5857832.1169999996</v>
      </c>
      <c r="L26" s="2355">
        <v>9139449.6710000001</v>
      </c>
      <c r="M26" s="2355">
        <v>16684194.009</v>
      </c>
      <c r="N26" s="2355">
        <v>7387447.0010000002</v>
      </c>
      <c r="O26" s="2355">
        <v>10207889.721000001</v>
      </c>
      <c r="P26" s="2355">
        <v>13809573.692</v>
      </c>
      <c r="Q26" s="2355">
        <v>12417467.567</v>
      </c>
      <c r="R26" s="2355">
        <v>2081334.9779999999</v>
      </c>
      <c r="S26" s="2356" t="s">
        <v>133</v>
      </c>
      <c r="T26" s="2357">
        <v>182470417.389</v>
      </c>
      <c r="V26" s="2344"/>
    </row>
    <row r="27" spans="1:22" s="2136" customFormat="1" ht="24.75" customHeight="1">
      <c r="A27" s="337">
        <v>2026.01</v>
      </c>
      <c r="B27" s="2354">
        <v>4718077.6869999999</v>
      </c>
      <c r="C27" s="2355">
        <v>1916907.273</v>
      </c>
      <c r="D27" s="2355">
        <v>1497678.2290000001</v>
      </c>
      <c r="E27" s="2355">
        <v>2413128.227</v>
      </c>
      <c r="F27" s="2355">
        <v>814254.43500000006</v>
      </c>
      <c r="G27" s="2355">
        <v>936989.24699999997</v>
      </c>
      <c r="H27" s="2355">
        <v>2532401.3280000002</v>
      </c>
      <c r="I27" s="2355">
        <v>386919.48800000001</v>
      </c>
      <c r="J27" s="2355">
        <v>13343760.193</v>
      </c>
      <c r="K27" s="2355">
        <v>1616923.206</v>
      </c>
      <c r="L27" s="2355">
        <v>2453044.2570000002</v>
      </c>
      <c r="M27" s="2355">
        <v>4465392.3439999996</v>
      </c>
      <c r="N27" s="2355">
        <v>1976807.318</v>
      </c>
      <c r="O27" s="2355">
        <v>2712989.7239999999</v>
      </c>
      <c r="P27" s="2355">
        <v>3647800.199</v>
      </c>
      <c r="Q27" s="2355">
        <v>3374373.361</v>
      </c>
      <c r="R27" s="2355">
        <v>545263.97</v>
      </c>
      <c r="S27" s="2356" t="s">
        <v>133</v>
      </c>
      <c r="T27" s="2357">
        <v>49352710.486000001</v>
      </c>
      <c r="V27" s="2344"/>
    </row>
    <row r="28" spans="1:22" s="2136" customFormat="1" ht="24.75" customHeight="1">
      <c r="A28" s="336">
        <v>2026.02</v>
      </c>
      <c r="B28" s="2349">
        <v>4610585.6040000003</v>
      </c>
      <c r="C28" s="2350">
        <v>1860790.835</v>
      </c>
      <c r="D28" s="2350">
        <v>1459170.047</v>
      </c>
      <c r="E28" s="2350">
        <v>2341803.6770000001</v>
      </c>
      <c r="F28" s="2350">
        <v>803238.26899999997</v>
      </c>
      <c r="G28" s="2350">
        <v>907747.27899999998</v>
      </c>
      <c r="H28" s="2350">
        <v>2261521.378</v>
      </c>
      <c r="I28" s="2138">
        <v>363187.08</v>
      </c>
      <c r="J28" s="2350">
        <v>12790253.887</v>
      </c>
      <c r="K28" s="2350">
        <v>1574315.93</v>
      </c>
      <c r="L28" s="2350">
        <v>2312106.4849999999</v>
      </c>
      <c r="M28" s="2350">
        <v>4155879.196</v>
      </c>
      <c r="N28" s="2350">
        <v>1890417.04</v>
      </c>
      <c r="O28" s="2350">
        <v>2622927.8939999999</v>
      </c>
      <c r="P28" s="2350">
        <v>3416408.6239999998</v>
      </c>
      <c r="Q28" s="2350">
        <v>3205608.1570000001</v>
      </c>
      <c r="R28" s="2350">
        <v>559803.50699999998</v>
      </c>
      <c r="S28" s="2351" t="s">
        <v>133</v>
      </c>
      <c r="T28" s="2352">
        <v>47135764.888999999</v>
      </c>
      <c r="V28" s="2344"/>
    </row>
    <row r="29" spans="1:22" s="2136" customFormat="1" ht="24.75" customHeight="1">
      <c r="A29" s="336">
        <v>2026.03</v>
      </c>
      <c r="B29" s="2349">
        <v>3768310.5109999999</v>
      </c>
      <c r="C29" s="2350">
        <v>1709898.247</v>
      </c>
      <c r="D29" s="2350">
        <v>1286340.3770000001</v>
      </c>
      <c r="E29" s="2350">
        <v>2082720.814</v>
      </c>
      <c r="F29" s="2350">
        <v>702055.39199999999</v>
      </c>
      <c r="G29" s="2350">
        <v>807376.72</v>
      </c>
      <c r="H29" s="2350">
        <v>2272102.0070000002</v>
      </c>
      <c r="I29" s="2138">
        <v>342357.26400000002</v>
      </c>
      <c r="J29" s="2350">
        <v>11527147.048</v>
      </c>
      <c r="K29" s="2350">
        <v>1363932.8559999999</v>
      </c>
      <c r="L29" s="2350">
        <v>2212648.2459999998</v>
      </c>
      <c r="M29" s="2350">
        <v>4146572.3730000001</v>
      </c>
      <c r="N29" s="2350">
        <v>1783450.9110000001</v>
      </c>
      <c r="O29" s="2350">
        <v>2473820.4870000002</v>
      </c>
      <c r="P29" s="2350">
        <v>3337522.8960000002</v>
      </c>
      <c r="Q29" s="2350">
        <v>2950922.139</v>
      </c>
      <c r="R29" s="2350">
        <v>486381.96399999998</v>
      </c>
      <c r="S29" s="2351" t="s">
        <v>133</v>
      </c>
      <c r="T29" s="2352">
        <v>43253560.251999997</v>
      </c>
      <c r="V29" s="2344"/>
    </row>
    <row r="30" spans="1:22" s="2136" customFormat="1" ht="24.75" customHeight="1">
      <c r="A30" s="338">
        <v>2026.04</v>
      </c>
      <c r="B30" s="2358">
        <v>3702337.5249999999</v>
      </c>
      <c r="C30" s="2359">
        <v>1698380.45</v>
      </c>
      <c r="D30" s="2359">
        <v>1296097.327</v>
      </c>
      <c r="E30" s="2359">
        <v>2015279.2849999999</v>
      </c>
      <c r="F30" s="2359">
        <v>704944.35</v>
      </c>
      <c r="G30" s="2359">
        <v>784691.44099999999</v>
      </c>
      <c r="H30" s="2359">
        <v>2324492.878</v>
      </c>
      <c r="I30" s="2359">
        <v>327564.61499999999</v>
      </c>
      <c r="J30" s="2359">
        <v>11574718.219000001</v>
      </c>
      <c r="K30" s="2359">
        <v>1302660.125</v>
      </c>
      <c r="L30" s="2359">
        <v>2161650.6830000002</v>
      </c>
      <c r="M30" s="2359">
        <v>3916350.0959999999</v>
      </c>
      <c r="N30" s="2359">
        <v>1736771.7320000001</v>
      </c>
      <c r="O30" s="2359">
        <v>2398151.6159999999</v>
      </c>
      <c r="P30" s="2359">
        <v>3407841.9730000002</v>
      </c>
      <c r="Q30" s="2359">
        <v>2886563.91</v>
      </c>
      <c r="R30" s="2359">
        <v>489885.53700000001</v>
      </c>
      <c r="S30" s="2360" t="s">
        <v>133</v>
      </c>
      <c r="T30" s="2361">
        <v>42728381.762000002</v>
      </c>
      <c r="V30" s="2344"/>
    </row>
    <row r="31" spans="1:22" s="2136" customFormat="1" ht="5.0999999999999996" customHeight="1">
      <c r="A31" s="2362"/>
      <c r="B31" s="2363"/>
      <c r="C31" s="2363"/>
      <c r="D31" s="2363"/>
      <c r="E31" s="2363"/>
      <c r="F31" s="2363"/>
      <c r="G31" s="2363"/>
      <c r="H31" s="2363"/>
      <c r="I31" s="2363"/>
      <c r="J31" s="2363"/>
      <c r="K31" s="2363"/>
      <c r="L31" s="2363"/>
      <c r="M31" s="2363"/>
      <c r="N31" s="2363"/>
      <c r="O31" s="2363"/>
      <c r="P31" s="2363"/>
      <c r="Q31" s="2363"/>
      <c r="R31" s="2363"/>
      <c r="S31" s="2363"/>
      <c r="T31" s="2363"/>
    </row>
    <row r="32" spans="1:22" ht="13.5" customHeight="1">
      <c r="A32" s="346" t="s">
        <v>1228</v>
      </c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</row>
    <row r="33" spans="1:20" ht="9.9499999999999993" customHeight="1">
      <c r="A33" s="346"/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</row>
    <row r="34" spans="1:20" ht="6.75" customHeight="1">
      <c r="A34" s="346"/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</row>
    <row r="35" spans="1:20" ht="15.75" customHeight="1">
      <c r="A35" s="615"/>
      <c r="B35" s="346"/>
      <c r="C35" s="346"/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282"/>
    </row>
  </sheetData>
  <phoneticPr fontId="2" type="noConversion"/>
  <printOptions horizontalCentered="1"/>
  <pageMargins left="0.94488188976377963" right="0.94488188976377963" top="1.1811023622047245" bottom="1.1811023622047245" header="0" footer="0"/>
  <pageSetup paperSize="9" scale="79" firstPageNumber="62" orientation="portrait" useFirstPageNumber="1" r:id="rId1"/>
  <headerFooter differentOddEven="1" scaleWithDoc="0" alignWithMargins="0"/>
  <colBreaks count="1" manualBreakCount="1">
    <brk id="1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F6A0-3212-41FB-8952-E7ACA5BE342F}">
  <sheetPr>
    <tabColor rgb="FF00B050"/>
  </sheetPr>
  <dimension ref="A1:W37"/>
  <sheetViews>
    <sheetView showGridLines="0" view="pageBreakPreview" zoomScale="95" zoomScaleNormal="100" zoomScaleSheetLayoutView="9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0.5" style="271" customWidth="1"/>
    <col min="2" max="17" width="9.25" style="271" customWidth="1"/>
    <col min="18" max="18" width="9" style="271" customWidth="1"/>
    <col min="19" max="19" width="9" style="2786" customWidth="1"/>
    <col min="20" max="20" width="10.875" style="271" customWidth="1"/>
    <col min="21" max="21" width="12.75" style="271" bestFit="1" customWidth="1"/>
    <col min="22" max="22" width="12.75" style="271" customWidth="1"/>
    <col min="23" max="16384" width="7.875" style="271"/>
  </cols>
  <sheetData>
    <row r="1" spans="1:23" ht="20.25">
      <c r="A1" s="2125" t="s">
        <v>1229</v>
      </c>
    </row>
    <row r="2" spans="1:23" s="274" customFormat="1" ht="17.25">
      <c r="A2" s="274" t="s">
        <v>1230</v>
      </c>
      <c r="N2" s="996"/>
      <c r="S2" s="2787"/>
    </row>
    <row r="3" spans="1:23" ht="15" customHeight="1">
      <c r="A3" s="346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438"/>
      <c r="Q3" s="346"/>
      <c r="R3" s="438"/>
      <c r="S3" s="2788"/>
      <c r="T3" s="1388" t="s">
        <v>1231</v>
      </c>
    </row>
    <row r="4" spans="1:23" s="272" customFormat="1" ht="39.950000000000003" customHeight="1">
      <c r="A4" s="2173" t="s">
        <v>844</v>
      </c>
      <c r="B4" s="2174" t="s">
        <v>1209</v>
      </c>
      <c r="C4" s="2237" t="s">
        <v>1210</v>
      </c>
      <c r="D4" s="2237" t="s">
        <v>1211</v>
      </c>
      <c r="E4" s="2237" t="s">
        <v>1212</v>
      </c>
      <c r="F4" s="2237" t="s">
        <v>1213</v>
      </c>
      <c r="G4" s="2237" t="s">
        <v>1214</v>
      </c>
      <c r="H4" s="2237" t="s">
        <v>1215</v>
      </c>
      <c r="I4" s="2237" t="s">
        <v>1216</v>
      </c>
      <c r="J4" s="2237" t="s">
        <v>1217</v>
      </c>
      <c r="K4" s="2237" t="s">
        <v>1218</v>
      </c>
      <c r="L4" s="2237" t="s">
        <v>1219</v>
      </c>
      <c r="M4" s="2237" t="s">
        <v>1220</v>
      </c>
      <c r="N4" s="2237" t="s">
        <v>1221</v>
      </c>
      <c r="O4" s="2237" t="s">
        <v>1222</v>
      </c>
      <c r="P4" s="2237" t="s">
        <v>1223</v>
      </c>
      <c r="Q4" s="1788" t="s">
        <v>1224</v>
      </c>
      <c r="R4" s="2237" t="s">
        <v>1225</v>
      </c>
      <c r="S4" s="2364" t="s">
        <v>1232</v>
      </c>
      <c r="T4" s="2336" t="s">
        <v>1227</v>
      </c>
      <c r="U4" s="271"/>
    </row>
    <row r="5" spans="1:23" ht="27" customHeight="1">
      <c r="A5" s="321">
        <v>2015</v>
      </c>
      <c r="B5" s="2365">
        <v>3467528</v>
      </c>
      <c r="C5" s="2350">
        <v>1263051</v>
      </c>
      <c r="D5" s="2350">
        <v>891935</v>
      </c>
      <c r="E5" s="2350">
        <v>955702</v>
      </c>
      <c r="F5" s="2350">
        <v>526471</v>
      </c>
      <c r="G5" s="2350">
        <v>538213</v>
      </c>
      <c r="H5" s="2350">
        <v>440557</v>
      </c>
      <c r="I5" s="2350">
        <v>83028</v>
      </c>
      <c r="J5" s="2350">
        <v>4117575</v>
      </c>
      <c r="K5" s="2350">
        <v>975262</v>
      </c>
      <c r="L5" s="2350">
        <v>991176</v>
      </c>
      <c r="M5" s="2350">
        <v>1281942</v>
      </c>
      <c r="N5" s="2350">
        <v>1133398</v>
      </c>
      <c r="O5" s="2350">
        <v>1335482</v>
      </c>
      <c r="P5" s="2350">
        <v>1884765</v>
      </c>
      <c r="Q5" s="2350">
        <v>1785232</v>
      </c>
      <c r="R5" s="2353">
        <v>358644</v>
      </c>
      <c r="S5" s="1600" t="s">
        <v>133</v>
      </c>
      <c r="T5" s="2338">
        <v>22030215</v>
      </c>
      <c r="U5" s="2300"/>
    </row>
    <row r="6" spans="1:23" ht="27" customHeight="1">
      <c r="A6" s="321">
        <v>2016</v>
      </c>
      <c r="B6" s="2365">
        <v>3506464</v>
      </c>
      <c r="C6" s="2350">
        <v>1270512</v>
      </c>
      <c r="D6" s="2350">
        <v>918572</v>
      </c>
      <c r="E6" s="2350">
        <v>978238</v>
      </c>
      <c r="F6" s="2350">
        <v>531637</v>
      </c>
      <c r="G6" s="2350">
        <v>556529</v>
      </c>
      <c r="H6" s="2350">
        <v>450632</v>
      </c>
      <c r="I6" s="2350">
        <v>85756</v>
      </c>
      <c r="J6" s="2350">
        <v>4248808</v>
      </c>
      <c r="K6" s="2350">
        <v>1000910</v>
      </c>
      <c r="L6" s="2350">
        <v>1016059</v>
      </c>
      <c r="M6" s="2350">
        <v>1317480</v>
      </c>
      <c r="N6" s="2350">
        <v>1155045</v>
      </c>
      <c r="O6" s="2350">
        <v>1364679</v>
      </c>
      <c r="P6" s="2350">
        <v>1937384</v>
      </c>
      <c r="Q6" s="2350">
        <v>1828814</v>
      </c>
      <c r="R6" s="2353">
        <v>385200</v>
      </c>
      <c r="S6" s="1600" t="s">
        <v>133</v>
      </c>
      <c r="T6" s="2352">
        <v>22552719</v>
      </c>
      <c r="U6" s="2209"/>
    </row>
    <row r="7" spans="1:23" ht="27" customHeight="1">
      <c r="A7" s="321">
        <v>2017</v>
      </c>
      <c r="B7" s="2365">
        <v>3563803</v>
      </c>
      <c r="C7" s="2350">
        <v>1279193</v>
      </c>
      <c r="D7" s="2350">
        <v>929637</v>
      </c>
      <c r="E7" s="2350">
        <v>1005645</v>
      </c>
      <c r="F7" s="2350">
        <v>543151</v>
      </c>
      <c r="G7" s="2350">
        <v>576795</v>
      </c>
      <c r="H7" s="2350">
        <v>459420</v>
      </c>
      <c r="I7" s="2350">
        <v>89514</v>
      </c>
      <c r="J7" s="2350">
        <v>4369707</v>
      </c>
      <c r="K7" s="2350">
        <v>1026189</v>
      </c>
      <c r="L7" s="2350">
        <v>1041176</v>
      </c>
      <c r="M7" s="2350">
        <v>1357245</v>
      </c>
      <c r="N7" s="2350">
        <v>1178675</v>
      </c>
      <c r="O7" s="2350">
        <v>1393273</v>
      </c>
      <c r="P7" s="2350">
        <v>1980255</v>
      </c>
      <c r="Q7" s="2350">
        <v>1865308</v>
      </c>
      <c r="R7" s="2353">
        <v>418037</v>
      </c>
      <c r="S7" s="1600" t="s">
        <v>133</v>
      </c>
      <c r="T7" s="2338">
        <v>23077023</v>
      </c>
      <c r="U7" s="2300"/>
    </row>
    <row r="8" spans="1:23" ht="27" customHeight="1">
      <c r="A8" s="321">
        <v>2018</v>
      </c>
      <c r="B8" s="2365">
        <v>3605300</v>
      </c>
      <c r="C8" s="2350">
        <v>1282195</v>
      </c>
      <c r="D8" s="2350">
        <v>941398</v>
      </c>
      <c r="E8" s="2350">
        <v>1020655</v>
      </c>
      <c r="F8" s="2350">
        <v>545480</v>
      </c>
      <c r="G8" s="2350">
        <v>584853</v>
      </c>
      <c r="H8" s="2350">
        <v>465067</v>
      </c>
      <c r="I8" s="2350">
        <v>92326</v>
      </c>
      <c r="J8" s="2350">
        <v>4482784</v>
      </c>
      <c r="K8" s="2350">
        <v>1062001</v>
      </c>
      <c r="L8" s="2350">
        <v>1065629</v>
      </c>
      <c r="M8" s="2350">
        <v>1390063</v>
      </c>
      <c r="N8" s="2350">
        <v>1193339</v>
      </c>
      <c r="O8" s="2350">
        <v>1423206</v>
      </c>
      <c r="P8" s="2350">
        <v>2015725</v>
      </c>
      <c r="Q8" s="2350">
        <v>1889174</v>
      </c>
      <c r="R8" s="2353">
        <v>442334</v>
      </c>
      <c r="S8" s="1600" t="s">
        <v>133</v>
      </c>
      <c r="T8" s="2338">
        <v>23501543</v>
      </c>
      <c r="U8" s="2300"/>
    </row>
    <row r="9" spans="1:23" ht="27" customHeight="1">
      <c r="A9" s="321">
        <v>2019</v>
      </c>
      <c r="B9" s="2365">
        <v>3647702</v>
      </c>
      <c r="C9" s="2350">
        <v>1286717</v>
      </c>
      <c r="D9" s="2350">
        <v>932965</v>
      </c>
      <c r="E9" s="2350">
        <v>1026667</v>
      </c>
      <c r="F9" s="2350">
        <v>550818</v>
      </c>
      <c r="G9" s="2350">
        <v>588843</v>
      </c>
      <c r="H9" s="2350">
        <v>468077</v>
      </c>
      <c r="I9" s="2350">
        <v>98581</v>
      </c>
      <c r="J9" s="2350">
        <v>4563003</v>
      </c>
      <c r="K9" s="2350">
        <v>1089261</v>
      </c>
      <c r="L9" s="2350">
        <v>1089307</v>
      </c>
      <c r="M9" s="2350">
        <v>1423311</v>
      </c>
      <c r="N9" s="2350">
        <v>1217739</v>
      </c>
      <c r="O9" s="2350">
        <v>1454637</v>
      </c>
      <c r="P9" s="2350">
        <v>2047790</v>
      </c>
      <c r="Q9" s="2350">
        <v>1912803</v>
      </c>
      <c r="R9" s="2350">
        <v>461797</v>
      </c>
      <c r="S9" s="2366" t="s">
        <v>133</v>
      </c>
      <c r="T9" s="2338">
        <v>23860032</v>
      </c>
      <c r="U9" s="2209"/>
    </row>
    <row r="10" spans="1:23" ht="27" customHeight="1">
      <c r="A10" s="321">
        <v>2020</v>
      </c>
      <c r="B10" s="2365">
        <v>3692337</v>
      </c>
      <c r="C10" s="2350">
        <v>1287766</v>
      </c>
      <c r="D10" s="2350">
        <v>933257</v>
      </c>
      <c r="E10" s="2350">
        <v>1032731</v>
      </c>
      <c r="F10" s="2350">
        <v>553028</v>
      </c>
      <c r="G10" s="2350">
        <v>591180</v>
      </c>
      <c r="H10" s="2350">
        <v>470696</v>
      </c>
      <c r="I10" s="2350">
        <v>100758</v>
      </c>
      <c r="J10" s="2350">
        <v>4615521</v>
      </c>
      <c r="K10" s="2350">
        <v>1112938</v>
      </c>
      <c r="L10" s="2350">
        <v>1108181</v>
      </c>
      <c r="M10" s="2350">
        <v>1451902</v>
      </c>
      <c r="N10" s="2350">
        <v>1243394</v>
      </c>
      <c r="O10" s="2350">
        <v>1497359</v>
      </c>
      <c r="P10" s="2350">
        <v>2086877</v>
      </c>
      <c r="Q10" s="2350">
        <v>1935540</v>
      </c>
      <c r="R10" s="2350">
        <v>484825</v>
      </c>
      <c r="S10" s="2366" t="s">
        <v>133</v>
      </c>
      <c r="T10" s="2338">
        <v>24198304</v>
      </c>
      <c r="U10" s="2300"/>
    </row>
    <row r="11" spans="1:23" s="2136" customFormat="1" ht="27" customHeight="1">
      <c r="A11" s="321">
        <v>2021</v>
      </c>
      <c r="B11" s="2365">
        <v>3713891</v>
      </c>
      <c r="C11" s="2350">
        <v>1290387</v>
      </c>
      <c r="D11" s="2350">
        <v>928295</v>
      </c>
      <c r="E11" s="2350">
        <v>1042093</v>
      </c>
      <c r="F11" s="2350">
        <v>558106</v>
      </c>
      <c r="G11" s="2350">
        <v>594286</v>
      </c>
      <c r="H11" s="2350">
        <v>471793</v>
      </c>
      <c r="I11" s="2350">
        <v>103381</v>
      </c>
      <c r="J11" s="2350">
        <v>4687268</v>
      </c>
      <c r="K11" s="2350">
        <v>1137935</v>
      </c>
      <c r="L11" s="2350">
        <v>1129889</v>
      </c>
      <c r="M11" s="2350">
        <v>1482070</v>
      </c>
      <c r="N11" s="2350">
        <v>1272614</v>
      </c>
      <c r="O11" s="2350">
        <v>1527926</v>
      </c>
      <c r="P11" s="2350">
        <v>2122187</v>
      </c>
      <c r="Q11" s="2350">
        <v>1958431</v>
      </c>
      <c r="R11" s="2350">
        <v>502738</v>
      </c>
      <c r="S11" s="2366" t="s">
        <v>133</v>
      </c>
      <c r="T11" s="2338">
        <v>24523304</v>
      </c>
      <c r="U11" s="271"/>
      <c r="V11" s="2281"/>
    </row>
    <row r="12" spans="1:23" s="2136" customFormat="1" ht="27" customHeight="1">
      <c r="A12" s="321">
        <v>2022</v>
      </c>
      <c r="B12" s="2365">
        <v>3750590</v>
      </c>
      <c r="C12" s="2350">
        <v>2584866</v>
      </c>
      <c r="D12" s="2350">
        <v>929132</v>
      </c>
      <c r="E12" s="2350">
        <v>1046654</v>
      </c>
      <c r="F12" s="2350">
        <v>564128</v>
      </c>
      <c r="G12" s="2350">
        <v>598108</v>
      </c>
      <c r="H12" s="2350">
        <v>946698</v>
      </c>
      <c r="I12" s="2350">
        <v>214082</v>
      </c>
      <c r="J12" s="2350">
        <v>9526191</v>
      </c>
      <c r="K12" s="2350">
        <v>2324859</v>
      </c>
      <c r="L12" s="2350">
        <v>2319379</v>
      </c>
      <c r="M12" s="2350">
        <v>3112287</v>
      </c>
      <c r="N12" s="2350">
        <v>2605290</v>
      </c>
      <c r="O12" s="2350">
        <v>3190841</v>
      </c>
      <c r="P12" s="2350">
        <v>4364504</v>
      </c>
      <c r="Q12" s="2350">
        <v>3965120</v>
      </c>
      <c r="R12" s="2350">
        <v>1025974</v>
      </c>
      <c r="S12" s="2366" t="s">
        <v>133</v>
      </c>
      <c r="T12" s="2338">
        <v>24866375</v>
      </c>
      <c r="U12" s="271"/>
      <c r="V12" s="2281"/>
    </row>
    <row r="13" spans="1:23" s="2136" customFormat="1" ht="27" customHeight="1">
      <c r="A13" s="321">
        <v>2023</v>
      </c>
      <c r="B13" s="2365">
        <v>3775479</v>
      </c>
      <c r="C13" s="2350">
        <v>1294733</v>
      </c>
      <c r="D13" s="2350">
        <v>969014</v>
      </c>
      <c r="E13" s="2350">
        <v>1054864</v>
      </c>
      <c r="F13" s="2350">
        <v>566655</v>
      </c>
      <c r="G13" s="2350">
        <v>601677</v>
      </c>
      <c r="H13" s="2350">
        <v>476777</v>
      </c>
      <c r="I13" s="2350">
        <v>107000</v>
      </c>
      <c r="J13" s="2350">
        <v>4805643</v>
      </c>
      <c r="K13" s="2350">
        <v>1179498</v>
      </c>
      <c r="L13" s="2350">
        <v>1167602</v>
      </c>
      <c r="M13" s="2350">
        <v>1533577</v>
      </c>
      <c r="N13" s="2350">
        <v>1322957</v>
      </c>
      <c r="O13" s="2350">
        <v>1581050</v>
      </c>
      <c r="P13" s="2350">
        <v>2162309</v>
      </c>
      <c r="Q13" s="2350">
        <v>1996029</v>
      </c>
      <c r="R13" s="2350">
        <v>534010</v>
      </c>
      <c r="S13" s="2366" t="s">
        <v>133</v>
      </c>
      <c r="T13" s="2338">
        <v>25128874</v>
      </c>
      <c r="U13" s="271"/>
      <c r="V13" s="2281"/>
    </row>
    <row r="14" spans="1:23" ht="27" customHeight="1">
      <c r="A14" s="321">
        <v>2024</v>
      </c>
      <c r="B14" s="2365">
        <v>3782659</v>
      </c>
      <c r="C14" s="2350">
        <v>1294344</v>
      </c>
      <c r="D14" s="2350">
        <v>973679</v>
      </c>
      <c r="E14" s="2350">
        <v>1059528</v>
      </c>
      <c r="F14" s="2350">
        <v>566709</v>
      </c>
      <c r="G14" s="2350">
        <v>603389</v>
      </c>
      <c r="H14" s="2350">
        <v>479934</v>
      </c>
      <c r="I14" s="2350">
        <v>108372</v>
      </c>
      <c r="J14" s="2350">
        <v>4843667</v>
      </c>
      <c r="K14" s="2350">
        <v>1192968</v>
      </c>
      <c r="L14" s="2350">
        <v>1181025</v>
      </c>
      <c r="M14" s="2350">
        <v>1554100</v>
      </c>
      <c r="N14" s="2350">
        <v>1337880</v>
      </c>
      <c r="O14" s="2350">
        <v>1599125</v>
      </c>
      <c r="P14" s="2350">
        <v>2188258</v>
      </c>
      <c r="Q14" s="2350">
        <v>2012727</v>
      </c>
      <c r="R14" s="2350">
        <v>542871</v>
      </c>
      <c r="S14" s="2367" t="s">
        <v>133</v>
      </c>
      <c r="T14" s="2338">
        <v>25321235</v>
      </c>
      <c r="V14" s="350"/>
    </row>
    <row r="15" spans="1:23" ht="27" customHeight="1">
      <c r="A15" s="641">
        <v>2025</v>
      </c>
      <c r="B15" s="2368">
        <v>3778297</v>
      </c>
      <c r="C15" s="2369">
        <v>1290525</v>
      </c>
      <c r="D15" s="2369">
        <v>981686</v>
      </c>
      <c r="E15" s="2369">
        <v>1062406</v>
      </c>
      <c r="F15" s="2369">
        <v>566935</v>
      </c>
      <c r="G15" s="2369">
        <v>603254</v>
      </c>
      <c r="H15" s="2369">
        <v>481067</v>
      </c>
      <c r="I15" s="2369">
        <v>109385</v>
      </c>
      <c r="J15" s="2369">
        <v>4859494</v>
      </c>
      <c r="K15" s="2369">
        <v>1205689</v>
      </c>
      <c r="L15" s="2369">
        <v>1191298</v>
      </c>
      <c r="M15" s="2369">
        <v>1567444</v>
      </c>
      <c r="N15" s="2369">
        <v>1338026</v>
      </c>
      <c r="O15" s="2369">
        <v>1618521</v>
      </c>
      <c r="P15" s="2369">
        <v>2208508</v>
      </c>
      <c r="Q15" s="2369">
        <v>2022973</v>
      </c>
      <c r="R15" s="2369">
        <v>548668</v>
      </c>
      <c r="S15" s="2370" t="s">
        <v>133</v>
      </c>
      <c r="T15" s="2371">
        <v>25434176</v>
      </c>
      <c r="U15" s="2372"/>
      <c r="V15" s="2344"/>
    </row>
    <row r="16" spans="1:23" ht="27" customHeight="1">
      <c r="A16" s="337">
        <v>2025.04</v>
      </c>
      <c r="B16" s="2373">
        <v>3782259</v>
      </c>
      <c r="C16" s="2355">
        <v>1293740</v>
      </c>
      <c r="D16" s="2355">
        <v>974943</v>
      </c>
      <c r="E16" s="2355">
        <v>1060878</v>
      </c>
      <c r="F16" s="2355">
        <v>567382</v>
      </c>
      <c r="G16" s="2355">
        <v>603593</v>
      </c>
      <c r="H16" s="2355">
        <v>480673</v>
      </c>
      <c r="I16" s="2355">
        <v>108683</v>
      </c>
      <c r="J16" s="2355">
        <v>4849668</v>
      </c>
      <c r="K16" s="2355">
        <v>1195531</v>
      </c>
      <c r="L16" s="2355">
        <v>1183699</v>
      </c>
      <c r="M16" s="2355">
        <v>1559029</v>
      </c>
      <c r="N16" s="2355">
        <v>1332950</v>
      </c>
      <c r="O16" s="2355">
        <v>1605050</v>
      </c>
      <c r="P16" s="2355">
        <v>2194545</v>
      </c>
      <c r="Q16" s="2355">
        <v>2017740</v>
      </c>
      <c r="R16" s="2355">
        <v>544390</v>
      </c>
      <c r="S16" s="2374" t="s">
        <v>133</v>
      </c>
      <c r="T16" s="2375">
        <v>25354753</v>
      </c>
      <c r="U16" s="2372"/>
      <c r="V16" s="2344"/>
      <c r="W16" s="2372"/>
    </row>
    <row r="17" spans="1:23" ht="27" customHeight="1">
      <c r="A17" s="336">
        <v>2025.05</v>
      </c>
      <c r="B17" s="2365">
        <v>3780026</v>
      </c>
      <c r="C17" s="2350">
        <v>1293427</v>
      </c>
      <c r="D17" s="2350">
        <v>974898</v>
      </c>
      <c r="E17" s="2350">
        <v>1056784</v>
      </c>
      <c r="F17" s="2350">
        <v>567082</v>
      </c>
      <c r="G17" s="2350">
        <v>603306</v>
      </c>
      <c r="H17" s="2350">
        <v>480613</v>
      </c>
      <c r="I17" s="2350">
        <v>108789</v>
      </c>
      <c r="J17" s="2350">
        <v>4841651</v>
      </c>
      <c r="K17" s="2350">
        <v>1196374</v>
      </c>
      <c r="L17" s="2350">
        <v>1184123</v>
      </c>
      <c r="M17" s="2350">
        <v>1559458</v>
      </c>
      <c r="N17" s="2350">
        <v>1291814</v>
      </c>
      <c r="O17" s="2350">
        <v>1581701</v>
      </c>
      <c r="P17" s="2350">
        <v>2195438</v>
      </c>
      <c r="Q17" s="2350">
        <v>2017350</v>
      </c>
      <c r="R17" s="2350">
        <v>544765</v>
      </c>
      <c r="S17" s="2367" t="s">
        <v>133</v>
      </c>
      <c r="T17" s="2338">
        <v>25277599</v>
      </c>
      <c r="U17" s="2372"/>
      <c r="V17" s="2344"/>
      <c r="W17" s="2372"/>
    </row>
    <row r="18" spans="1:23" ht="27" customHeight="1">
      <c r="A18" s="336">
        <v>2025.06</v>
      </c>
      <c r="B18" s="2365">
        <v>3778937</v>
      </c>
      <c r="C18" s="2350">
        <v>1292914</v>
      </c>
      <c r="D18" s="2350">
        <v>975106</v>
      </c>
      <c r="E18" s="2350">
        <v>1057097</v>
      </c>
      <c r="F18" s="2350">
        <v>566972</v>
      </c>
      <c r="G18" s="2350">
        <v>603331</v>
      </c>
      <c r="H18" s="2350">
        <v>480776</v>
      </c>
      <c r="I18" s="2350">
        <v>108896</v>
      </c>
      <c r="J18" s="2350">
        <v>4842650</v>
      </c>
      <c r="K18" s="2350">
        <v>1197784</v>
      </c>
      <c r="L18" s="2350">
        <v>1185193</v>
      </c>
      <c r="M18" s="2350">
        <v>1561012</v>
      </c>
      <c r="N18" s="2350">
        <v>1292607</v>
      </c>
      <c r="O18" s="2350">
        <v>1583062</v>
      </c>
      <c r="P18" s="2350">
        <v>2198242</v>
      </c>
      <c r="Q18" s="2350">
        <v>2016615</v>
      </c>
      <c r="R18" s="2350">
        <v>545408</v>
      </c>
      <c r="S18" s="2367" t="s">
        <v>133</v>
      </c>
      <c r="T18" s="2338">
        <v>25286602</v>
      </c>
      <c r="U18" s="2372"/>
      <c r="V18" s="2344"/>
      <c r="W18" s="2372"/>
    </row>
    <row r="19" spans="1:23" ht="27" customHeight="1">
      <c r="A19" s="336">
        <v>2025.07</v>
      </c>
      <c r="B19" s="2365">
        <v>3779073</v>
      </c>
      <c r="C19" s="2350">
        <v>1292524</v>
      </c>
      <c r="D19" s="2350">
        <v>975524</v>
      </c>
      <c r="E19" s="2350">
        <v>1057390</v>
      </c>
      <c r="F19" s="2350">
        <v>567124</v>
      </c>
      <c r="G19" s="2350">
        <v>603589</v>
      </c>
      <c r="H19" s="2350">
        <v>481020</v>
      </c>
      <c r="I19" s="2350">
        <v>108977</v>
      </c>
      <c r="J19" s="2350">
        <v>4844637</v>
      </c>
      <c r="K19" s="2350">
        <v>1199514</v>
      </c>
      <c r="L19" s="2350">
        <v>1187440</v>
      </c>
      <c r="M19" s="2350">
        <v>1562668</v>
      </c>
      <c r="N19" s="2350">
        <v>1293841</v>
      </c>
      <c r="O19" s="2350">
        <v>1589834</v>
      </c>
      <c r="P19" s="2350">
        <v>2201382</v>
      </c>
      <c r="Q19" s="2350">
        <v>2017389</v>
      </c>
      <c r="R19" s="2350">
        <v>545979</v>
      </c>
      <c r="S19" s="2367" t="s">
        <v>133</v>
      </c>
      <c r="T19" s="2338">
        <v>25307905</v>
      </c>
      <c r="U19" s="2372"/>
      <c r="V19" s="2344"/>
      <c r="W19" s="2372"/>
    </row>
    <row r="20" spans="1:23" ht="27" customHeight="1">
      <c r="A20" s="336">
        <v>2025.08</v>
      </c>
      <c r="B20" s="2365">
        <v>3778025</v>
      </c>
      <c r="C20" s="2350">
        <v>1292000</v>
      </c>
      <c r="D20" s="2350">
        <v>981958</v>
      </c>
      <c r="E20" s="2350">
        <v>1057647</v>
      </c>
      <c r="F20" s="2350">
        <v>567220</v>
      </c>
      <c r="G20" s="2350">
        <v>603464</v>
      </c>
      <c r="H20" s="2350">
        <v>480971</v>
      </c>
      <c r="I20" s="2350">
        <v>109007</v>
      </c>
      <c r="J20" s="2350">
        <v>4845569</v>
      </c>
      <c r="K20" s="2350">
        <v>1200583</v>
      </c>
      <c r="L20" s="2350">
        <v>1188331</v>
      </c>
      <c r="M20" s="2350">
        <v>1563906</v>
      </c>
      <c r="N20" s="2350">
        <v>1294549</v>
      </c>
      <c r="O20" s="2350">
        <v>1590895</v>
      </c>
      <c r="P20" s="2350">
        <v>2203337</v>
      </c>
      <c r="Q20" s="2350">
        <v>2018481</v>
      </c>
      <c r="R20" s="2350">
        <v>546445</v>
      </c>
      <c r="S20" s="2367" t="s">
        <v>133</v>
      </c>
      <c r="T20" s="2338">
        <v>25322388</v>
      </c>
      <c r="U20" s="2372"/>
      <c r="V20" s="2344"/>
      <c r="W20" s="2372"/>
    </row>
    <row r="21" spans="1:23" ht="27" customHeight="1">
      <c r="A21" s="336">
        <v>2025.09</v>
      </c>
      <c r="B21" s="2365">
        <v>3779010</v>
      </c>
      <c r="C21" s="2350">
        <v>1291669</v>
      </c>
      <c r="D21" s="2350">
        <v>982257</v>
      </c>
      <c r="E21" s="2350">
        <v>1057962</v>
      </c>
      <c r="F21" s="2350">
        <v>567201</v>
      </c>
      <c r="G21" s="2350">
        <v>603560</v>
      </c>
      <c r="H21" s="2350">
        <v>480897</v>
      </c>
      <c r="I21" s="2350">
        <v>109140</v>
      </c>
      <c r="J21" s="2350">
        <v>4847142</v>
      </c>
      <c r="K21" s="2350">
        <v>1201901</v>
      </c>
      <c r="L21" s="2350">
        <v>1189523</v>
      </c>
      <c r="M21" s="2350">
        <v>1565285</v>
      </c>
      <c r="N21" s="2350">
        <v>1295450</v>
      </c>
      <c r="O21" s="2350">
        <v>1591692</v>
      </c>
      <c r="P21" s="2350">
        <v>2205824</v>
      </c>
      <c r="Q21" s="2350">
        <v>2019287</v>
      </c>
      <c r="R21" s="2350">
        <v>547008</v>
      </c>
      <c r="S21" s="2367" t="s">
        <v>133</v>
      </c>
      <c r="T21" s="2338">
        <v>25334808</v>
      </c>
      <c r="U21" s="2372"/>
      <c r="V21" s="2344"/>
      <c r="W21" s="2372"/>
    </row>
    <row r="22" spans="1:23" ht="27" customHeight="1">
      <c r="A22" s="336">
        <v>2025.1</v>
      </c>
      <c r="B22" s="2365">
        <v>3778306</v>
      </c>
      <c r="C22" s="2350">
        <v>1290795</v>
      </c>
      <c r="D22" s="2350">
        <v>982158</v>
      </c>
      <c r="E22" s="2350">
        <v>1057656</v>
      </c>
      <c r="F22" s="2350">
        <v>567007</v>
      </c>
      <c r="G22" s="2350">
        <v>603128</v>
      </c>
      <c r="H22" s="2350">
        <v>480766</v>
      </c>
      <c r="I22" s="2350">
        <v>109169</v>
      </c>
      <c r="J22" s="2350">
        <v>4847987</v>
      </c>
      <c r="K22" s="2350">
        <v>1202393</v>
      </c>
      <c r="L22" s="2350">
        <v>1190212</v>
      </c>
      <c r="M22" s="2350">
        <v>1565804</v>
      </c>
      <c r="N22" s="2350">
        <v>1295947</v>
      </c>
      <c r="O22" s="2350">
        <v>1592659</v>
      </c>
      <c r="P22" s="2350">
        <v>2207027</v>
      </c>
      <c r="Q22" s="2350">
        <v>2019678</v>
      </c>
      <c r="R22" s="2350">
        <v>547414</v>
      </c>
      <c r="S22" s="2367" t="s">
        <v>133</v>
      </c>
      <c r="T22" s="2338">
        <v>25338106</v>
      </c>
      <c r="U22" s="2372"/>
      <c r="V22" s="2344"/>
      <c r="W22" s="2372"/>
    </row>
    <row r="23" spans="1:23" ht="27" customHeight="1">
      <c r="A23" s="336">
        <v>2025.11</v>
      </c>
      <c r="B23" s="2365">
        <v>3779248</v>
      </c>
      <c r="C23" s="2350">
        <v>1290858</v>
      </c>
      <c r="D23" s="2350">
        <v>982680</v>
      </c>
      <c r="E23" s="2350">
        <v>1065525</v>
      </c>
      <c r="F23" s="2350">
        <v>571648</v>
      </c>
      <c r="G23" s="2350">
        <v>604365</v>
      </c>
      <c r="H23" s="2350">
        <v>481857</v>
      </c>
      <c r="I23" s="2350">
        <v>114061</v>
      </c>
      <c r="J23" s="2350">
        <v>4922492</v>
      </c>
      <c r="K23" s="2350">
        <v>1222802</v>
      </c>
      <c r="L23" s="2350">
        <v>1224347</v>
      </c>
      <c r="M23" s="2350">
        <v>1680787</v>
      </c>
      <c r="N23" s="2350">
        <v>1367234</v>
      </c>
      <c r="O23" s="2350">
        <v>1719859</v>
      </c>
      <c r="P23" s="2350">
        <v>2281666</v>
      </c>
      <c r="Q23" s="2350">
        <v>2046977</v>
      </c>
      <c r="R23" s="2350">
        <v>547922</v>
      </c>
      <c r="S23" s="2367" t="s">
        <v>133</v>
      </c>
      <c r="T23" s="2338">
        <v>25904328</v>
      </c>
      <c r="U23" s="2372"/>
      <c r="V23" s="2344"/>
      <c r="W23" s="2372"/>
    </row>
    <row r="24" spans="1:23" ht="27" customHeight="1">
      <c r="A24" s="336">
        <v>2025.12</v>
      </c>
      <c r="B24" s="2365">
        <v>3778297</v>
      </c>
      <c r="C24" s="2350">
        <v>1290525</v>
      </c>
      <c r="D24" s="2350">
        <v>981686</v>
      </c>
      <c r="E24" s="2350">
        <v>1062406</v>
      </c>
      <c r="F24" s="2350">
        <v>566935</v>
      </c>
      <c r="G24" s="2350">
        <v>603254</v>
      </c>
      <c r="H24" s="2350">
        <v>481067</v>
      </c>
      <c r="I24" s="2350">
        <v>109385</v>
      </c>
      <c r="J24" s="2350">
        <v>4859494</v>
      </c>
      <c r="K24" s="2350">
        <v>1205689</v>
      </c>
      <c r="L24" s="2350">
        <v>1191298</v>
      </c>
      <c r="M24" s="2350">
        <v>1567444</v>
      </c>
      <c r="N24" s="2350">
        <v>1338026</v>
      </c>
      <c r="O24" s="2350">
        <v>1618521</v>
      </c>
      <c r="P24" s="2350">
        <v>2208508</v>
      </c>
      <c r="Q24" s="2350">
        <v>2022973</v>
      </c>
      <c r="R24" s="2350">
        <v>548668</v>
      </c>
      <c r="S24" s="2367" t="s">
        <v>133</v>
      </c>
      <c r="T24" s="2338">
        <v>25434176</v>
      </c>
      <c r="U24" s="2372"/>
      <c r="V24" s="2344"/>
      <c r="W24" s="2372"/>
    </row>
    <row r="25" spans="1:23" ht="27" customHeight="1">
      <c r="A25" s="337">
        <v>2026.01</v>
      </c>
      <c r="B25" s="2373">
        <v>3778980</v>
      </c>
      <c r="C25" s="2355">
        <v>1290413</v>
      </c>
      <c r="D25" s="2355">
        <v>981429</v>
      </c>
      <c r="E25" s="2355">
        <v>1058094</v>
      </c>
      <c r="F25" s="2355">
        <v>567176</v>
      </c>
      <c r="G25" s="2355">
        <v>603578</v>
      </c>
      <c r="H25" s="2355">
        <v>481299</v>
      </c>
      <c r="I25" s="2355">
        <v>109586</v>
      </c>
      <c r="J25" s="2355">
        <v>4853196</v>
      </c>
      <c r="K25" s="2355">
        <v>1204818</v>
      </c>
      <c r="L25" s="2355">
        <v>1192311</v>
      </c>
      <c r="M25" s="2355">
        <v>1568609</v>
      </c>
      <c r="N25" s="2355">
        <v>1296561</v>
      </c>
      <c r="O25" s="2355">
        <v>1595312</v>
      </c>
      <c r="P25" s="2355">
        <v>2209400</v>
      </c>
      <c r="Q25" s="2355">
        <v>2023649</v>
      </c>
      <c r="R25" s="2355">
        <v>549593</v>
      </c>
      <c r="S25" s="2374" t="s">
        <v>133</v>
      </c>
      <c r="T25" s="2375">
        <v>25364004</v>
      </c>
      <c r="U25" s="2372"/>
      <c r="V25" s="2344"/>
      <c r="W25" s="2372"/>
    </row>
    <row r="26" spans="1:23" ht="27" customHeight="1">
      <c r="A26" s="336">
        <v>2026.02</v>
      </c>
      <c r="B26" s="2365">
        <v>3779513</v>
      </c>
      <c r="C26" s="2350">
        <v>1290340</v>
      </c>
      <c r="D26" s="2350">
        <v>981637</v>
      </c>
      <c r="E26" s="2350">
        <v>1058239</v>
      </c>
      <c r="F26" s="2350">
        <v>567152</v>
      </c>
      <c r="G26" s="2350">
        <v>603705</v>
      </c>
      <c r="H26" s="2350">
        <v>481463</v>
      </c>
      <c r="I26" s="2350">
        <v>109650</v>
      </c>
      <c r="J26" s="2350">
        <v>4854900</v>
      </c>
      <c r="K26" s="2350">
        <v>1204945</v>
      </c>
      <c r="L26" s="2350">
        <v>1192646</v>
      </c>
      <c r="M26" s="2350">
        <v>1568865</v>
      </c>
      <c r="N26" s="2350">
        <v>1295992</v>
      </c>
      <c r="O26" s="2350">
        <v>1595693</v>
      </c>
      <c r="P26" s="2350">
        <v>2210250</v>
      </c>
      <c r="Q26" s="2350">
        <v>2024272</v>
      </c>
      <c r="R26" s="2350">
        <v>550215</v>
      </c>
      <c r="S26" s="2367" t="s">
        <v>133</v>
      </c>
      <c r="T26" s="2338">
        <v>25369477</v>
      </c>
      <c r="U26" s="2372"/>
      <c r="V26" s="2344"/>
      <c r="W26" s="2372"/>
    </row>
    <row r="27" spans="1:23" ht="27" customHeight="1">
      <c r="A27" s="336">
        <v>2026.03</v>
      </c>
      <c r="B27" s="2365">
        <v>3779794</v>
      </c>
      <c r="C27" s="2350">
        <v>1290169</v>
      </c>
      <c r="D27" s="2350">
        <v>982458</v>
      </c>
      <c r="E27" s="2350">
        <v>1066057</v>
      </c>
      <c r="F27" s="2350">
        <v>571704</v>
      </c>
      <c r="G27" s="2350">
        <v>604755</v>
      </c>
      <c r="H27" s="2350">
        <v>482502</v>
      </c>
      <c r="I27" s="2350">
        <v>114507</v>
      </c>
      <c r="J27" s="2350">
        <v>4928483</v>
      </c>
      <c r="K27" s="2350">
        <v>1224802</v>
      </c>
      <c r="L27" s="2350">
        <v>1226611</v>
      </c>
      <c r="M27" s="2350">
        <v>1683927</v>
      </c>
      <c r="N27" s="2350">
        <v>1366355</v>
      </c>
      <c r="O27" s="2350">
        <v>1723086</v>
      </c>
      <c r="P27" s="2350">
        <v>2284459</v>
      </c>
      <c r="Q27" s="2350">
        <v>2049230</v>
      </c>
      <c r="R27" s="2350">
        <v>550768</v>
      </c>
      <c r="S27" s="2367" t="s">
        <v>133</v>
      </c>
      <c r="T27" s="2338">
        <v>25929667</v>
      </c>
      <c r="U27" s="2372"/>
      <c r="V27" s="2344"/>
      <c r="W27" s="2372"/>
    </row>
    <row r="28" spans="1:23" ht="27" customHeight="1">
      <c r="A28" s="338">
        <v>2026.04</v>
      </c>
      <c r="B28" s="2376">
        <v>3780011</v>
      </c>
      <c r="C28" s="2377">
        <v>1290001</v>
      </c>
      <c r="D28" s="2377">
        <v>985501</v>
      </c>
      <c r="E28" s="2377">
        <v>1063484</v>
      </c>
      <c r="F28" s="2377">
        <v>567145</v>
      </c>
      <c r="G28" s="2377">
        <v>603336</v>
      </c>
      <c r="H28" s="2377">
        <v>481935</v>
      </c>
      <c r="I28" s="2377">
        <v>109789</v>
      </c>
      <c r="J28" s="2377">
        <v>4868676</v>
      </c>
      <c r="K28" s="2377">
        <v>1208181</v>
      </c>
      <c r="L28" s="2377">
        <v>1194907</v>
      </c>
      <c r="M28" s="2377">
        <v>1572374</v>
      </c>
      <c r="N28" s="2377">
        <v>1338877</v>
      </c>
      <c r="O28" s="2377">
        <v>1628976</v>
      </c>
      <c r="P28" s="2377">
        <v>2215693</v>
      </c>
      <c r="Q28" s="2377">
        <v>2026321</v>
      </c>
      <c r="R28" s="2377">
        <v>551582</v>
      </c>
      <c r="S28" s="2378" t="s">
        <v>133</v>
      </c>
      <c r="T28" s="2379">
        <v>25486789</v>
      </c>
      <c r="U28" s="2372"/>
      <c r="V28" s="2344"/>
      <c r="W28" s="2372"/>
    </row>
    <row r="29" spans="1:23" ht="5.25" customHeight="1">
      <c r="A29" s="675"/>
      <c r="B29" s="2380"/>
      <c r="C29" s="2380"/>
      <c r="D29" s="2380"/>
      <c r="E29" s="2380"/>
      <c r="F29" s="2380"/>
      <c r="G29" s="2380"/>
      <c r="H29" s="2380"/>
      <c r="I29" s="2380"/>
      <c r="J29" s="2380"/>
      <c r="K29" s="2380"/>
      <c r="L29" s="2380"/>
      <c r="M29" s="2380"/>
      <c r="N29" s="2380"/>
      <c r="O29" s="2380"/>
      <c r="P29" s="2380"/>
      <c r="Q29" s="2380"/>
      <c r="R29" s="2380"/>
      <c r="S29" s="2789"/>
      <c r="T29" s="682"/>
      <c r="V29" s="2344"/>
    </row>
    <row r="30" spans="1:23" ht="14.25" customHeight="1">
      <c r="A30" s="346" t="s">
        <v>1228</v>
      </c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2788"/>
      <c r="T30" s="346"/>
    </row>
    <row r="31" spans="1:23" ht="12.95" customHeight="1">
      <c r="A31" s="346"/>
      <c r="B31" s="346"/>
      <c r="C31" s="346"/>
      <c r="D31" s="346"/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2788"/>
      <c r="T31" s="346"/>
    </row>
    <row r="32" spans="1:23" ht="6.75" customHeight="1">
      <c r="A32" s="346"/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2788"/>
      <c r="T32" s="346"/>
    </row>
    <row r="33" spans="1:20" ht="15.75" customHeight="1">
      <c r="A33" s="615"/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2788"/>
      <c r="T33" s="282"/>
    </row>
    <row r="37" spans="1:20">
      <c r="D37" s="2381"/>
      <c r="E37" s="2382"/>
      <c r="F37" s="2381"/>
      <c r="G37" s="2382"/>
      <c r="H37" s="2381"/>
      <c r="I37" s="2382"/>
      <c r="J37" s="2381"/>
      <c r="K37" s="2381"/>
      <c r="L37" s="2382"/>
      <c r="M37" s="2381"/>
      <c r="N37" s="2382"/>
      <c r="O37" s="2381"/>
      <c r="P37" s="2382"/>
      <c r="Q37" s="2381"/>
      <c r="R37" s="2382"/>
      <c r="S37" s="2381"/>
      <c r="T37" s="2382"/>
    </row>
  </sheetData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64" orientation="portrait" useFirstPageNumber="1" r:id="rId1"/>
  <headerFooter differentOddEven="1" scaleWithDoc="0" alignWithMargins="0"/>
  <colBreaks count="1" manualBreakCount="1">
    <brk id="10" max="33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4C65-8445-47F8-860E-75684CCE1F58}">
  <sheetPr>
    <tabColor rgb="FF00B050"/>
  </sheetPr>
  <dimension ref="A1:W36"/>
  <sheetViews>
    <sheetView showGridLines="0" view="pageBreakPreview" zoomScaleNormal="100" zoomScaleSheetLayoutView="100" workbookViewId="0">
      <pane ySplit="4" topLeftCell="A5" activePane="bottomLeft" state="frozen"/>
      <selection pane="bottomLeft"/>
    </sheetView>
  </sheetViews>
  <sheetFormatPr defaultColWidth="7.875" defaultRowHeight="16.5"/>
  <cols>
    <col min="1" max="1" width="10.5" style="271" customWidth="1"/>
    <col min="2" max="17" width="9.25" style="271" customWidth="1"/>
    <col min="18" max="19" width="9" style="271" customWidth="1"/>
    <col min="20" max="20" width="10.75" style="271" customWidth="1"/>
    <col min="21" max="21" width="6" style="271" customWidth="1"/>
    <col min="22" max="22" width="12.25" style="271" customWidth="1"/>
    <col min="23" max="23" width="21.625" style="271" customWidth="1"/>
    <col min="24" max="16384" width="7.875" style="271"/>
  </cols>
  <sheetData>
    <row r="1" spans="1:23" ht="20.25">
      <c r="A1" s="2125" t="s">
        <v>1233</v>
      </c>
    </row>
    <row r="2" spans="1:23" s="274" customFormat="1" ht="17.25">
      <c r="A2" s="274" t="s">
        <v>1234</v>
      </c>
    </row>
    <row r="3" spans="1:23" ht="15" customHeight="1">
      <c r="A3" s="272"/>
      <c r="P3" s="281"/>
      <c r="R3" s="281"/>
      <c r="T3" s="1388" t="s">
        <v>1235</v>
      </c>
    </row>
    <row r="4" spans="1:23" s="272" customFormat="1" ht="39.950000000000003" customHeight="1">
      <c r="A4" s="2173" t="s">
        <v>56</v>
      </c>
      <c r="B4" s="2174" t="s">
        <v>1209</v>
      </c>
      <c r="C4" s="2237" t="s">
        <v>1210</v>
      </c>
      <c r="D4" s="2237" t="s">
        <v>1211</v>
      </c>
      <c r="E4" s="2237" t="s">
        <v>1212</v>
      </c>
      <c r="F4" s="2237" t="s">
        <v>1213</v>
      </c>
      <c r="G4" s="2237" t="s">
        <v>1214</v>
      </c>
      <c r="H4" s="2237" t="s">
        <v>1215</v>
      </c>
      <c r="I4" s="2237" t="s">
        <v>1216</v>
      </c>
      <c r="J4" s="2237" t="s">
        <v>1217</v>
      </c>
      <c r="K4" s="2237" t="s">
        <v>1218</v>
      </c>
      <c r="L4" s="2237" t="s">
        <v>1219</v>
      </c>
      <c r="M4" s="2237" t="s">
        <v>1220</v>
      </c>
      <c r="N4" s="2237" t="s">
        <v>1221</v>
      </c>
      <c r="O4" s="2237" t="s">
        <v>1222</v>
      </c>
      <c r="P4" s="2237" t="s">
        <v>1223</v>
      </c>
      <c r="Q4" s="1788" t="s">
        <v>1224</v>
      </c>
      <c r="R4" s="2237" t="s">
        <v>1225</v>
      </c>
      <c r="S4" s="2237" t="s">
        <v>1226</v>
      </c>
      <c r="T4" s="2336" t="s">
        <v>1227</v>
      </c>
      <c r="U4" s="613"/>
      <c r="V4" s="613"/>
      <c r="W4" s="613"/>
    </row>
    <row r="5" spans="1:23" ht="24.95" customHeight="1">
      <c r="A5" s="321">
        <v>2015</v>
      </c>
      <c r="B5" s="682">
        <v>5739198.8700000001</v>
      </c>
      <c r="C5" s="2130">
        <v>2436213.1910000001</v>
      </c>
      <c r="D5" s="2130">
        <v>1777454.0959999999</v>
      </c>
      <c r="E5" s="2130">
        <v>2701675.28</v>
      </c>
      <c r="F5" s="2130">
        <v>994381.30700000003</v>
      </c>
      <c r="G5" s="2130">
        <v>1070138.112</v>
      </c>
      <c r="H5" s="2130">
        <v>3123562.5010000002</v>
      </c>
      <c r="I5" s="2130">
        <v>293518.52299999999</v>
      </c>
      <c r="J5" s="2130">
        <v>12059548.964</v>
      </c>
      <c r="K5" s="2130">
        <v>1733453.655</v>
      </c>
      <c r="L5" s="2130">
        <v>2492080.3149999999</v>
      </c>
      <c r="M5" s="2130">
        <v>4887133.9230000004</v>
      </c>
      <c r="N5" s="2130">
        <v>2354870.5099999998</v>
      </c>
      <c r="O5" s="2130">
        <v>3234407.0269999998</v>
      </c>
      <c r="P5" s="2130">
        <v>4729547.9000000004</v>
      </c>
      <c r="Q5" s="2214">
        <v>3863687.5240000002</v>
      </c>
      <c r="R5" s="2130">
        <v>448730.26699999999</v>
      </c>
      <c r="S5" s="2130" t="s">
        <v>133</v>
      </c>
      <c r="T5" s="2338">
        <v>53963686.067000002</v>
      </c>
    </row>
    <row r="6" spans="1:23" ht="24.95" customHeight="1">
      <c r="A6" s="321">
        <v>2016</v>
      </c>
      <c r="B6" s="682">
        <v>5868162.0460000001</v>
      </c>
      <c r="C6" s="2130">
        <v>2488513.5819999999</v>
      </c>
      <c r="D6" s="2130">
        <v>1807332.825</v>
      </c>
      <c r="E6" s="2130">
        <v>2777111.409</v>
      </c>
      <c r="F6" s="2130">
        <v>1016102.088</v>
      </c>
      <c r="G6" s="2130">
        <v>1090995.827</v>
      </c>
      <c r="H6" s="2130">
        <v>3280840.3420000002</v>
      </c>
      <c r="I6" s="2130">
        <v>312832.12199999997</v>
      </c>
      <c r="J6" s="2130">
        <v>12509491.215</v>
      </c>
      <c r="K6" s="2130">
        <v>1761663.6810000001</v>
      </c>
      <c r="L6" s="2130">
        <v>2595575.1809999999</v>
      </c>
      <c r="M6" s="2130">
        <v>5013098.148</v>
      </c>
      <c r="N6" s="2130">
        <v>2393194.392</v>
      </c>
      <c r="O6" s="2130">
        <v>3279748.7280000001</v>
      </c>
      <c r="P6" s="2130">
        <v>4685943.7039999999</v>
      </c>
      <c r="Q6" s="2214">
        <v>3919434.9240000001</v>
      </c>
      <c r="R6" s="2130">
        <v>484466.24099999998</v>
      </c>
      <c r="S6" s="2130" t="s">
        <v>133</v>
      </c>
      <c r="T6" s="2338">
        <v>55287523.060000002</v>
      </c>
    </row>
    <row r="7" spans="1:23" ht="24.95" customHeight="1">
      <c r="A7" s="321">
        <v>2017</v>
      </c>
      <c r="B7" s="682">
        <v>5623776.1540000001</v>
      </c>
      <c r="C7" s="2130">
        <v>2483562.3650000002</v>
      </c>
      <c r="D7" s="2129">
        <v>1784504.31</v>
      </c>
      <c r="E7" s="2129">
        <v>2800714.46</v>
      </c>
      <c r="F7" s="2129">
        <v>1006438.855</v>
      </c>
      <c r="G7" s="2129">
        <v>1072650.8700000001</v>
      </c>
      <c r="H7" s="2129">
        <v>3223352.148</v>
      </c>
      <c r="I7" s="2130">
        <v>325897.97200000001</v>
      </c>
      <c r="J7" s="2130">
        <v>12897850.379000001</v>
      </c>
      <c r="K7" s="2130">
        <v>1769118.419</v>
      </c>
      <c r="L7" s="2129">
        <v>2668983.5890000002</v>
      </c>
      <c r="M7" s="2129">
        <v>5168386.6270000003</v>
      </c>
      <c r="N7" s="2129">
        <v>2373201.571</v>
      </c>
      <c r="O7" s="2129">
        <v>3282887.57</v>
      </c>
      <c r="P7" s="2129">
        <v>4735971.5209999997</v>
      </c>
      <c r="Q7" s="2214">
        <v>3891082.7059999998</v>
      </c>
      <c r="R7" s="2130">
        <v>505631.29399999999</v>
      </c>
      <c r="S7" s="2129" t="s">
        <v>133</v>
      </c>
      <c r="T7" s="2338">
        <v>55614010.810000002</v>
      </c>
    </row>
    <row r="8" spans="1:23" ht="24.95" customHeight="1">
      <c r="A8" s="321">
        <v>2018</v>
      </c>
      <c r="B8" s="682">
        <v>5790317.4620000003</v>
      </c>
      <c r="C8" s="2130">
        <v>2494699.7829999998</v>
      </c>
      <c r="D8" s="2129">
        <v>1808030.5619999999</v>
      </c>
      <c r="E8" s="2129">
        <v>2845142.1030000001</v>
      </c>
      <c r="F8" s="2129">
        <v>1016379.942</v>
      </c>
      <c r="G8" s="2129">
        <v>1092200.544</v>
      </c>
      <c r="H8" s="2129">
        <v>3335639.61</v>
      </c>
      <c r="I8" s="2130">
        <v>339740.73499999999</v>
      </c>
      <c r="J8" s="2130">
        <v>13705493.685000001</v>
      </c>
      <c r="K8" s="2130">
        <v>1794062.058</v>
      </c>
      <c r="L8" s="2129">
        <v>2800436.4580000001</v>
      </c>
      <c r="M8" s="2129">
        <v>5334112.7039999999</v>
      </c>
      <c r="N8" s="2129">
        <v>2365022.4070000001</v>
      </c>
      <c r="O8" s="2129">
        <v>3306758.2149999999</v>
      </c>
      <c r="P8" s="2129">
        <v>4744096.8320000004</v>
      </c>
      <c r="Q8" s="2214">
        <v>3916327.233</v>
      </c>
      <c r="R8" s="2130">
        <v>528908.80700000003</v>
      </c>
      <c r="S8" s="2129" t="s">
        <v>133</v>
      </c>
      <c r="T8" s="2338">
        <v>57217586.406000003</v>
      </c>
    </row>
    <row r="9" spans="1:23" ht="24.95" customHeight="1">
      <c r="A9" s="321">
        <v>2019</v>
      </c>
      <c r="B9" s="682">
        <v>5678362.8169999998</v>
      </c>
      <c r="C9" s="2130">
        <v>2439263.94</v>
      </c>
      <c r="D9" s="2129">
        <v>1760124.4180000001</v>
      </c>
      <c r="E9" s="2129">
        <v>2747900.307</v>
      </c>
      <c r="F9" s="2129">
        <v>995175.84</v>
      </c>
      <c r="G9" s="2129">
        <v>1065214.3359999999</v>
      </c>
      <c r="H9" s="2129">
        <v>3371729.1209999998</v>
      </c>
      <c r="I9" s="2130">
        <v>351183.41600000003</v>
      </c>
      <c r="J9" s="2130">
        <v>13753668.659</v>
      </c>
      <c r="K9" s="2130">
        <v>1739106.9580000001</v>
      </c>
      <c r="L9" s="2129">
        <v>2839677.7</v>
      </c>
      <c r="M9" s="2129">
        <v>5400885.7379999999</v>
      </c>
      <c r="N9" s="2129">
        <v>2284905.8590000002</v>
      </c>
      <c r="O9" s="2129">
        <v>3169300.2319999998</v>
      </c>
      <c r="P9" s="2129">
        <v>4580604.6770000001</v>
      </c>
      <c r="Q9" s="2214">
        <v>3838724.6120000002</v>
      </c>
      <c r="R9" s="2130">
        <v>540075.23300000001</v>
      </c>
      <c r="S9" s="2129" t="s">
        <v>133</v>
      </c>
      <c r="T9" s="2338">
        <v>56556500.292000003</v>
      </c>
    </row>
    <row r="10" spans="1:23" ht="24.95" customHeight="1">
      <c r="A10" s="321">
        <v>2020</v>
      </c>
      <c r="B10" s="2180">
        <v>5586008.5099999998</v>
      </c>
      <c r="C10" s="2130">
        <v>2435355.8859999999</v>
      </c>
      <c r="D10" s="2130">
        <v>1728567.6140000001</v>
      </c>
      <c r="E10" s="2130">
        <v>2706029.7370000002</v>
      </c>
      <c r="F10" s="2130">
        <v>996546.73100000003</v>
      </c>
      <c r="G10" s="2130">
        <v>1069185.9210000001</v>
      </c>
      <c r="H10" s="2130">
        <v>3289748.1839999999</v>
      </c>
      <c r="I10" s="2130">
        <v>374082.26299999998</v>
      </c>
      <c r="J10" s="2130">
        <v>14018192.450999999</v>
      </c>
      <c r="K10" s="2130">
        <v>1706747.8049999999</v>
      </c>
      <c r="L10" s="2130">
        <v>2863510.378</v>
      </c>
      <c r="M10" s="2130">
        <v>5222688.7</v>
      </c>
      <c r="N10" s="2130">
        <v>2147091.0610000002</v>
      </c>
      <c r="O10" s="2130">
        <v>3088746.4240000001</v>
      </c>
      <c r="P10" s="2130">
        <v>4306743.5</v>
      </c>
      <c r="Q10" s="2130">
        <v>3824395.1690000002</v>
      </c>
      <c r="R10" s="2130">
        <v>554660.72499999998</v>
      </c>
      <c r="S10" s="2130" t="s">
        <v>133</v>
      </c>
      <c r="T10" s="2339">
        <v>55918578.210000001</v>
      </c>
    </row>
    <row r="11" spans="1:23" s="2136" customFormat="1" ht="24.95" customHeight="1">
      <c r="A11" s="321">
        <v>2021</v>
      </c>
      <c r="B11" s="682">
        <v>5706953.7580000004</v>
      </c>
      <c r="C11" s="2130">
        <v>2466439.3679999998</v>
      </c>
      <c r="D11" s="2129">
        <v>1768297.817</v>
      </c>
      <c r="E11" s="2129">
        <v>2823563.1230000001</v>
      </c>
      <c r="F11" s="2129">
        <v>1027303.532</v>
      </c>
      <c r="G11" s="2129">
        <v>1095294.696</v>
      </c>
      <c r="H11" s="2129">
        <v>3316604.0789999999</v>
      </c>
      <c r="I11" s="2130">
        <v>443778.95199999999</v>
      </c>
      <c r="J11" s="2130">
        <v>14750078.441</v>
      </c>
      <c r="K11" s="2130">
        <v>1768134.2690000001</v>
      </c>
      <c r="L11" s="2129">
        <v>2991689.5440000002</v>
      </c>
      <c r="M11" s="2129">
        <v>4999147.1979999999</v>
      </c>
      <c r="N11" s="2129">
        <v>2213108.7560000001</v>
      </c>
      <c r="O11" s="2129">
        <v>3248676.2149999999</v>
      </c>
      <c r="P11" s="2129">
        <v>4532973.466</v>
      </c>
      <c r="Q11" s="2214">
        <v>3940928.622</v>
      </c>
      <c r="R11" s="2130">
        <v>578515.48</v>
      </c>
      <c r="S11" s="1588" t="s">
        <v>133</v>
      </c>
      <c r="T11" s="2338">
        <v>57671487.527999997</v>
      </c>
    </row>
    <row r="12" spans="1:23" s="2136" customFormat="1" ht="24.95" customHeight="1">
      <c r="A12" s="321">
        <v>2022</v>
      </c>
      <c r="B12" s="682">
        <v>6402315.2309999997</v>
      </c>
      <c r="C12" s="2130">
        <v>2761330.2960000001</v>
      </c>
      <c r="D12" s="2129">
        <v>2024811.257</v>
      </c>
      <c r="E12" s="2129">
        <v>3201251.6680000001</v>
      </c>
      <c r="F12" s="2129">
        <v>1153272.324</v>
      </c>
      <c r="G12" s="2129">
        <v>1241915.2660000001</v>
      </c>
      <c r="H12" s="2129">
        <v>3699712.6269999999</v>
      </c>
      <c r="I12" s="2130">
        <v>421343.93</v>
      </c>
      <c r="J12" s="2130">
        <v>17191472.668000001</v>
      </c>
      <c r="K12" s="2130">
        <v>2040969.645</v>
      </c>
      <c r="L12" s="2129">
        <v>3475415.9109999998</v>
      </c>
      <c r="M12" s="2129">
        <v>5775990.6220000004</v>
      </c>
      <c r="N12" s="2129">
        <v>2520979.4</v>
      </c>
      <c r="O12" s="2129">
        <v>3832733.4819999998</v>
      </c>
      <c r="P12" s="2129">
        <v>5167763.4060000004</v>
      </c>
      <c r="Q12" s="2214">
        <v>4432103.4579999996</v>
      </c>
      <c r="R12" s="2130">
        <v>686703.09499999997</v>
      </c>
      <c r="S12" s="2129" t="s">
        <v>133</v>
      </c>
      <c r="T12" s="2338">
        <v>66030084.284999996</v>
      </c>
    </row>
    <row r="13" spans="1:23" s="2136" customFormat="1" ht="24.95" customHeight="1">
      <c r="A13" s="321">
        <v>2023</v>
      </c>
      <c r="B13" s="682">
        <v>7957311.7750000004</v>
      </c>
      <c r="C13" s="2130">
        <v>3437058.2409999999</v>
      </c>
      <c r="D13" s="2129">
        <v>2545644.4550000001</v>
      </c>
      <c r="E13" s="2129">
        <v>4083829.82</v>
      </c>
      <c r="F13" s="2129">
        <v>1426727.0649999999</v>
      </c>
      <c r="G13" s="2129">
        <v>1544285.19</v>
      </c>
      <c r="H13" s="2129">
        <v>4726339.8959999997</v>
      </c>
      <c r="I13" s="2130">
        <v>605352.06400000001</v>
      </c>
      <c r="J13" s="2130">
        <v>21749390.686999999</v>
      </c>
      <c r="K13" s="2130">
        <v>2565007.2170000002</v>
      </c>
      <c r="L13" s="2129">
        <v>4451315.665</v>
      </c>
      <c r="M13" s="2129">
        <v>7374821.2019999996</v>
      </c>
      <c r="N13" s="2129">
        <v>3156403.622</v>
      </c>
      <c r="O13" s="2129">
        <v>4833826.2340000002</v>
      </c>
      <c r="P13" s="2129">
        <v>6523944.9730000002</v>
      </c>
      <c r="Q13" s="2214">
        <v>5585518.3300000001</v>
      </c>
      <c r="R13" s="2130">
        <v>858716.98199999996</v>
      </c>
      <c r="S13" s="2129" t="s">
        <v>133</v>
      </c>
      <c r="T13" s="2338">
        <v>83425493.416999996</v>
      </c>
    </row>
    <row r="14" spans="1:23" ht="24.95" customHeight="1">
      <c r="A14" s="321">
        <v>2024</v>
      </c>
      <c r="B14" s="682">
        <v>8381014.7309999997</v>
      </c>
      <c r="C14" s="2130">
        <v>3649545.3879999998</v>
      </c>
      <c r="D14" s="2129">
        <v>2738938.24</v>
      </c>
      <c r="E14" s="2129">
        <v>4345309.4809999997</v>
      </c>
      <c r="F14" s="2129">
        <v>1534957.3119999999</v>
      </c>
      <c r="G14" s="2129">
        <v>1652331.578</v>
      </c>
      <c r="H14" s="2129">
        <v>5232011.5769999996</v>
      </c>
      <c r="I14" s="2130">
        <v>677583.02399999998</v>
      </c>
      <c r="J14" s="2130">
        <v>23640195.784000002</v>
      </c>
      <c r="K14" s="2130">
        <v>2660903.3969999999</v>
      </c>
      <c r="L14" s="2129">
        <v>4491921.43</v>
      </c>
      <c r="M14" s="2129">
        <v>8066351.4220000003</v>
      </c>
      <c r="N14" s="2129">
        <v>3401221.5279999999</v>
      </c>
      <c r="O14" s="2129">
        <v>5219965.3530000001</v>
      </c>
      <c r="P14" s="2129">
        <v>7000780.7850000001</v>
      </c>
      <c r="Q14" s="2214">
        <v>5967694.2039999999</v>
      </c>
      <c r="R14" s="2130">
        <v>918670.74199999997</v>
      </c>
      <c r="S14" s="2383" t="s">
        <v>133</v>
      </c>
      <c r="T14" s="2338">
        <v>89579395.975999996</v>
      </c>
    </row>
    <row r="15" spans="1:23" s="2136" customFormat="1" ht="24.95" customHeight="1">
      <c r="A15" s="1917">
        <v>2025</v>
      </c>
      <c r="B15" s="2219">
        <v>8598838.7029999997</v>
      </c>
      <c r="C15" s="2311">
        <v>3798602.49</v>
      </c>
      <c r="D15" s="2341">
        <v>2828187.8089999999</v>
      </c>
      <c r="E15" s="2341">
        <v>4572686.4119999995</v>
      </c>
      <c r="F15" s="2341">
        <v>1579112.4029999999</v>
      </c>
      <c r="G15" s="2341">
        <v>1725298.7420000001</v>
      </c>
      <c r="H15" s="2341">
        <v>5303948.6880000001</v>
      </c>
      <c r="I15" s="2311">
        <v>733068.35900000005</v>
      </c>
      <c r="J15" s="2311">
        <v>25002362.375</v>
      </c>
      <c r="K15" s="2311">
        <v>2714505.4440000001</v>
      </c>
      <c r="L15" s="2341">
        <v>4648196.7319999998</v>
      </c>
      <c r="M15" s="2341">
        <v>8575062.6999999993</v>
      </c>
      <c r="N15" s="2341">
        <v>3598262.574</v>
      </c>
      <c r="O15" s="2341">
        <v>5502571.4249999998</v>
      </c>
      <c r="P15" s="2341">
        <v>7218431.909</v>
      </c>
      <c r="Q15" s="2217">
        <v>6256161.409</v>
      </c>
      <c r="R15" s="2311">
        <v>948183.43200000003</v>
      </c>
      <c r="S15" s="2384" t="s">
        <v>133</v>
      </c>
      <c r="T15" s="2343">
        <v>93603481.606999993</v>
      </c>
      <c r="V15" s="2344"/>
      <c r="W15" s="2255"/>
    </row>
    <row r="16" spans="1:23" s="2136" customFormat="1" ht="24.95" customHeight="1">
      <c r="A16" s="1602" t="s">
        <v>828</v>
      </c>
      <c r="B16" s="2385">
        <v>2735884.28</v>
      </c>
      <c r="C16" s="2386">
        <v>1224477.0349999999</v>
      </c>
      <c r="D16" s="2386">
        <v>914427.03899999999</v>
      </c>
      <c r="E16" s="2386">
        <v>1478134.9909999999</v>
      </c>
      <c r="F16" s="2386">
        <v>517711.125</v>
      </c>
      <c r="G16" s="2386">
        <v>558005.15899999999</v>
      </c>
      <c r="H16" s="2386">
        <v>1715331.9790000001</v>
      </c>
      <c r="I16" s="2386">
        <v>235658.83100000001</v>
      </c>
      <c r="J16" s="2386">
        <v>8171491.3190000001</v>
      </c>
      <c r="K16" s="2386">
        <v>951154.26599999995</v>
      </c>
      <c r="L16" s="2386">
        <v>1539483.7960000001</v>
      </c>
      <c r="M16" s="2386">
        <v>2838302.8169999998</v>
      </c>
      <c r="N16" s="2386">
        <v>1195316.2050000001</v>
      </c>
      <c r="O16" s="2386">
        <v>1875930.987</v>
      </c>
      <c r="P16" s="2386">
        <v>2407885.5129999998</v>
      </c>
      <c r="Q16" s="2387">
        <v>2104175.375</v>
      </c>
      <c r="R16" s="2311">
        <v>308998.489</v>
      </c>
      <c r="S16" s="2388" t="s">
        <v>133</v>
      </c>
      <c r="T16" s="2343">
        <v>30772369.204999998</v>
      </c>
      <c r="V16" s="2344"/>
      <c r="W16" s="2255"/>
    </row>
    <row r="17" spans="1:23" s="2136" customFormat="1" ht="24.95" customHeight="1">
      <c r="A17" s="663">
        <v>2025.04</v>
      </c>
      <c r="B17" s="2389">
        <v>577070.49899999995</v>
      </c>
      <c r="C17" s="2390">
        <v>273251.74400000001</v>
      </c>
      <c r="D17" s="2390">
        <v>201790.552</v>
      </c>
      <c r="E17" s="2390">
        <v>321381.82799999998</v>
      </c>
      <c r="F17" s="2390">
        <v>114391.996</v>
      </c>
      <c r="G17" s="2390">
        <v>121101.886</v>
      </c>
      <c r="H17" s="2390">
        <v>416459.39299999998</v>
      </c>
      <c r="I17" s="2390">
        <v>53123.612999999998</v>
      </c>
      <c r="J17" s="2390">
        <v>1792949.8840000001</v>
      </c>
      <c r="K17" s="2390">
        <v>204916.916</v>
      </c>
      <c r="L17" s="2390">
        <v>343117.89799999999</v>
      </c>
      <c r="M17" s="2390">
        <v>648291.35400000005</v>
      </c>
      <c r="N17" s="2390">
        <v>272543.79300000001</v>
      </c>
      <c r="O17" s="2390">
        <v>433915.18699999998</v>
      </c>
      <c r="P17" s="2390">
        <v>553748.71900000004</v>
      </c>
      <c r="Q17" s="2391">
        <v>471583.99200000003</v>
      </c>
      <c r="R17" s="2130">
        <v>69355.907999999996</v>
      </c>
      <c r="S17" s="1588" t="s">
        <v>133</v>
      </c>
      <c r="T17" s="2392">
        <v>6868995.1610000003</v>
      </c>
      <c r="V17" s="2344"/>
      <c r="W17" s="2255"/>
    </row>
    <row r="18" spans="1:23" s="2136" customFormat="1" ht="24.95" customHeight="1">
      <c r="A18" s="663">
        <v>2025.05</v>
      </c>
      <c r="B18" s="2389">
        <v>550361.67500000005</v>
      </c>
      <c r="C18" s="2390">
        <v>257623.296</v>
      </c>
      <c r="D18" s="2390">
        <v>191149.114</v>
      </c>
      <c r="E18" s="2390">
        <v>318075.65600000002</v>
      </c>
      <c r="F18" s="2390">
        <v>106369.09600000001</v>
      </c>
      <c r="G18" s="2390">
        <v>115256.807</v>
      </c>
      <c r="H18" s="2390">
        <v>412608.24800000002</v>
      </c>
      <c r="I18" s="2390">
        <v>51647.748</v>
      </c>
      <c r="J18" s="2390">
        <v>1726176.96</v>
      </c>
      <c r="K18" s="2390">
        <v>190884.48699999999</v>
      </c>
      <c r="L18" s="2390">
        <v>328437.39500000002</v>
      </c>
      <c r="M18" s="2390">
        <v>629135.29599999997</v>
      </c>
      <c r="N18" s="2390">
        <v>261800.17600000001</v>
      </c>
      <c r="O18" s="2390">
        <v>426580.95500000002</v>
      </c>
      <c r="P18" s="2390">
        <v>538605.09400000004</v>
      </c>
      <c r="Q18" s="2391">
        <v>442753.07500000001</v>
      </c>
      <c r="R18" s="2130">
        <v>64419.34</v>
      </c>
      <c r="S18" s="1588" t="s">
        <v>133</v>
      </c>
      <c r="T18" s="2339">
        <v>6611884.4189999998</v>
      </c>
      <c r="V18" s="2344"/>
      <c r="W18" s="2255"/>
    </row>
    <row r="19" spans="1:23" s="2136" customFormat="1" ht="24.95" customHeight="1">
      <c r="A19" s="663">
        <v>2025.06</v>
      </c>
      <c r="B19" s="2389">
        <v>672369.549</v>
      </c>
      <c r="C19" s="2390">
        <v>296250.34700000001</v>
      </c>
      <c r="D19" s="2390">
        <v>225140.54800000001</v>
      </c>
      <c r="E19" s="2390">
        <v>368024.185</v>
      </c>
      <c r="F19" s="2390">
        <v>122569.08</v>
      </c>
      <c r="G19" s="2390">
        <v>137124.18100000001</v>
      </c>
      <c r="H19" s="2390">
        <v>453956.446</v>
      </c>
      <c r="I19" s="2390">
        <v>59750.409</v>
      </c>
      <c r="J19" s="2390">
        <v>2014916.3840000001</v>
      </c>
      <c r="K19" s="2390">
        <v>208455.36900000001</v>
      </c>
      <c r="L19" s="2390">
        <v>382440.74699999997</v>
      </c>
      <c r="M19" s="2390">
        <v>725366.02500000002</v>
      </c>
      <c r="N19" s="2390">
        <v>288894.09299999999</v>
      </c>
      <c r="O19" s="2390">
        <v>452338.027</v>
      </c>
      <c r="P19" s="2390">
        <v>595647.13100000005</v>
      </c>
      <c r="Q19" s="2391">
        <v>501885.45199999999</v>
      </c>
      <c r="R19" s="2130">
        <v>71642.740000000005</v>
      </c>
      <c r="S19" s="1588" t="s">
        <v>133</v>
      </c>
      <c r="T19" s="2339">
        <v>7576770.7120000003</v>
      </c>
      <c r="V19" s="2344"/>
      <c r="W19" s="2255"/>
    </row>
    <row r="20" spans="1:23" s="2136" customFormat="1" ht="24.95" customHeight="1">
      <c r="A20" s="663">
        <v>2025.07</v>
      </c>
      <c r="B20" s="2389">
        <v>877427.1</v>
      </c>
      <c r="C20" s="2390">
        <v>363975.152</v>
      </c>
      <c r="D20" s="2390">
        <v>276037.21000000002</v>
      </c>
      <c r="E20" s="2390">
        <v>438263.04100000003</v>
      </c>
      <c r="F20" s="2390">
        <v>154653.261</v>
      </c>
      <c r="G20" s="2390">
        <v>167236.89199999999</v>
      </c>
      <c r="H20" s="2390">
        <v>499261.973</v>
      </c>
      <c r="I20" s="2390">
        <v>69136.320000000007</v>
      </c>
      <c r="J20" s="2390">
        <v>2396538.04</v>
      </c>
      <c r="K20" s="2390">
        <v>232403.32699999999</v>
      </c>
      <c r="L20" s="2390">
        <v>430315.73200000002</v>
      </c>
      <c r="M20" s="2390">
        <v>801568.16299999994</v>
      </c>
      <c r="N20" s="2390">
        <v>334329.34000000003</v>
      </c>
      <c r="O20" s="2390">
        <v>497781.96899999998</v>
      </c>
      <c r="P20" s="2390">
        <v>668805.45900000003</v>
      </c>
      <c r="Q20" s="2391">
        <v>585598.67599999998</v>
      </c>
      <c r="R20" s="2130">
        <v>89651.695999999996</v>
      </c>
      <c r="S20" s="1588" t="s">
        <v>133</v>
      </c>
      <c r="T20" s="2339">
        <v>8882983.3499999996</v>
      </c>
      <c r="V20" s="2344"/>
      <c r="W20" s="2255"/>
    </row>
    <row r="21" spans="1:23" s="2136" customFormat="1" ht="24.95" customHeight="1">
      <c r="A21" s="663">
        <v>2025.08</v>
      </c>
      <c r="B21" s="2389">
        <v>992064.26899999997</v>
      </c>
      <c r="C21" s="2390">
        <v>400275.85200000001</v>
      </c>
      <c r="D21" s="2390">
        <v>293594.87</v>
      </c>
      <c r="E21" s="2390">
        <v>469020.97399999999</v>
      </c>
      <c r="F21" s="2390">
        <v>166009.21299999999</v>
      </c>
      <c r="G21" s="2390">
        <v>184186.03899999999</v>
      </c>
      <c r="H21" s="2390">
        <v>503106.87199999997</v>
      </c>
      <c r="I21" s="2390">
        <v>73698.997000000003</v>
      </c>
      <c r="J21" s="2390">
        <v>2538268.2689999999</v>
      </c>
      <c r="K21" s="2390">
        <v>250880.35399999999</v>
      </c>
      <c r="L21" s="2390">
        <v>442033.288</v>
      </c>
      <c r="M21" s="2390">
        <v>802166.74399999995</v>
      </c>
      <c r="N21" s="2390">
        <v>345732.93400000001</v>
      </c>
      <c r="O21" s="2390">
        <v>534865.451</v>
      </c>
      <c r="P21" s="2390">
        <v>681782.80599999998</v>
      </c>
      <c r="Q21" s="2391">
        <v>590840.30799999996</v>
      </c>
      <c r="R21" s="2130">
        <v>102017.42</v>
      </c>
      <c r="S21" s="1588" t="s">
        <v>133</v>
      </c>
      <c r="T21" s="2339">
        <v>9370544.659</v>
      </c>
      <c r="U21" s="2344"/>
      <c r="V21" s="2344"/>
      <c r="W21" s="2255"/>
    </row>
    <row r="22" spans="1:23" s="2136" customFormat="1" ht="24.95" customHeight="1">
      <c r="A22" s="663">
        <v>2025.09</v>
      </c>
      <c r="B22" s="2389">
        <v>845654.17599999998</v>
      </c>
      <c r="C22" s="2390">
        <v>374613.58199999999</v>
      </c>
      <c r="D22" s="2390">
        <v>274139.97200000001</v>
      </c>
      <c r="E22" s="2390">
        <v>415961.26899999997</v>
      </c>
      <c r="F22" s="2390">
        <v>152427.399</v>
      </c>
      <c r="G22" s="2390">
        <v>164618.36199999999</v>
      </c>
      <c r="H22" s="2390">
        <v>450030.35700000002</v>
      </c>
      <c r="I22" s="2390">
        <v>67187.663</v>
      </c>
      <c r="J22" s="2390">
        <v>2205642.8629999999</v>
      </c>
      <c r="K22" s="2390">
        <v>225932.565</v>
      </c>
      <c r="L22" s="2390">
        <v>399002.99200000003</v>
      </c>
      <c r="M22" s="2390">
        <v>717943.245</v>
      </c>
      <c r="N22" s="2390">
        <v>314341.19199999998</v>
      </c>
      <c r="O22" s="2390">
        <v>461478.63199999998</v>
      </c>
      <c r="P22" s="2390">
        <v>622514.88300000003</v>
      </c>
      <c r="Q22" s="2391">
        <v>559491.21900000004</v>
      </c>
      <c r="R22" s="2130">
        <v>94749.145999999993</v>
      </c>
      <c r="S22" s="1588" t="s">
        <v>133</v>
      </c>
      <c r="T22" s="2339">
        <v>8345729.5190000003</v>
      </c>
      <c r="V22" s="2344"/>
      <c r="W22" s="2255"/>
    </row>
    <row r="23" spans="1:23" s="2136" customFormat="1" ht="24.95" customHeight="1">
      <c r="A23" s="663">
        <v>2025.1</v>
      </c>
      <c r="B23" s="2389">
        <v>594103.45299999998</v>
      </c>
      <c r="C23" s="2390">
        <v>279112.31800000003</v>
      </c>
      <c r="D23" s="2390">
        <v>200634.80600000001</v>
      </c>
      <c r="E23" s="2390">
        <v>326478.60200000001</v>
      </c>
      <c r="F23" s="2390">
        <v>113037.79399999999</v>
      </c>
      <c r="G23" s="2390">
        <v>123032.04700000001</v>
      </c>
      <c r="H23" s="2390">
        <v>401592.29399999999</v>
      </c>
      <c r="I23" s="2390">
        <v>53859.955000000002</v>
      </c>
      <c r="J23" s="2390">
        <v>1793995.0209999999</v>
      </c>
      <c r="K23" s="2390">
        <v>186704.68</v>
      </c>
      <c r="L23" s="2390">
        <v>340719.52600000001</v>
      </c>
      <c r="M23" s="2390">
        <v>618878.80700000003</v>
      </c>
      <c r="N23" s="2390">
        <v>258425.26</v>
      </c>
      <c r="O23" s="2390">
        <v>397655.85100000002</v>
      </c>
      <c r="P23" s="2390">
        <v>511919.85800000001</v>
      </c>
      <c r="Q23" s="2391">
        <v>436126.19900000002</v>
      </c>
      <c r="R23" s="2130">
        <v>72887.152000000002</v>
      </c>
      <c r="S23" s="1588" t="s">
        <v>133</v>
      </c>
      <c r="T23" s="2339">
        <v>6709163.625</v>
      </c>
      <c r="V23" s="2344"/>
      <c r="W23" s="2255"/>
    </row>
    <row r="24" spans="1:23" s="2136" customFormat="1" ht="24.95" customHeight="1">
      <c r="A24" s="663">
        <v>2025.11</v>
      </c>
      <c r="B24" s="2389">
        <v>616769.152</v>
      </c>
      <c r="C24" s="2390">
        <v>287882.45799999998</v>
      </c>
      <c r="D24" s="2390">
        <v>214977.55499999999</v>
      </c>
      <c r="E24" s="2390">
        <v>360549.47</v>
      </c>
      <c r="F24" s="2390">
        <v>116840.97900000001</v>
      </c>
      <c r="G24" s="2390">
        <v>130186.289</v>
      </c>
      <c r="H24" s="2390">
        <v>421800.99900000001</v>
      </c>
      <c r="I24" s="2390">
        <v>58374.576999999997</v>
      </c>
      <c r="J24" s="2390">
        <v>1976234.861</v>
      </c>
      <c r="K24" s="2390">
        <v>219780.98699999999</v>
      </c>
      <c r="L24" s="2390">
        <v>373789.36700000003</v>
      </c>
      <c r="M24" s="2390">
        <v>692459.28200000001</v>
      </c>
      <c r="N24" s="2390">
        <v>288280.30099999998</v>
      </c>
      <c r="O24" s="2390">
        <v>423697.641</v>
      </c>
      <c r="P24" s="2390">
        <v>579800.14199999999</v>
      </c>
      <c r="Q24" s="2390">
        <v>491529.78700000001</v>
      </c>
      <c r="R24" s="2390">
        <v>69390.464999999997</v>
      </c>
      <c r="S24" s="1588" t="s">
        <v>133</v>
      </c>
      <c r="T24" s="2339">
        <v>7322344.3119999999</v>
      </c>
      <c r="V24" s="2344"/>
      <c r="W24" s="2255"/>
    </row>
    <row r="25" spans="1:23" s="2136" customFormat="1" ht="24.95" customHeight="1">
      <c r="A25" s="663">
        <v>2025.12</v>
      </c>
      <c r="B25" s="2389">
        <v>714205.04700000002</v>
      </c>
      <c r="C25" s="2390">
        <v>314392.451</v>
      </c>
      <c r="D25" s="2390">
        <v>238086.696</v>
      </c>
      <c r="E25" s="2390">
        <v>398178.22499999998</v>
      </c>
      <c r="F25" s="2390">
        <v>129494.45600000001</v>
      </c>
      <c r="G25" s="2390">
        <v>145652.96599999999</v>
      </c>
      <c r="H25" s="2390">
        <v>446259.52</v>
      </c>
      <c r="I25" s="2390">
        <v>63753.858999999997</v>
      </c>
      <c r="J25" s="2390">
        <v>2179098.6570000001</v>
      </c>
      <c r="K25" s="2390">
        <v>248309.40900000001</v>
      </c>
      <c r="L25" s="2390">
        <v>411973.88799999998</v>
      </c>
      <c r="M25" s="2390">
        <v>749242.32200000004</v>
      </c>
      <c r="N25" s="2390">
        <v>311143.07400000002</v>
      </c>
      <c r="O25" s="2390">
        <v>432241.913</v>
      </c>
      <c r="P25" s="2390">
        <v>611471.022</v>
      </c>
      <c r="Q25" s="2391">
        <v>543761.31900000002</v>
      </c>
      <c r="R25" s="2130">
        <v>74426.982000000004</v>
      </c>
      <c r="S25" s="1588" t="s">
        <v>133</v>
      </c>
      <c r="T25" s="2339">
        <v>8011691.8049999997</v>
      </c>
      <c r="V25" s="2344"/>
      <c r="W25" s="2255"/>
    </row>
    <row r="26" spans="1:23" s="2136" customFormat="1" ht="24.95" customHeight="1">
      <c r="A26" s="652" t="s">
        <v>829</v>
      </c>
      <c r="B26" s="2393">
        <v>2784332.8829999999</v>
      </c>
      <c r="C26" s="2394">
        <v>1221871.561</v>
      </c>
      <c r="D26" s="2394">
        <v>923826.06900000002</v>
      </c>
      <c r="E26" s="2394">
        <v>1512945.666</v>
      </c>
      <c r="F26" s="2394">
        <v>506064.95299999998</v>
      </c>
      <c r="G26" s="2394">
        <v>566153.47400000005</v>
      </c>
      <c r="H26" s="2394">
        <v>1642731.89</v>
      </c>
      <c r="I26" s="2394">
        <v>239151.64499999999</v>
      </c>
      <c r="J26" s="2394">
        <v>8337587.0020000003</v>
      </c>
      <c r="K26" s="2394">
        <v>950607.848</v>
      </c>
      <c r="L26" s="2394">
        <v>1554809.3489999999</v>
      </c>
      <c r="M26" s="2394">
        <v>2823568.219</v>
      </c>
      <c r="N26" s="2394">
        <v>1206144.4269999999</v>
      </c>
      <c r="O26" s="2394">
        <v>1650110.855</v>
      </c>
      <c r="P26" s="2394">
        <v>2320088.5929999999</v>
      </c>
      <c r="Q26" s="2395">
        <v>2080831.6440000001</v>
      </c>
      <c r="R26" s="2148">
        <v>309386.826</v>
      </c>
      <c r="S26" s="1611" t="s">
        <v>133</v>
      </c>
      <c r="T26" s="2392">
        <v>30630212.903999999</v>
      </c>
      <c r="V26" s="2344"/>
      <c r="W26" s="2255"/>
    </row>
    <row r="27" spans="1:23" s="2136" customFormat="1" ht="24.95" customHeight="1">
      <c r="A27" s="652">
        <v>2026.01</v>
      </c>
      <c r="B27" s="2393">
        <v>806161.18099999998</v>
      </c>
      <c r="C27" s="2394">
        <v>339318.03600000002</v>
      </c>
      <c r="D27" s="2394">
        <v>259003.62899999999</v>
      </c>
      <c r="E27" s="2394">
        <v>428494.10600000003</v>
      </c>
      <c r="F27" s="2394">
        <v>141197.04399999999</v>
      </c>
      <c r="G27" s="2394">
        <v>160151.008</v>
      </c>
      <c r="H27" s="2394">
        <v>467918.43400000001</v>
      </c>
      <c r="I27" s="2394">
        <v>67947.909</v>
      </c>
      <c r="J27" s="2394">
        <v>2349261.8110000002</v>
      </c>
      <c r="K27" s="2394">
        <v>269286.85200000001</v>
      </c>
      <c r="L27" s="2394">
        <v>434408.69199999998</v>
      </c>
      <c r="M27" s="2394">
        <v>791324.67599999998</v>
      </c>
      <c r="N27" s="2394">
        <v>334102.43599999999</v>
      </c>
      <c r="O27" s="2394">
        <v>460206.424</v>
      </c>
      <c r="P27" s="2394">
        <v>637943.42799999996</v>
      </c>
      <c r="Q27" s="2395">
        <v>584517.02599999995</v>
      </c>
      <c r="R27" s="2148">
        <v>84634.956999999995</v>
      </c>
      <c r="S27" s="1611" t="s">
        <v>133</v>
      </c>
      <c r="T27" s="2392">
        <v>8615877.648</v>
      </c>
      <c r="V27" s="2344"/>
      <c r="W27" s="2255"/>
    </row>
    <row r="28" spans="1:23" s="2136" customFormat="1" ht="24.95" customHeight="1">
      <c r="A28" s="663">
        <v>2026.02</v>
      </c>
      <c r="B28" s="2389">
        <v>789161.75899999996</v>
      </c>
      <c r="C28" s="2390">
        <v>328733.05200000003</v>
      </c>
      <c r="D28" s="2390">
        <v>251742.81099999999</v>
      </c>
      <c r="E28" s="2390">
        <v>415553.29700000002</v>
      </c>
      <c r="F28" s="2390">
        <v>138882.84</v>
      </c>
      <c r="G28" s="2390">
        <v>155029.75200000001</v>
      </c>
      <c r="H28" s="2390">
        <v>415890.51899999997</v>
      </c>
      <c r="I28" s="2390">
        <v>63693.351999999999</v>
      </c>
      <c r="J28" s="2390">
        <v>2248478.1379999998</v>
      </c>
      <c r="K28" s="2390">
        <v>261846.01</v>
      </c>
      <c r="L28" s="2390">
        <v>407939.70500000002</v>
      </c>
      <c r="M28" s="2390">
        <v>730805.95799999998</v>
      </c>
      <c r="N28" s="2390">
        <v>318883.07900000003</v>
      </c>
      <c r="O28" s="2390">
        <v>435563.51</v>
      </c>
      <c r="P28" s="2390">
        <v>597309.42299999995</v>
      </c>
      <c r="Q28" s="2391">
        <v>552558.18799999997</v>
      </c>
      <c r="R28" s="2130">
        <v>85066.221999999994</v>
      </c>
      <c r="S28" s="1588" t="s">
        <v>133</v>
      </c>
      <c r="T28" s="2339">
        <v>8197137.6140000001</v>
      </c>
      <c r="V28" s="2344"/>
      <c r="W28" s="2255"/>
    </row>
    <row r="29" spans="1:23" s="2136" customFormat="1" ht="24.95" customHeight="1">
      <c r="A29" s="663">
        <v>2026.03</v>
      </c>
      <c r="B29" s="2389">
        <v>608388.31700000004</v>
      </c>
      <c r="C29" s="2390">
        <v>281063.34600000002</v>
      </c>
      <c r="D29" s="2390">
        <v>208478.36600000001</v>
      </c>
      <c r="E29" s="2390">
        <v>342278.45799999998</v>
      </c>
      <c r="F29" s="2390">
        <v>114589.765</v>
      </c>
      <c r="G29" s="2390">
        <v>128481.641</v>
      </c>
      <c r="H29" s="2390">
        <v>376067.64</v>
      </c>
      <c r="I29" s="2130">
        <v>55076.792999999998</v>
      </c>
      <c r="J29" s="2390">
        <v>1881720.7239999999</v>
      </c>
      <c r="K29" s="2390">
        <v>215866.24299999999</v>
      </c>
      <c r="L29" s="2390">
        <v>362064.37699999998</v>
      </c>
      <c r="M29" s="2390">
        <v>669240.77399999998</v>
      </c>
      <c r="N29" s="2390">
        <v>281365.70899999997</v>
      </c>
      <c r="O29" s="2390">
        <v>385009.42</v>
      </c>
      <c r="P29" s="2390">
        <v>540658.58299999998</v>
      </c>
      <c r="Q29" s="2391">
        <v>479773.84100000001</v>
      </c>
      <c r="R29" s="2130">
        <v>70750.900999999998</v>
      </c>
      <c r="S29" s="1588" t="s">
        <v>133</v>
      </c>
      <c r="T29" s="2339">
        <v>7000874.8990000002</v>
      </c>
      <c r="V29" s="2344"/>
      <c r="W29" s="2255"/>
    </row>
    <row r="30" spans="1:23" s="2136" customFormat="1" ht="24.95" customHeight="1">
      <c r="A30" s="665">
        <v>2026.04</v>
      </c>
      <c r="B30" s="2396">
        <v>580621.62600000005</v>
      </c>
      <c r="C30" s="2397">
        <v>272757.12699999998</v>
      </c>
      <c r="D30" s="2397">
        <v>204601.26300000001</v>
      </c>
      <c r="E30" s="2397">
        <v>326619.804</v>
      </c>
      <c r="F30" s="2397">
        <v>111395.30499999999</v>
      </c>
      <c r="G30" s="2397">
        <v>122491.07399999999</v>
      </c>
      <c r="H30" s="2397">
        <v>382855.29700000002</v>
      </c>
      <c r="I30" s="2154">
        <v>52433.591999999997</v>
      </c>
      <c r="J30" s="2397">
        <v>1858126.33</v>
      </c>
      <c r="K30" s="2397">
        <v>203608.74299999999</v>
      </c>
      <c r="L30" s="2397">
        <v>350396.57400000002</v>
      </c>
      <c r="M30" s="2397">
        <v>632196.81099999999</v>
      </c>
      <c r="N30" s="2397">
        <v>271793.20299999998</v>
      </c>
      <c r="O30" s="2397">
        <v>369331.50099999999</v>
      </c>
      <c r="P30" s="2397">
        <v>544177.16</v>
      </c>
      <c r="Q30" s="2398">
        <v>463982.59</v>
      </c>
      <c r="R30" s="2154">
        <v>68934.744999999995</v>
      </c>
      <c r="S30" s="2399" t="s">
        <v>133</v>
      </c>
      <c r="T30" s="2400">
        <v>6816322.7429999998</v>
      </c>
      <c r="V30" s="2344"/>
      <c r="W30" s="2255"/>
    </row>
    <row r="31" spans="1:23" s="2136" customFormat="1" ht="3" customHeight="1">
      <c r="A31" s="2401"/>
      <c r="B31" s="2402"/>
      <c r="C31" s="2402"/>
      <c r="D31" s="2402"/>
      <c r="E31" s="2402"/>
      <c r="F31" s="2402"/>
      <c r="G31" s="2402"/>
      <c r="H31" s="2402"/>
      <c r="I31" s="2402"/>
      <c r="J31" s="2402"/>
      <c r="K31" s="2402"/>
      <c r="L31" s="2402"/>
      <c r="M31" s="2402"/>
      <c r="N31" s="2402"/>
      <c r="O31" s="2402"/>
      <c r="P31" s="2402"/>
      <c r="Q31" s="2402"/>
      <c r="R31" s="2402"/>
      <c r="S31" s="2402"/>
      <c r="T31" s="2402"/>
    </row>
    <row r="32" spans="1:23" ht="12" customHeight="1">
      <c r="A32" s="346" t="s">
        <v>1228</v>
      </c>
      <c r="B32" s="272"/>
      <c r="C32" s="272"/>
      <c r="D32" s="272"/>
      <c r="E32" s="272"/>
      <c r="F32" s="346"/>
      <c r="G32" s="272"/>
      <c r="H32" s="272"/>
      <c r="I32" s="272"/>
      <c r="J32" s="272"/>
      <c r="K32" s="346" t="s">
        <v>1236</v>
      </c>
      <c r="L32" s="272"/>
      <c r="M32" s="272"/>
      <c r="N32" s="272"/>
      <c r="O32" s="272"/>
      <c r="P32" s="272"/>
      <c r="Q32" s="272"/>
      <c r="R32" s="272"/>
      <c r="S32" s="272"/>
      <c r="T32" s="272"/>
    </row>
    <row r="33" spans="1:20" ht="12" customHeight="1">
      <c r="A33" s="346"/>
      <c r="B33" s="272"/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</row>
    <row r="34" spans="1:20" ht="12" customHeight="1">
      <c r="A34" s="346"/>
      <c r="B34" s="272"/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</row>
    <row r="35" spans="1:20" ht="12" hidden="1" customHeight="1">
      <c r="A35" s="346"/>
      <c r="B35" s="272"/>
      <c r="C35" s="272"/>
      <c r="D35" s="272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</row>
    <row r="36" spans="1:20" ht="13.5" customHeight="1"/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66" orientation="portrait" useFirstPageNumber="1" r:id="rId1"/>
  <headerFooter differentOddEven="1" scaleWithDoc="0" alignWithMargins="0"/>
  <colBreaks count="1" manualBreakCount="1">
    <brk id="10" max="3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2166-B677-4F54-9668-7AB380F6B718}">
  <sheetPr>
    <tabColor rgb="FF00B050"/>
  </sheetPr>
  <dimension ref="A1:X42"/>
  <sheetViews>
    <sheetView showGridLines="0" view="pageBreakPreview" zoomScale="115" zoomScaleNormal="100" zoomScaleSheetLayoutView="115" workbookViewId="0"/>
  </sheetViews>
  <sheetFormatPr defaultColWidth="7.875" defaultRowHeight="16.5"/>
  <cols>
    <col min="1" max="1" width="8.25" style="271" customWidth="1"/>
    <col min="2" max="2" width="9.125" style="271" customWidth="1"/>
    <col min="3" max="9" width="9.5" style="271" customWidth="1"/>
    <col min="10" max="10" width="8.375" style="271" customWidth="1"/>
    <col min="11" max="11" width="8.75" style="271" customWidth="1"/>
    <col min="12" max="19" width="8.5" style="271" customWidth="1"/>
    <col min="20" max="20" width="7.125" style="271" customWidth="1"/>
    <col min="21" max="21" width="9.375" style="271" customWidth="1"/>
    <col min="22" max="23" width="7.875" style="271"/>
    <col min="24" max="24" width="13.5" style="271" bestFit="1" customWidth="1"/>
    <col min="25" max="16384" width="7.875" style="271"/>
  </cols>
  <sheetData>
    <row r="1" spans="1:24" s="2403" customFormat="1" ht="20.25" customHeight="1">
      <c r="A1" s="2125" t="s">
        <v>1237</v>
      </c>
    </row>
    <row r="2" spans="1:24" s="2404" customFormat="1" ht="17.25" customHeight="1">
      <c r="A2" s="2404" t="s">
        <v>1238</v>
      </c>
    </row>
    <row r="3" spans="1:24" ht="13.5" customHeight="1">
      <c r="B3" s="272"/>
      <c r="P3" s="2200"/>
      <c r="R3" s="2200"/>
      <c r="S3" s="2200"/>
      <c r="U3" s="2405" t="s">
        <v>1239</v>
      </c>
    </row>
    <row r="4" spans="1:24" s="272" customFormat="1" ht="22.5" customHeight="1">
      <c r="A4" s="1576" t="s">
        <v>1240</v>
      </c>
      <c r="B4" s="1035"/>
      <c r="C4" s="2406" t="s">
        <v>1241</v>
      </c>
      <c r="D4" s="2406" t="s">
        <v>1210</v>
      </c>
      <c r="E4" s="2406" t="s">
        <v>1211</v>
      </c>
      <c r="F4" s="2406" t="s">
        <v>1212</v>
      </c>
      <c r="G4" s="2406" t="s">
        <v>1213</v>
      </c>
      <c r="H4" s="2406" t="s">
        <v>1214</v>
      </c>
      <c r="I4" s="2406" t="s">
        <v>1215</v>
      </c>
      <c r="J4" s="2406" t="s">
        <v>1216</v>
      </c>
      <c r="K4" s="2406" t="s">
        <v>1217</v>
      </c>
      <c r="L4" s="2406" t="s">
        <v>1218</v>
      </c>
      <c r="M4" s="2406" t="s">
        <v>1219</v>
      </c>
      <c r="N4" s="2406" t="s">
        <v>1220</v>
      </c>
      <c r="O4" s="2406" t="s">
        <v>1221</v>
      </c>
      <c r="P4" s="2406" t="s">
        <v>1222</v>
      </c>
      <c r="Q4" s="2406" t="s">
        <v>1223</v>
      </c>
      <c r="R4" s="2406" t="s">
        <v>1224</v>
      </c>
      <c r="S4" s="2406" t="s">
        <v>1225</v>
      </c>
      <c r="T4" s="2406" t="s">
        <v>1242</v>
      </c>
      <c r="U4" s="2407" t="s">
        <v>1243</v>
      </c>
    </row>
    <row r="5" spans="1:24" s="272" customFormat="1" ht="20.45" customHeight="1">
      <c r="A5" s="2408" t="s">
        <v>1244</v>
      </c>
      <c r="B5" s="2409" t="s">
        <v>1245</v>
      </c>
      <c r="C5" s="2410">
        <v>4888406.7149999999</v>
      </c>
      <c r="D5" s="2410">
        <v>1752959.084</v>
      </c>
      <c r="E5" s="2410">
        <v>1281046.719</v>
      </c>
      <c r="F5" s="2410">
        <v>1704756.628</v>
      </c>
      <c r="G5" s="2410">
        <v>766819.09100000001</v>
      </c>
      <c r="H5" s="2410">
        <v>753020.63899999997</v>
      </c>
      <c r="I5" s="2410">
        <v>570742.43999999994</v>
      </c>
      <c r="J5" s="2411">
        <v>225902.628</v>
      </c>
      <c r="K5" s="2410">
        <v>7479086.5</v>
      </c>
      <c r="L5" s="2410">
        <v>863168.103</v>
      </c>
      <c r="M5" s="2410">
        <v>878952.04</v>
      </c>
      <c r="N5" s="2410">
        <v>1187091.432</v>
      </c>
      <c r="O5" s="2410">
        <v>911491.18299999996</v>
      </c>
      <c r="P5" s="2410">
        <v>931810.18</v>
      </c>
      <c r="Q5" s="2410">
        <v>1332525.4879999999</v>
      </c>
      <c r="R5" s="2410">
        <v>1713593.4750000001</v>
      </c>
      <c r="S5" s="2410">
        <v>351708.15399999998</v>
      </c>
      <c r="T5" s="2412" t="s">
        <v>133</v>
      </c>
      <c r="U5" s="2413">
        <v>27593080.499000002</v>
      </c>
      <c r="W5" s="279"/>
    </row>
    <row r="6" spans="1:24" s="272" customFormat="1" ht="20.45" customHeight="1">
      <c r="A6" s="2414"/>
      <c r="B6" s="2409" t="s">
        <v>1246</v>
      </c>
      <c r="C6" s="2410">
        <v>9174727.6620000005</v>
      </c>
      <c r="D6" s="2410">
        <v>2440280.5890000002</v>
      </c>
      <c r="E6" s="2410">
        <v>1719740.635</v>
      </c>
      <c r="F6" s="2410">
        <v>2524245.6060000001</v>
      </c>
      <c r="G6" s="2410">
        <v>1082809.0260000001</v>
      </c>
      <c r="H6" s="2410">
        <v>1386449.3589999999</v>
      </c>
      <c r="I6" s="2410">
        <v>844095.47</v>
      </c>
      <c r="J6" s="2410">
        <v>362920.81199999998</v>
      </c>
      <c r="K6" s="2410">
        <v>12899516.982999999</v>
      </c>
      <c r="L6" s="2410">
        <v>1974284.1680000001</v>
      </c>
      <c r="M6" s="2410">
        <v>1539911.784</v>
      </c>
      <c r="N6" s="2410">
        <v>1978380.7039999999</v>
      </c>
      <c r="O6" s="2410">
        <v>1491095.7279999999</v>
      </c>
      <c r="P6" s="2410">
        <v>1549346.784</v>
      </c>
      <c r="Q6" s="2410">
        <v>2183685.3050000002</v>
      </c>
      <c r="R6" s="2410">
        <v>2515633.986</v>
      </c>
      <c r="S6" s="2410">
        <v>841175.56900000002</v>
      </c>
      <c r="T6" s="2412" t="s">
        <v>133</v>
      </c>
      <c r="U6" s="2413">
        <v>46508300.170000002</v>
      </c>
      <c r="W6" s="279"/>
    </row>
    <row r="7" spans="1:24" s="272" customFormat="1" ht="20.45" customHeight="1">
      <c r="A7" s="2414"/>
      <c r="B7" s="2409" t="s">
        <v>1247</v>
      </c>
      <c r="C7" s="2410">
        <v>721500.92299999995</v>
      </c>
      <c r="D7" s="2410">
        <v>186835.535</v>
      </c>
      <c r="E7" s="2410">
        <v>140539.14499999999</v>
      </c>
      <c r="F7" s="2410">
        <v>146549.50700000001</v>
      </c>
      <c r="G7" s="2410">
        <v>114914.197</v>
      </c>
      <c r="H7" s="2410">
        <v>164396.902</v>
      </c>
      <c r="I7" s="2410">
        <v>72669.523000000001</v>
      </c>
      <c r="J7" s="2410">
        <v>35558.417000000001</v>
      </c>
      <c r="K7" s="2410">
        <v>725084.804</v>
      </c>
      <c r="L7" s="2410">
        <v>157412.82500000001</v>
      </c>
      <c r="M7" s="2410">
        <v>145709.61600000001</v>
      </c>
      <c r="N7" s="2410">
        <v>196851.13</v>
      </c>
      <c r="O7" s="2410">
        <v>153166.83600000001</v>
      </c>
      <c r="P7" s="2410">
        <v>131720.443</v>
      </c>
      <c r="Q7" s="2410">
        <v>260931.74</v>
      </c>
      <c r="R7" s="2410">
        <v>180771.57199999999</v>
      </c>
      <c r="S7" s="2410">
        <v>52082.184000000001</v>
      </c>
      <c r="T7" s="2412" t="s">
        <v>133</v>
      </c>
      <c r="U7" s="2413">
        <v>3586695.2990000001</v>
      </c>
      <c r="W7" s="279"/>
    </row>
    <row r="8" spans="1:24" s="272" customFormat="1" ht="20.45" customHeight="1">
      <c r="A8" s="2414"/>
      <c r="B8" s="2409" t="s">
        <v>1248</v>
      </c>
      <c r="C8" s="2410">
        <v>1581865.8910000001</v>
      </c>
      <c r="D8" s="2410">
        <v>2654039.6949999998</v>
      </c>
      <c r="E8" s="2410">
        <v>2171629.6009999998</v>
      </c>
      <c r="F8" s="2410">
        <v>4077450.3059999999</v>
      </c>
      <c r="G8" s="2410">
        <v>1047533.058</v>
      </c>
      <c r="H8" s="2410">
        <v>988788.87</v>
      </c>
      <c r="I8" s="2410">
        <v>8286930.1890000002</v>
      </c>
      <c r="J8" s="2410">
        <v>706534.39</v>
      </c>
      <c r="K8" s="2410">
        <v>25025974.521000002</v>
      </c>
      <c r="L8" s="2410">
        <v>1960793.9620000001</v>
      </c>
      <c r="M8" s="2410">
        <v>5675120.6960000005</v>
      </c>
      <c r="N8" s="2410">
        <v>11969507.518999999</v>
      </c>
      <c r="O8" s="2410">
        <v>3749896.622</v>
      </c>
      <c r="P8" s="2410">
        <v>7133656.7319999998</v>
      </c>
      <c r="Q8" s="2410">
        <v>9279231.3450000007</v>
      </c>
      <c r="R8" s="2410">
        <v>6643545.0829999996</v>
      </c>
      <c r="S8" s="2410">
        <v>217506.86</v>
      </c>
      <c r="T8" s="2412" t="s">
        <v>133</v>
      </c>
      <c r="U8" s="2413">
        <v>93170005.340000004</v>
      </c>
      <c r="W8" s="279"/>
    </row>
    <row r="9" spans="1:24" s="272" customFormat="1" ht="20.45" customHeight="1">
      <c r="A9" s="2414"/>
      <c r="B9" s="2409" t="s">
        <v>1249</v>
      </c>
      <c r="C9" s="2410">
        <v>8245.3269999999993</v>
      </c>
      <c r="D9" s="2410">
        <v>45444.519</v>
      </c>
      <c r="E9" s="2410">
        <v>56042.392</v>
      </c>
      <c r="F9" s="2410">
        <v>49508.606</v>
      </c>
      <c r="G9" s="2410">
        <v>35781.599999999999</v>
      </c>
      <c r="H9" s="2410">
        <v>14278.82</v>
      </c>
      <c r="I9" s="2410">
        <v>30501.895</v>
      </c>
      <c r="J9" s="2410">
        <v>30398.651000000002</v>
      </c>
      <c r="K9" s="2410">
        <v>1007373.961</v>
      </c>
      <c r="L9" s="2410">
        <v>259826.99299999999</v>
      </c>
      <c r="M9" s="2410">
        <v>336502.37800000003</v>
      </c>
      <c r="N9" s="2410">
        <v>952433.58799999999</v>
      </c>
      <c r="O9" s="2410">
        <v>679793.26699999999</v>
      </c>
      <c r="P9" s="2410">
        <v>1645598.145</v>
      </c>
      <c r="Q9" s="2410">
        <v>805200.49</v>
      </c>
      <c r="R9" s="2410">
        <v>1191734.8689999999</v>
      </c>
      <c r="S9" s="2410">
        <v>592888.67700000003</v>
      </c>
      <c r="T9" s="2412" t="s">
        <v>133</v>
      </c>
      <c r="U9" s="2413">
        <v>7741554.1780000003</v>
      </c>
      <c r="W9" s="279"/>
    </row>
    <row r="10" spans="1:24" s="272" customFormat="1" ht="20.45" customHeight="1">
      <c r="A10" s="2414"/>
      <c r="B10" s="2409" t="s">
        <v>1250</v>
      </c>
      <c r="C10" s="2410">
        <v>93815.148000000001</v>
      </c>
      <c r="D10" s="2410">
        <v>54423.438000000002</v>
      </c>
      <c r="E10" s="2410">
        <v>46464.786999999997</v>
      </c>
      <c r="F10" s="2410">
        <v>56599.59</v>
      </c>
      <c r="G10" s="2410">
        <v>26091.043000000001</v>
      </c>
      <c r="H10" s="2410">
        <v>25299.768</v>
      </c>
      <c r="I10" s="2410">
        <v>28339.878000000001</v>
      </c>
      <c r="J10" s="2410">
        <v>13517.055</v>
      </c>
      <c r="K10" s="2410">
        <v>301475.70699999999</v>
      </c>
      <c r="L10" s="2410">
        <v>64437.078999999998</v>
      </c>
      <c r="M10" s="2410">
        <v>63591.048999999999</v>
      </c>
      <c r="N10" s="2410">
        <v>64241.167999999998</v>
      </c>
      <c r="O10" s="2410">
        <v>63472.057999999997</v>
      </c>
      <c r="P10" s="2410">
        <v>81272.122000000003</v>
      </c>
      <c r="Q10" s="2410">
        <v>100363.985</v>
      </c>
      <c r="R10" s="2410">
        <v>101115.662</v>
      </c>
      <c r="S10" s="2410">
        <v>16895.897000000001</v>
      </c>
      <c r="T10" s="2412" t="s">
        <v>133</v>
      </c>
      <c r="U10" s="2413">
        <v>1201415.4339999999</v>
      </c>
      <c r="W10" s="279"/>
    </row>
    <row r="11" spans="1:24" s="272" customFormat="1" ht="20.45" customHeight="1">
      <c r="A11" s="2414"/>
      <c r="B11" s="2409" t="s">
        <v>1251</v>
      </c>
      <c r="C11" s="2410">
        <v>70705.326000000001</v>
      </c>
      <c r="D11" s="2410">
        <v>77957.611000000004</v>
      </c>
      <c r="E11" s="2410">
        <v>73117.145999999993</v>
      </c>
      <c r="F11" s="2410">
        <v>82629.365000000005</v>
      </c>
      <c r="G11" s="2410">
        <v>30196.644</v>
      </c>
      <c r="H11" s="2410">
        <v>62812.199000000001</v>
      </c>
      <c r="I11" s="2410">
        <v>31555.315999999999</v>
      </c>
      <c r="J11" s="2410">
        <v>32050.297999999999</v>
      </c>
      <c r="K11" s="2410">
        <v>974316.77</v>
      </c>
      <c r="L11" s="2410">
        <v>632997.25300000003</v>
      </c>
      <c r="M11" s="2410">
        <v>483302.36499999999</v>
      </c>
      <c r="N11" s="2410">
        <v>513558.90399999998</v>
      </c>
      <c r="O11" s="2410">
        <v>305408.47499999998</v>
      </c>
      <c r="P11" s="2410">
        <v>195129.459</v>
      </c>
      <c r="Q11" s="2410">
        <v>418663.10399999999</v>
      </c>
      <c r="R11" s="2410">
        <v>310584.83100000001</v>
      </c>
      <c r="S11" s="2410">
        <v>39102.351999999999</v>
      </c>
      <c r="T11" s="2412" t="s">
        <v>133</v>
      </c>
      <c r="U11" s="2413">
        <v>4334087.4179999996</v>
      </c>
      <c r="W11" s="279"/>
    </row>
    <row r="12" spans="1:24" s="272" customFormat="1" ht="20.45" customHeight="1">
      <c r="A12" s="2415"/>
      <c r="B12" s="2409" t="s">
        <v>160</v>
      </c>
      <c r="C12" s="2410">
        <v>16539266.992000001</v>
      </c>
      <c r="D12" s="2410">
        <v>7211940.4709999999</v>
      </c>
      <c r="E12" s="2410">
        <v>5488580.4249999998</v>
      </c>
      <c r="F12" s="2410">
        <v>8641739.6079999991</v>
      </c>
      <c r="G12" s="2410">
        <v>3104144.659</v>
      </c>
      <c r="H12" s="2410">
        <v>3395046.557</v>
      </c>
      <c r="I12" s="2410">
        <v>9864834.7109999992</v>
      </c>
      <c r="J12" s="2410">
        <v>1406882.2509999999</v>
      </c>
      <c r="K12" s="2410">
        <v>48412829.245999999</v>
      </c>
      <c r="L12" s="2410">
        <v>5912920.3830000004</v>
      </c>
      <c r="M12" s="2410">
        <v>9123089.9279999994</v>
      </c>
      <c r="N12" s="2410">
        <v>16862064.445</v>
      </c>
      <c r="O12" s="2410">
        <v>7354324.1689999998</v>
      </c>
      <c r="P12" s="2410">
        <v>11668533.865</v>
      </c>
      <c r="Q12" s="2410">
        <v>14380601.457</v>
      </c>
      <c r="R12" s="2410">
        <v>12656979.478</v>
      </c>
      <c r="S12" s="2410">
        <v>2111359.693</v>
      </c>
      <c r="T12" s="2412" t="s">
        <v>133</v>
      </c>
      <c r="U12" s="2413">
        <v>184135138.338</v>
      </c>
      <c r="W12" s="279"/>
    </row>
    <row r="13" spans="1:24" s="2422" customFormat="1" ht="20.45" customHeight="1">
      <c r="A13" s="2416" t="s">
        <v>1252</v>
      </c>
      <c r="B13" s="2417" t="s">
        <v>1245</v>
      </c>
      <c r="C13" s="2418">
        <v>4948685.057</v>
      </c>
      <c r="D13" s="2418">
        <v>1748884.6310000001</v>
      </c>
      <c r="E13" s="2418">
        <v>1302695.5649999999</v>
      </c>
      <c r="F13" s="2418">
        <v>1746110.7339999999</v>
      </c>
      <c r="G13" s="2418">
        <v>769015.505</v>
      </c>
      <c r="H13" s="2418">
        <v>763820.82400000002</v>
      </c>
      <c r="I13" s="2418">
        <v>576644.51300000004</v>
      </c>
      <c r="J13" s="2418">
        <v>229122.09400000001</v>
      </c>
      <c r="K13" s="2418">
        <v>7622403.6370000001</v>
      </c>
      <c r="L13" s="2418">
        <v>868565.63199999998</v>
      </c>
      <c r="M13" s="2418">
        <v>895306.29799999995</v>
      </c>
      <c r="N13" s="2418">
        <v>1201094.4569999999</v>
      </c>
      <c r="O13" s="2418">
        <v>915883.42799999996</v>
      </c>
      <c r="P13" s="2418">
        <v>926347.81099999999</v>
      </c>
      <c r="Q13" s="2418">
        <v>1333199.969</v>
      </c>
      <c r="R13" s="2418">
        <v>1708749.0260000001</v>
      </c>
      <c r="S13" s="2418">
        <v>347462.391</v>
      </c>
      <c r="T13" s="2419" t="s">
        <v>133</v>
      </c>
      <c r="U13" s="2420">
        <v>27903991.572000001</v>
      </c>
      <c r="V13" s="2421"/>
      <c r="W13" s="279"/>
    </row>
    <row r="14" spans="1:24" s="2422" customFormat="1" ht="20.45" customHeight="1">
      <c r="A14" s="2423"/>
      <c r="B14" s="2417" t="s">
        <v>1246</v>
      </c>
      <c r="C14" s="2418">
        <v>9383794.5559999999</v>
      </c>
      <c r="D14" s="2418">
        <v>2431495.3829999999</v>
      </c>
      <c r="E14" s="2418">
        <v>1707791.1769999999</v>
      </c>
      <c r="F14" s="2418">
        <v>2659382.0890000002</v>
      </c>
      <c r="G14" s="2418">
        <v>1075228.7849999999</v>
      </c>
      <c r="H14" s="2418">
        <v>1406739.2790000001</v>
      </c>
      <c r="I14" s="2418">
        <v>769591.42</v>
      </c>
      <c r="J14" s="2418">
        <v>376186.46899999998</v>
      </c>
      <c r="K14" s="2418">
        <v>13261961.041999999</v>
      </c>
      <c r="L14" s="2418">
        <v>2019973.0930000001</v>
      </c>
      <c r="M14" s="2418">
        <v>1573194.0549999999</v>
      </c>
      <c r="N14" s="2418">
        <v>2015695.594</v>
      </c>
      <c r="O14" s="2418">
        <v>1496200.577</v>
      </c>
      <c r="P14" s="2418">
        <v>1550713.179</v>
      </c>
      <c r="Q14" s="2418">
        <v>2208157.7429999998</v>
      </c>
      <c r="R14" s="2418">
        <v>2485141.4380000001</v>
      </c>
      <c r="S14" s="2418">
        <v>843565.12199999997</v>
      </c>
      <c r="T14" s="2419" t="s">
        <v>133</v>
      </c>
      <c r="U14" s="2420">
        <v>47264811.001000002</v>
      </c>
      <c r="V14" s="2421"/>
      <c r="W14" s="279"/>
      <c r="X14" s="2424"/>
    </row>
    <row r="15" spans="1:24" s="2422" customFormat="1" ht="20.45" customHeight="1">
      <c r="A15" s="2423"/>
      <c r="B15" s="2417" t="s">
        <v>1247</v>
      </c>
      <c r="C15" s="2418">
        <v>726799.90399999998</v>
      </c>
      <c r="D15" s="2418">
        <v>182100.416</v>
      </c>
      <c r="E15" s="2418">
        <v>141836.989</v>
      </c>
      <c r="F15" s="2418">
        <v>145301.954</v>
      </c>
      <c r="G15" s="2418">
        <v>113697.708</v>
      </c>
      <c r="H15" s="2418">
        <v>167309.255</v>
      </c>
      <c r="I15" s="2418">
        <v>73892.718999999997</v>
      </c>
      <c r="J15" s="2418">
        <v>36805.781999999999</v>
      </c>
      <c r="K15" s="2418">
        <v>723719.87800000003</v>
      </c>
      <c r="L15" s="2418">
        <v>156383.41399999999</v>
      </c>
      <c r="M15" s="2418">
        <v>148041.75200000001</v>
      </c>
      <c r="N15" s="2418">
        <v>193639.217</v>
      </c>
      <c r="O15" s="2418">
        <v>151579.83199999999</v>
      </c>
      <c r="P15" s="2418">
        <v>130433.94</v>
      </c>
      <c r="Q15" s="2418">
        <v>260374.59299999999</v>
      </c>
      <c r="R15" s="2418">
        <v>176223.872</v>
      </c>
      <c r="S15" s="2418">
        <v>50545.919999999998</v>
      </c>
      <c r="T15" s="2419" t="s">
        <v>133</v>
      </c>
      <c r="U15" s="2420">
        <v>3578687.145</v>
      </c>
      <c r="V15" s="2421"/>
      <c r="W15" s="279"/>
    </row>
    <row r="16" spans="1:24" s="2422" customFormat="1" ht="20.45" customHeight="1">
      <c r="A16" s="2423"/>
      <c r="B16" s="2417" t="s">
        <v>1248</v>
      </c>
      <c r="C16" s="2418">
        <v>1569846.9950000001</v>
      </c>
      <c r="D16" s="2418">
        <v>2658572.9169999999</v>
      </c>
      <c r="E16" s="2418">
        <v>2219566.2379999999</v>
      </c>
      <c r="F16" s="2418">
        <v>4120649.9679999999</v>
      </c>
      <c r="G16" s="2418">
        <v>981055.30700000003</v>
      </c>
      <c r="H16" s="2418">
        <v>1004271.728</v>
      </c>
      <c r="I16" s="2418">
        <v>7884439.9479999999</v>
      </c>
      <c r="J16" s="2418">
        <v>704792.58299999998</v>
      </c>
      <c r="K16" s="2418">
        <v>25471885.767999999</v>
      </c>
      <c r="L16" s="2418">
        <v>1923502.517</v>
      </c>
      <c r="M16" s="2418">
        <v>5686223.1509999996</v>
      </c>
      <c r="N16" s="2418">
        <v>11824074.872</v>
      </c>
      <c r="O16" s="2418">
        <v>3798190.3840000001</v>
      </c>
      <c r="P16" s="2418">
        <v>5753589.7400000002</v>
      </c>
      <c r="Q16" s="2418">
        <v>8720391.9560000002</v>
      </c>
      <c r="R16" s="2418">
        <v>6548439.051</v>
      </c>
      <c r="S16" s="2418">
        <v>228610.432</v>
      </c>
      <c r="T16" s="2419" t="s">
        <v>133</v>
      </c>
      <c r="U16" s="2420">
        <v>91098103.555000007</v>
      </c>
      <c r="V16" s="2421"/>
      <c r="W16" s="279"/>
    </row>
    <row r="17" spans="1:23" s="2422" customFormat="1" ht="20.45" customHeight="1">
      <c r="A17" s="2423"/>
      <c r="B17" s="2417" t="s">
        <v>1249</v>
      </c>
      <c r="C17" s="2418">
        <v>8017.1769999999997</v>
      </c>
      <c r="D17" s="2418">
        <v>42415.915000000001</v>
      </c>
      <c r="E17" s="2418">
        <v>55179.47</v>
      </c>
      <c r="F17" s="2418">
        <v>50343.137000000002</v>
      </c>
      <c r="G17" s="2418">
        <v>33359.345000000001</v>
      </c>
      <c r="H17" s="2418">
        <v>13663.62</v>
      </c>
      <c r="I17" s="2418">
        <v>29762.698</v>
      </c>
      <c r="J17" s="2418">
        <v>30227.460999999999</v>
      </c>
      <c r="K17" s="2418">
        <v>982042.36399999994</v>
      </c>
      <c r="L17" s="2418">
        <v>257449.386</v>
      </c>
      <c r="M17" s="2418">
        <v>333008.77</v>
      </c>
      <c r="N17" s="2418">
        <v>917683.36300000001</v>
      </c>
      <c r="O17" s="2418">
        <v>685106.20400000003</v>
      </c>
      <c r="P17" s="2418">
        <v>1594182.247</v>
      </c>
      <c r="Q17" s="2418">
        <v>806673.99</v>
      </c>
      <c r="R17" s="2418">
        <v>1122991.77</v>
      </c>
      <c r="S17" s="2418">
        <v>557420.76300000004</v>
      </c>
      <c r="T17" s="2419" t="s">
        <v>133</v>
      </c>
      <c r="U17" s="2420">
        <v>7519527.6799999997</v>
      </c>
      <c r="V17" s="2421"/>
      <c r="W17" s="279"/>
    </row>
    <row r="18" spans="1:23" s="2422" customFormat="1" ht="20.45" customHeight="1">
      <c r="A18" s="2423"/>
      <c r="B18" s="2417" t="s">
        <v>1250</v>
      </c>
      <c r="C18" s="2418">
        <v>93979.251999999993</v>
      </c>
      <c r="D18" s="2418">
        <v>55752.173000000003</v>
      </c>
      <c r="E18" s="2418">
        <v>46401.762000000002</v>
      </c>
      <c r="F18" s="2418">
        <v>56396.330999999998</v>
      </c>
      <c r="G18" s="2418">
        <v>25584.987000000001</v>
      </c>
      <c r="H18" s="2418">
        <v>25652.377</v>
      </c>
      <c r="I18" s="2418">
        <v>28586.894</v>
      </c>
      <c r="J18" s="2418">
        <v>13581.491</v>
      </c>
      <c r="K18" s="2418">
        <v>304654.114</v>
      </c>
      <c r="L18" s="2418">
        <v>64664.661</v>
      </c>
      <c r="M18" s="2418">
        <v>62094.720999999998</v>
      </c>
      <c r="N18" s="2418">
        <v>65022.642</v>
      </c>
      <c r="O18" s="2418">
        <v>66037.028999999995</v>
      </c>
      <c r="P18" s="2418">
        <v>80885.941999999995</v>
      </c>
      <c r="Q18" s="2418">
        <v>103980.1</v>
      </c>
      <c r="R18" s="2418">
        <v>103400.705</v>
      </c>
      <c r="S18" s="2418">
        <v>17418.561000000002</v>
      </c>
      <c r="T18" s="2419" t="s">
        <v>133</v>
      </c>
      <c r="U18" s="2420">
        <v>1214093.7420000001</v>
      </c>
      <c r="V18" s="2421"/>
      <c r="W18" s="279"/>
    </row>
    <row r="19" spans="1:23" s="2422" customFormat="1" ht="20.45" customHeight="1">
      <c r="A19" s="2423"/>
      <c r="B19" s="2417" t="s">
        <v>1251</v>
      </c>
      <c r="C19" s="2418">
        <v>68188.385999999999</v>
      </c>
      <c r="D19" s="2418">
        <v>66755.37</v>
      </c>
      <c r="E19" s="2418">
        <v>65814.778999999995</v>
      </c>
      <c r="F19" s="2418">
        <v>74747.789999999994</v>
      </c>
      <c r="G19" s="2418">
        <v>26550.809000000001</v>
      </c>
      <c r="H19" s="2418">
        <v>55347.603999999999</v>
      </c>
      <c r="I19" s="2418">
        <v>27599.399000000001</v>
      </c>
      <c r="J19" s="2418">
        <v>29312.566999999999</v>
      </c>
      <c r="K19" s="2418">
        <v>869212.54399999999</v>
      </c>
      <c r="L19" s="2418">
        <v>567293.41399999999</v>
      </c>
      <c r="M19" s="2418">
        <v>441580.924</v>
      </c>
      <c r="N19" s="2418">
        <v>466983.864</v>
      </c>
      <c r="O19" s="2418">
        <v>274449.54700000002</v>
      </c>
      <c r="P19" s="2418">
        <v>171736.86199999999</v>
      </c>
      <c r="Q19" s="2418">
        <v>376795.34100000001</v>
      </c>
      <c r="R19" s="2418">
        <v>272521.70500000002</v>
      </c>
      <c r="S19" s="2418">
        <v>36311.788999999997</v>
      </c>
      <c r="T19" s="2419" t="s">
        <v>133</v>
      </c>
      <c r="U19" s="2420">
        <v>3891202.6940000001</v>
      </c>
      <c r="V19" s="2421"/>
      <c r="W19" s="279"/>
    </row>
    <row r="20" spans="1:23" s="2422" customFormat="1" ht="20.45" customHeight="1">
      <c r="A20" s="2423"/>
      <c r="B20" s="2417" t="s">
        <v>160</v>
      </c>
      <c r="C20" s="2418">
        <v>16799311.327</v>
      </c>
      <c r="D20" s="2418">
        <v>7185976.8049999997</v>
      </c>
      <c r="E20" s="2418">
        <v>5539285.9800000004</v>
      </c>
      <c r="F20" s="2418">
        <v>8852932.0030000005</v>
      </c>
      <c r="G20" s="2418">
        <v>3024492.446</v>
      </c>
      <c r="H20" s="2418">
        <v>3436804.6869999999</v>
      </c>
      <c r="I20" s="2418">
        <v>9390517.591</v>
      </c>
      <c r="J20" s="2418">
        <v>1420028.4469999999</v>
      </c>
      <c r="K20" s="2418">
        <v>49235879.347000003</v>
      </c>
      <c r="L20" s="2418">
        <v>5857832.1169999996</v>
      </c>
      <c r="M20" s="2418">
        <v>9139449.6710000001</v>
      </c>
      <c r="N20" s="2418">
        <v>16684194.009</v>
      </c>
      <c r="O20" s="2418">
        <v>7387447.0010000002</v>
      </c>
      <c r="P20" s="2418">
        <v>10207889.721000001</v>
      </c>
      <c r="Q20" s="2418">
        <v>13809573.692</v>
      </c>
      <c r="R20" s="2418">
        <v>12417467.567</v>
      </c>
      <c r="S20" s="2418">
        <v>2081334.9779999999</v>
      </c>
      <c r="T20" s="2419" t="s">
        <v>133</v>
      </c>
      <c r="U20" s="2420">
        <v>182470417.389</v>
      </c>
      <c r="V20" s="2421"/>
      <c r="W20" s="279"/>
    </row>
    <row r="21" spans="1:23" s="2422" customFormat="1" ht="20.45" customHeight="1">
      <c r="A21" s="2425" t="s">
        <v>1253</v>
      </c>
      <c r="B21" s="1307" t="s">
        <v>1245</v>
      </c>
      <c r="C21" s="2411">
        <v>1141776.196</v>
      </c>
      <c r="D21" s="2411">
        <v>415409.95400000003</v>
      </c>
      <c r="E21" s="2411">
        <v>301181.00699999998</v>
      </c>
      <c r="F21" s="2411">
        <v>398898.52500000002</v>
      </c>
      <c r="G21" s="2411">
        <v>181527.02799999999</v>
      </c>
      <c r="H21" s="2411">
        <v>178444.70300000001</v>
      </c>
      <c r="I21" s="2411">
        <v>135831.821</v>
      </c>
      <c r="J21" s="2411">
        <v>54084.067000000003</v>
      </c>
      <c r="K21" s="2411">
        <v>1748503.5630000001</v>
      </c>
      <c r="L21" s="2411">
        <v>197656.48300000001</v>
      </c>
      <c r="M21" s="2411">
        <v>204212.38200000001</v>
      </c>
      <c r="N21" s="2411">
        <v>275626.58500000002</v>
      </c>
      <c r="O21" s="2411">
        <v>212109.755</v>
      </c>
      <c r="P21" s="2411">
        <v>215743.50700000001</v>
      </c>
      <c r="Q21" s="2411">
        <v>308187.92099999997</v>
      </c>
      <c r="R21" s="2411">
        <v>398024.408</v>
      </c>
      <c r="S21" s="2411">
        <v>79771.907000000007</v>
      </c>
      <c r="T21" s="2412" t="s">
        <v>133</v>
      </c>
      <c r="U21" s="2426">
        <v>6446989.8119999999</v>
      </c>
      <c r="V21" s="2421"/>
      <c r="W21" s="279"/>
    </row>
    <row r="22" spans="1:23" s="2422" customFormat="1" ht="20.45" customHeight="1">
      <c r="A22" s="1578"/>
      <c r="B22" s="2409" t="s">
        <v>1246</v>
      </c>
      <c r="C22" s="2410">
        <v>1981929.2050000001</v>
      </c>
      <c r="D22" s="2410">
        <v>545016.68900000001</v>
      </c>
      <c r="E22" s="2410">
        <v>371376.15600000002</v>
      </c>
      <c r="F22" s="2410">
        <v>543550.57299999997</v>
      </c>
      <c r="G22" s="2410">
        <v>238180.59400000001</v>
      </c>
      <c r="H22" s="2410">
        <v>305570.15700000001</v>
      </c>
      <c r="I22" s="2410">
        <v>188893.54699999999</v>
      </c>
      <c r="J22" s="2410">
        <v>80410.467000000004</v>
      </c>
      <c r="K22" s="2410">
        <v>2766876.1949999998</v>
      </c>
      <c r="L22" s="2410">
        <v>407893.967</v>
      </c>
      <c r="M22" s="2410">
        <v>327203.49</v>
      </c>
      <c r="N22" s="2410">
        <v>422338.201</v>
      </c>
      <c r="O22" s="2410">
        <v>319421.74099999998</v>
      </c>
      <c r="P22" s="2410">
        <v>342976.89</v>
      </c>
      <c r="Q22" s="2410">
        <v>466657.04800000001</v>
      </c>
      <c r="R22" s="2410">
        <v>552658.57799999998</v>
      </c>
      <c r="S22" s="2410">
        <v>193973.655</v>
      </c>
      <c r="T22" s="2412" t="s">
        <v>133</v>
      </c>
      <c r="U22" s="2413">
        <v>10054927.153000001</v>
      </c>
      <c r="V22" s="2421"/>
      <c r="W22" s="279"/>
    </row>
    <row r="23" spans="1:23" s="2422" customFormat="1" ht="20.45" customHeight="1">
      <c r="A23" s="1578"/>
      <c r="B23" s="2409" t="s">
        <v>1247</v>
      </c>
      <c r="C23" s="2410">
        <v>146329.231</v>
      </c>
      <c r="D23" s="2410">
        <v>42606.432000000001</v>
      </c>
      <c r="E23" s="2410">
        <v>29679.681</v>
      </c>
      <c r="F23" s="2410">
        <v>28627.463</v>
      </c>
      <c r="G23" s="2410">
        <v>25830.437000000002</v>
      </c>
      <c r="H23" s="2410">
        <v>35811.733999999997</v>
      </c>
      <c r="I23" s="2410">
        <v>17041.608</v>
      </c>
      <c r="J23" s="2410">
        <v>8435.5390000000007</v>
      </c>
      <c r="K23" s="2410">
        <v>147264.66099999999</v>
      </c>
      <c r="L23" s="2410">
        <v>32862.508999999998</v>
      </c>
      <c r="M23" s="2410">
        <v>30166.178</v>
      </c>
      <c r="N23" s="2410">
        <v>41499.739000000001</v>
      </c>
      <c r="O23" s="2410">
        <v>34569.095999999998</v>
      </c>
      <c r="P23" s="2410">
        <v>30978.448</v>
      </c>
      <c r="Q23" s="2410">
        <v>58814.476999999999</v>
      </c>
      <c r="R23" s="2410">
        <v>40579.927000000003</v>
      </c>
      <c r="S23" s="2410">
        <v>11769.569</v>
      </c>
      <c r="T23" s="2412" t="s">
        <v>133</v>
      </c>
      <c r="U23" s="2413">
        <v>762866.72900000005</v>
      </c>
      <c r="V23" s="2421"/>
      <c r="W23" s="279"/>
    </row>
    <row r="24" spans="1:23" s="2422" customFormat="1" ht="20.45" customHeight="1">
      <c r="A24" s="1578"/>
      <c r="B24" s="2409" t="s">
        <v>1248</v>
      </c>
      <c r="C24" s="2410">
        <v>372142.02899999998</v>
      </c>
      <c r="D24" s="2410">
        <v>663470.63500000001</v>
      </c>
      <c r="E24" s="2410">
        <v>541897.44400000002</v>
      </c>
      <c r="F24" s="2410">
        <v>965599.73699999996</v>
      </c>
      <c r="G24" s="2410">
        <v>260738.36900000001</v>
      </c>
      <c r="H24" s="2410">
        <v>237568.421</v>
      </c>
      <c r="I24" s="2410">
        <v>2176076.017</v>
      </c>
      <c r="J24" s="2410">
        <v>176126.07800000001</v>
      </c>
      <c r="K24" s="2410">
        <v>6051569.9160000002</v>
      </c>
      <c r="L24" s="2410">
        <v>499561.28399999999</v>
      </c>
      <c r="M24" s="2410">
        <v>1400743.659</v>
      </c>
      <c r="N24" s="2410">
        <v>2987608.2519999999</v>
      </c>
      <c r="O24" s="2410">
        <v>964398.69700000004</v>
      </c>
      <c r="P24" s="2410">
        <v>1783294.105</v>
      </c>
      <c r="Q24" s="2410">
        <v>2358606.0460000001</v>
      </c>
      <c r="R24" s="2410">
        <v>1680313.92</v>
      </c>
      <c r="S24" s="2410">
        <v>56598.993000000002</v>
      </c>
      <c r="T24" s="2412" t="s">
        <v>133</v>
      </c>
      <c r="U24" s="2413">
        <v>23176313.602000002</v>
      </c>
      <c r="V24" s="2421"/>
      <c r="W24" s="279"/>
    </row>
    <row r="25" spans="1:23" s="2422" customFormat="1" ht="20.45" customHeight="1">
      <c r="A25" s="1578"/>
      <c r="B25" s="2409" t="s">
        <v>1249</v>
      </c>
      <c r="C25" s="2410">
        <v>1769.6859999999999</v>
      </c>
      <c r="D25" s="2410">
        <v>7994.7089999999998</v>
      </c>
      <c r="E25" s="2410">
        <v>11910.656000000001</v>
      </c>
      <c r="F25" s="2410">
        <v>11696.558000000001</v>
      </c>
      <c r="G25" s="2410">
        <v>6625.47</v>
      </c>
      <c r="H25" s="2410">
        <v>2835.8760000000002</v>
      </c>
      <c r="I25" s="2410">
        <v>6478.3459999999995</v>
      </c>
      <c r="J25" s="2410">
        <v>6289.2849999999999</v>
      </c>
      <c r="K25" s="2410">
        <v>205640.84</v>
      </c>
      <c r="L25" s="2410">
        <v>59988.474000000002</v>
      </c>
      <c r="M25" s="2410">
        <v>71408.803</v>
      </c>
      <c r="N25" s="2410">
        <v>196337.06599999999</v>
      </c>
      <c r="O25" s="2410">
        <v>147228.67000000001</v>
      </c>
      <c r="P25" s="2410">
        <v>391521.27299999999</v>
      </c>
      <c r="Q25" s="2410">
        <v>178423.965</v>
      </c>
      <c r="R25" s="2410">
        <v>203321.535</v>
      </c>
      <c r="S25" s="2410">
        <v>145066.818</v>
      </c>
      <c r="T25" s="2412" t="s">
        <v>133</v>
      </c>
      <c r="U25" s="2413">
        <v>1654538.03</v>
      </c>
      <c r="V25" s="2421"/>
      <c r="W25" s="279"/>
    </row>
    <row r="26" spans="1:23" s="2422" customFormat="1" ht="20.45" customHeight="1">
      <c r="A26" s="1578"/>
      <c r="B26" s="2409" t="s">
        <v>1250</v>
      </c>
      <c r="C26" s="2410">
        <v>21437.409</v>
      </c>
      <c r="D26" s="2410">
        <v>12496.665999999999</v>
      </c>
      <c r="E26" s="2410">
        <v>10697.973</v>
      </c>
      <c r="F26" s="2410">
        <v>12801.94</v>
      </c>
      <c r="G26" s="2410">
        <v>6017.8760000000002</v>
      </c>
      <c r="H26" s="2410">
        <v>5876.0469999999996</v>
      </c>
      <c r="I26" s="2410">
        <v>6675.0860000000002</v>
      </c>
      <c r="J26" s="2410">
        <v>3146.7139999999999</v>
      </c>
      <c r="K26" s="2410">
        <v>70384.047999999995</v>
      </c>
      <c r="L26" s="2410">
        <v>15715.445</v>
      </c>
      <c r="M26" s="2410">
        <v>15152.644</v>
      </c>
      <c r="N26" s="2410">
        <v>15001.608</v>
      </c>
      <c r="O26" s="2410">
        <v>14890.49</v>
      </c>
      <c r="P26" s="2410">
        <v>19217.105</v>
      </c>
      <c r="Q26" s="2410">
        <v>23807.307000000001</v>
      </c>
      <c r="R26" s="2410">
        <v>24240.343000000001</v>
      </c>
      <c r="S26" s="2410">
        <v>3794.9160000000002</v>
      </c>
      <c r="T26" s="2412" t="s">
        <v>133</v>
      </c>
      <c r="U26" s="2413">
        <v>281353.61700000003</v>
      </c>
      <c r="V26" s="2421"/>
      <c r="W26" s="279"/>
    </row>
    <row r="27" spans="1:23" s="2422" customFormat="1" ht="20.45" customHeight="1">
      <c r="A27" s="1578"/>
      <c r="B27" s="2409" t="s">
        <v>1251</v>
      </c>
      <c r="C27" s="2410">
        <v>17400.27</v>
      </c>
      <c r="D27" s="2410">
        <v>13148.534</v>
      </c>
      <c r="E27" s="2410">
        <v>11589.370999999999</v>
      </c>
      <c r="F27" s="2410">
        <v>14138.748</v>
      </c>
      <c r="G27" s="2410">
        <v>5317.38</v>
      </c>
      <c r="H27" s="2410">
        <v>10863.374</v>
      </c>
      <c r="I27" s="2410">
        <v>5605.1989999999996</v>
      </c>
      <c r="J27" s="2410">
        <v>5435.1490000000003</v>
      </c>
      <c r="K27" s="2410">
        <v>159733.27499999999</v>
      </c>
      <c r="L27" s="2410">
        <v>109136.13499999999</v>
      </c>
      <c r="M27" s="2410">
        <v>79981.247000000003</v>
      </c>
      <c r="N27" s="2410">
        <v>88763.937000000005</v>
      </c>
      <c r="O27" s="2410">
        <v>53339.64</v>
      </c>
      <c r="P27" s="2410">
        <v>35816.699000000001</v>
      </c>
      <c r="Q27" s="2410">
        <v>70332.903000000006</v>
      </c>
      <c r="R27" s="2410">
        <v>51805.951999999997</v>
      </c>
      <c r="S27" s="2410">
        <v>7493.5450000000001</v>
      </c>
      <c r="T27" s="2412" t="s">
        <v>133</v>
      </c>
      <c r="U27" s="2413">
        <v>739901.35800000001</v>
      </c>
      <c r="V27" s="2421"/>
      <c r="W27" s="279"/>
    </row>
    <row r="28" spans="1:23" s="2422" customFormat="1" ht="20.45" customHeight="1">
      <c r="A28" s="1578"/>
      <c r="B28" s="2409" t="s">
        <v>160</v>
      </c>
      <c r="C28" s="2410">
        <v>3682784.0260000001</v>
      </c>
      <c r="D28" s="2410">
        <v>1700143.6189999999</v>
      </c>
      <c r="E28" s="2410">
        <v>1278332.2879999999</v>
      </c>
      <c r="F28" s="2410">
        <v>1975313.544</v>
      </c>
      <c r="G28" s="2410">
        <v>724237.15399999998</v>
      </c>
      <c r="H28" s="2410">
        <v>776970.31200000003</v>
      </c>
      <c r="I28" s="2410">
        <v>2536601.6239999998</v>
      </c>
      <c r="J28" s="2410">
        <v>333927.299</v>
      </c>
      <c r="K28" s="2410">
        <v>11149972.498</v>
      </c>
      <c r="L28" s="2410">
        <v>1322814.297</v>
      </c>
      <c r="M28" s="2410">
        <v>2128868.4029999999</v>
      </c>
      <c r="N28" s="2410">
        <v>4027175.3879999998</v>
      </c>
      <c r="O28" s="2410">
        <v>1745958.0889999999</v>
      </c>
      <c r="P28" s="2410">
        <v>2819548.0269999998</v>
      </c>
      <c r="Q28" s="2410">
        <v>3464829.6669999999</v>
      </c>
      <c r="R28" s="2410">
        <v>2950944.6630000002</v>
      </c>
      <c r="S28" s="2410">
        <v>498469.40299999999</v>
      </c>
      <c r="T28" s="2412" t="s">
        <v>133</v>
      </c>
      <c r="U28" s="2413">
        <v>43116890.300999999</v>
      </c>
      <c r="V28" s="2421"/>
      <c r="W28" s="279"/>
    </row>
    <row r="29" spans="1:23" s="2422" customFormat="1" ht="20.45" customHeight="1">
      <c r="A29" s="2416" t="s">
        <v>945</v>
      </c>
      <c r="B29" s="2417" t="s">
        <v>1245</v>
      </c>
      <c r="C29" s="2427">
        <v>1140657.841</v>
      </c>
      <c r="D29" s="2427">
        <v>415304.31400000001</v>
      </c>
      <c r="E29" s="2427">
        <v>308298.14500000002</v>
      </c>
      <c r="F29" s="2427">
        <v>403731.39299999998</v>
      </c>
      <c r="G29" s="2427">
        <v>182282.15700000001</v>
      </c>
      <c r="H29" s="2427">
        <v>180483.992</v>
      </c>
      <c r="I29" s="2427">
        <v>137484.92300000001</v>
      </c>
      <c r="J29" s="2427">
        <v>54509.779000000002</v>
      </c>
      <c r="K29" s="2427">
        <v>1765008.03</v>
      </c>
      <c r="L29" s="2427">
        <v>196069.242</v>
      </c>
      <c r="M29" s="2427">
        <v>205578.07500000001</v>
      </c>
      <c r="N29" s="2427">
        <v>277606.49400000001</v>
      </c>
      <c r="O29" s="2427">
        <v>212075.08199999999</v>
      </c>
      <c r="P29" s="2427">
        <v>214619.23</v>
      </c>
      <c r="Q29" s="2427">
        <v>307294.42200000002</v>
      </c>
      <c r="R29" s="2427">
        <v>397283.21399999998</v>
      </c>
      <c r="S29" s="2427">
        <v>80385.489000000001</v>
      </c>
      <c r="T29" s="2419" t="s">
        <v>133</v>
      </c>
      <c r="U29" s="2428">
        <v>6478671.8219999997</v>
      </c>
      <c r="V29" s="2421"/>
      <c r="W29" s="279"/>
    </row>
    <row r="30" spans="1:23" s="2422" customFormat="1" ht="20.45" customHeight="1">
      <c r="A30" s="2423"/>
      <c r="B30" s="2417" t="s">
        <v>1246</v>
      </c>
      <c r="C30" s="2427">
        <v>2006105.7679999999</v>
      </c>
      <c r="D30" s="2427">
        <v>546993.87399999995</v>
      </c>
      <c r="E30" s="2427">
        <v>369354.45500000002</v>
      </c>
      <c r="F30" s="2427">
        <v>567287.17700000003</v>
      </c>
      <c r="G30" s="2427">
        <v>236922.47399999999</v>
      </c>
      <c r="H30" s="2427">
        <v>306673.47399999999</v>
      </c>
      <c r="I30" s="2427">
        <v>171973.13800000001</v>
      </c>
      <c r="J30" s="2427">
        <v>83767.016000000003</v>
      </c>
      <c r="K30" s="2427">
        <v>2836537.557</v>
      </c>
      <c r="L30" s="2427">
        <v>411903.74699999997</v>
      </c>
      <c r="M30" s="2427">
        <v>331800.24400000001</v>
      </c>
      <c r="N30" s="2427">
        <v>432186.71100000001</v>
      </c>
      <c r="O30" s="2427">
        <v>321067.44099999999</v>
      </c>
      <c r="P30" s="2427">
        <v>341138.39899999998</v>
      </c>
      <c r="Q30" s="2427">
        <v>474623.48100000003</v>
      </c>
      <c r="R30" s="2427">
        <v>548336.29399999999</v>
      </c>
      <c r="S30" s="2427">
        <v>195000.054</v>
      </c>
      <c r="T30" s="2419" t="s">
        <v>133</v>
      </c>
      <c r="U30" s="2428">
        <v>10181671.304</v>
      </c>
      <c r="V30" s="2421"/>
      <c r="W30" s="279"/>
    </row>
    <row r="31" spans="1:23" s="2422" customFormat="1" ht="20.45" customHeight="1">
      <c r="A31" s="2423"/>
      <c r="B31" s="2417" t="s">
        <v>1247</v>
      </c>
      <c r="C31" s="2427">
        <v>144263.571</v>
      </c>
      <c r="D31" s="2427">
        <v>42151.415000000001</v>
      </c>
      <c r="E31" s="2427">
        <v>29991.436000000002</v>
      </c>
      <c r="F31" s="2427">
        <v>27294.123</v>
      </c>
      <c r="G31" s="2427">
        <v>25198.384999999998</v>
      </c>
      <c r="H31" s="2427">
        <v>36134.381000000001</v>
      </c>
      <c r="I31" s="2427">
        <v>17167.583999999999</v>
      </c>
      <c r="J31" s="2427">
        <v>8466.1689999999999</v>
      </c>
      <c r="K31" s="2427">
        <v>144475.698</v>
      </c>
      <c r="L31" s="2427">
        <v>32058.863000000001</v>
      </c>
      <c r="M31" s="2427">
        <v>30523.126</v>
      </c>
      <c r="N31" s="2427">
        <v>40291.65</v>
      </c>
      <c r="O31" s="2427">
        <v>34410.476000000002</v>
      </c>
      <c r="P31" s="2427">
        <v>30307.715</v>
      </c>
      <c r="Q31" s="2427">
        <v>58791.68</v>
      </c>
      <c r="R31" s="2427">
        <v>39526.699999999997</v>
      </c>
      <c r="S31" s="2427">
        <v>11436.987999999999</v>
      </c>
      <c r="T31" s="2419" t="s">
        <v>133</v>
      </c>
      <c r="U31" s="2428">
        <v>752489.96</v>
      </c>
      <c r="V31" s="2421"/>
      <c r="W31" s="279"/>
    </row>
    <row r="32" spans="1:23" s="2422" customFormat="1" ht="20.45" customHeight="1">
      <c r="A32" s="2423"/>
      <c r="B32" s="2417" t="s">
        <v>1248</v>
      </c>
      <c r="C32" s="2427">
        <v>370612.72899999999</v>
      </c>
      <c r="D32" s="2427">
        <v>662529.821</v>
      </c>
      <c r="E32" s="2427">
        <v>556230.79599999997</v>
      </c>
      <c r="F32" s="2427">
        <v>980001.00699999998</v>
      </c>
      <c r="G32" s="2427">
        <v>244463.435</v>
      </c>
      <c r="H32" s="2427">
        <v>243576.943</v>
      </c>
      <c r="I32" s="2427">
        <v>1979964.3640000001</v>
      </c>
      <c r="J32" s="2427">
        <v>166366.14300000001</v>
      </c>
      <c r="K32" s="2427">
        <v>6424882.0159999998</v>
      </c>
      <c r="L32" s="2427">
        <v>492662.13299999997</v>
      </c>
      <c r="M32" s="2427">
        <v>1437833.5149999999</v>
      </c>
      <c r="N32" s="2427">
        <v>2886631.98</v>
      </c>
      <c r="O32" s="2427">
        <v>961197.69499999995</v>
      </c>
      <c r="P32" s="2427">
        <v>1393213.5660000001</v>
      </c>
      <c r="Q32" s="2427">
        <v>2302612.0419999999</v>
      </c>
      <c r="R32" s="2427">
        <v>1642873.3740000001</v>
      </c>
      <c r="S32" s="2427">
        <v>57638.008000000002</v>
      </c>
      <c r="T32" s="2419" t="s">
        <v>133</v>
      </c>
      <c r="U32" s="2428">
        <v>22803289.567000002</v>
      </c>
      <c r="V32" s="2421"/>
      <c r="W32" s="279"/>
    </row>
    <row r="33" spans="1:23" s="2422" customFormat="1" ht="20.45" customHeight="1">
      <c r="A33" s="2423"/>
      <c r="B33" s="2417" t="s">
        <v>1249</v>
      </c>
      <c r="C33" s="2427">
        <v>1747.7550000000001</v>
      </c>
      <c r="D33" s="2427">
        <v>7259.4290000000001</v>
      </c>
      <c r="E33" s="2427">
        <v>11179.034</v>
      </c>
      <c r="F33" s="2427">
        <v>11915.746999999999</v>
      </c>
      <c r="G33" s="2427">
        <v>6023.0619999999999</v>
      </c>
      <c r="H33" s="2427">
        <v>2668.0419999999999</v>
      </c>
      <c r="I33" s="2427">
        <v>6326.7209999999995</v>
      </c>
      <c r="J33" s="2427">
        <v>6404.3329999999996</v>
      </c>
      <c r="K33" s="2427">
        <v>195483.89300000001</v>
      </c>
      <c r="L33" s="2427">
        <v>59626.904000000002</v>
      </c>
      <c r="M33" s="2427">
        <v>70770.66</v>
      </c>
      <c r="N33" s="2427">
        <v>185640.41899999999</v>
      </c>
      <c r="O33" s="2427">
        <v>145502.929</v>
      </c>
      <c r="P33" s="2427">
        <v>369133.21500000003</v>
      </c>
      <c r="Q33" s="2427">
        <v>176627.41899999999</v>
      </c>
      <c r="R33" s="2427">
        <v>189699.24400000001</v>
      </c>
      <c r="S33" s="2427">
        <v>134433.32399999999</v>
      </c>
      <c r="T33" s="2419" t="s">
        <v>133</v>
      </c>
      <c r="U33" s="2428">
        <v>1580442.13</v>
      </c>
      <c r="V33" s="2421"/>
      <c r="W33" s="279"/>
    </row>
    <row r="34" spans="1:23" s="2422" customFormat="1" ht="20.45" customHeight="1">
      <c r="A34" s="2423"/>
      <c r="B34" s="2417" t="s">
        <v>1250</v>
      </c>
      <c r="C34" s="2427">
        <v>21435.069</v>
      </c>
      <c r="D34" s="2427">
        <v>12898.413</v>
      </c>
      <c r="E34" s="2427">
        <v>10737.99</v>
      </c>
      <c r="F34" s="2427">
        <v>12801.710999999999</v>
      </c>
      <c r="G34" s="2427">
        <v>5877.0129999999999</v>
      </c>
      <c r="H34" s="2427">
        <v>5934.5879999999997</v>
      </c>
      <c r="I34" s="2427">
        <v>6687.4070000000002</v>
      </c>
      <c r="J34" s="2427">
        <v>3151.0709999999999</v>
      </c>
      <c r="K34" s="2427">
        <v>70512.066000000006</v>
      </c>
      <c r="L34" s="2427">
        <v>15712.802</v>
      </c>
      <c r="M34" s="2427">
        <v>14731.717000000001</v>
      </c>
      <c r="N34" s="2427">
        <v>15108.858</v>
      </c>
      <c r="O34" s="2427">
        <v>15201.382</v>
      </c>
      <c r="P34" s="2427">
        <v>18991.954000000002</v>
      </c>
      <c r="Q34" s="2427">
        <v>24664.185000000001</v>
      </c>
      <c r="R34" s="2427">
        <v>23961.607</v>
      </c>
      <c r="S34" s="2427">
        <v>3897.732</v>
      </c>
      <c r="T34" s="2419" t="s">
        <v>133</v>
      </c>
      <c r="U34" s="2428">
        <v>282305.565</v>
      </c>
      <c r="V34" s="2421"/>
      <c r="W34" s="279"/>
    </row>
    <row r="35" spans="1:23" s="2422" customFormat="1" ht="20.45" customHeight="1">
      <c r="A35" s="2423"/>
      <c r="B35" s="2417" t="s">
        <v>1251</v>
      </c>
      <c r="C35" s="2427">
        <v>17514.792000000001</v>
      </c>
      <c r="D35" s="2427">
        <v>11243.183999999999</v>
      </c>
      <c r="E35" s="2427">
        <v>10305.471</v>
      </c>
      <c r="F35" s="2427">
        <v>12248.127</v>
      </c>
      <c r="G35" s="2427">
        <v>4177.8239999999996</v>
      </c>
      <c r="H35" s="2427">
        <v>9220.0210000000006</v>
      </c>
      <c r="I35" s="2427">
        <v>4888.741</v>
      </c>
      <c r="J35" s="2427">
        <v>4900.1040000000003</v>
      </c>
      <c r="K35" s="2427">
        <v>137818.959</v>
      </c>
      <c r="L35" s="2427">
        <v>94626.433999999994</v>
      </c>
      <c r="M35" s="2427">
        <v>70413.346000000005</v>
      </c>
      <c r="N35" s="2427">
        <v>78883.983999999997</v>
      </c>
      <c r="O35" s="2427">
        <v>47316.726999999999</v>
      </c>
      <c r="P35" s="2427">
        <v>30747.537</v>
      </c>
      <c r="Q35" s="2427">
        <v>63228.743999999999</v>
      </c>
      <c r="R35" s="2427">
        <v>44883.476999999999</v>
      </c>
      <c r="S35" s="2427">
        <v>7093.942</v>
      </c>
      <c r="T35" s="2419" t="s">
        <v>133</v>
      </c>
      <c r="U35" s="2428">
        <v>649511.41399999999</v>
      </c>
      <c r="V35" s="2421"/>
      <c r="W35" s="279"/>
    </row>
    <row r="36" spans="1:23" s="2422" customFormat="1" ht="20.45" customHeight="1">
      <c r="A36" s="2429"/>
      <c r="B36" s="2430" t="s">
        <v>160</v>
      </c>
      <c r="C36" s="2431">
        <v>3702337.5249999999</v>
      </c>
      <c r="D36" s="2431">
        <v>1698380.45</v>
      </c>
      <c r="E36" s="2431">
        <v>1296097.327</v>
      </c>
      <c r="F36" s="2431">
        <v>2015279.2849999999</v>
      </c>
      <c r="G36" s="2431">
        <v>704944.35</v>
      </c>
      <c r="H36" s="2431">
        <v>784691.44099999999</v>
      </c>
      <c r="I36" s="2431">
        <v>2324492.878</v>
      </c>
      <c r="J36" s="2431">
        <v>327564.61499999999</v>
      </c>
      <c r="K36" s="2431">
        <v>11574718.219000001</v>
      </c>
      <c r="L36" s="2431">
        <v>1302660.125</v>
      </c>
      <c r="M36" s="2431">
        <v>2161650.6830000002</v>
      </c>
      <c r="N36" s="2431">
        <v>3916350.0959999999</v>
      </c>
      <c r="O36" s="2431">
        <v>1736771.7320000001</v>
      </c>
      <c r="P36" s="2431">
        <v>2398151.6159999999</v>
      </c>
      <c r="Q36" s="2431">
        <v>3407841.9730000002</v>
      </c>
      <c r="R36" s="2431">
        <v>2886563.91</v>
      </c>
      <c r="S36" s="2431">
        <v>489885.53700000001</v>
      </c>
      <c r="T36" s="2432" t="s">
        <v>133</v>
      </c>
      <c r="U36" s="2433">
        <v>42728381.762000002</v>
      </c>
      <c r="V36" s="2421"/>
      <c r="W36" s="279"/>
    </row>
    <row r="37" spans="1:23" ht="8.1" customHeight="1">
      <c r="A37" s="438"/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</row>
    <row r="38" spans="1:23" s="349" customFormat="1" ht="12.75" customHeight="1">
      <c r="A38" s="346"/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</row>
    <row r="39" spans="1:23">
      <c r="A39" s="346"/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282"/>
    </row>
    <row r="40" spans="1:23"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</row>
    <row r="42" spans="1:23">
      <c r="C42" s="2372"/>
      <c r="D42" s="2372"/>
      <c r="E42" s="2372"/>
      <c r="F42" s="2372"/>
      <c r="G42" s="2372"/>
      <c r="H42" s="2372"/>
      <c r="I42" s="2372"/>
      <c r="J42" s="2372"/>
      <c r="K42" s="2372"/>
      <c r="L42" s="2372"/>
      <c r="M42" s="2372"/>
      <c r="N42" s="2372"/>
      <c r="O42" s="2372"/>
      <c r="P42" s="2372"/>
      <c r="Q42" s="2372"/>
      <c r="R42" s="2372"/>
      <c r="S42" s="2372"/>
      <c r="T42" s="2372"/>
      <c r="U42" s="2372"/>
    </row>
  </sheetData>
  <mergeCells count="5">
    <mergeCell ref="A4:B4"/>
    <mergeCell ref="A5:A12"/>
    <mergeCell ref="A13:A20"/>
    <mergeCell ref="A21:A28"/>
    <mergeCell ref="A29:A36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8" orientation="portrait" useFirstPageNumber="1" r:id="rId1"/>
  <headerFooter differentOddEven="1" scaleWithDoc="0" alignWithMargins="0"/>
  <colBreaks count="1" manualBreakCount="1">
    <brk id="10" max="37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64BB-53E6-4A8B-9305-EE7478AF4193}">
  <sheetPr>
    <tabColor rgb="FF00B050"/>
  </sheetPr>
  <dimension ref="A1:O41"/>
  <sheetViews>
    <sheetView showGridLines="0" view="pageBreakPreview" zoomScale="118" zoomScaleNormal="100" zoomScaleSheetLayoutView="118" workbookViewId="0">
      <pane xSplit="2" ySplit="4" topLeftCell="C7" activePane="bottomRight" state="frozen"/>
      <selection pane="topRight"/>
      <selection pane="bottomLeft"/>
      <selection pane="bottomRight"/>
    </sheetView>
  </sheetViews>
  <sheetFormatPr defaultColWidth="9" defaultRowHeight="16.5"/>
  <cols>
    <col min="1" max="1" width="4.5" style="349" customWidth="1"/>
    <col min="2" max="2" width="12.375" style="271" customWidth="1"/>
    <col min="3" max="8" width="12.125" style="271" customWidth="1"/>
    <col min="9" max="15" width="12.75" style="271" customWidth="1"/>
    <col min="16" max="16384" width="9" style="271"/>
  </cols>
  <sheetData>
    <row r="1" spans="1:15" ht="20.25">
      <c r="A1" s="2125" t="s">
        <v>1254</v>
      </c>
    </row>
    <row r="2" spans="1:15" s="274" customFormat="1" ht="17.25">
      <c r="A2" s="274" t="s">
        <v>1255</v>
      </c>
    </row>
    <row r="3" spans="1:15" ht="15" customHeight="1">
      <c r="B3" s="272"/>
      <c r="E3" s="2405"/>
      <c r="I3" s="2434"/>
      <c r="J3" s="2434"/>
      <c r="K3" s="2434"/>
      <c r="L3" s="2434"/>
      <c r="M3" s="2434"/>
      <c r="N3" s="2434"/>
      <c r="O3" s="2434" t="s">
        <v>865</v>
      </c>
    </row>
    <row r="4" spans="1:15" s="272" customFormat="1" ht="21" customHeight="1">
      <c r="A4" s="1777" t="s">
        <v>1240</v>
      </c>
      <c r="B4" s="2435"/>
      <c r="C4" s="2436">
        <v>2025.04</v>
      </c>
      <c r="D4" s="2437">
        <v>2025.05</v>
      </c>
      <c r="E4" s="2438">
        <v>2025.06</v>
      </c>
      <c r="F4" s="2437">
        <v>2025.07</v>
      </c>
      <c r="G4" s="2439">
        <v>2025.08</v>
      </c>
      <c r="H4" s="2440">
        <v>2025.09</v>
      </c>
      <c r="I4" s="2437">
        <v>2025.1</v>
      </c>
      <c r="J4" s="2438">
        <v>2025.11</v>
      </c>
      <c r="K4" s="2436">
        <v>2025.12</v>
      </c>
      <c r="L4" s="2436">
        <v>2026.01</v>
      </c>
      <c r="M4" s="2436">
        <v>2026.02</v>
      </c>
      <c r="N4" s="2437">
        <v>2026.03</v>
      </c>
      <c r="O4" s="2441">
        <v>2026.04</v>
      </c>
    </row>
    <row r="5" spans="1:15" s="2422" customFormat="1" ht="21" customHeight="1">
      <c r="A5" s="1622" t="s">
        <v>1256</v>
      </c>
      <c r="B5" s="2128"/>
      <c r="C5" s="2442">
        <v>6247063.6229999997</v>
      </c>
      <c r="D5" s="2443">
        <v>5869599.0870000003</v>
      </c>
      <c r="E5" s="2442">
        <v>6260465.5199999996</v>
      </c>
      <c r="F5" s="2443">
        <v>8074508.9450000003</v>
      </c>
      <c r="G5" s="2442">
        <v>10165017.412</v>
      </c>
      <c r="H5" s="2443">
        <v>9348329.0549999997</v>
      </c>
      <c r="I5" s="2443">
        <v>6601830.0120000001</v>
      </c>
      <c r="J5" s="2442">
        <v>6284340.2630000003</v>
      </c>
      <c r="K5" s="2442">
        <v>6535567.5120000001</v>
      </c>
      <c r="L5" s="2442">
        <v>7261310.7429999998</v>
      </c>
      <c r="M5" s="2442">
        <v>7249194.2719999999</v>
      </c>
      <c r="N5" s="2443">
        <v>6198534.3969999999</v>
      </c>
      <c r="O5" s="2444">
        <v>6277106.9610000001</v>
      </c>
    </row>
    <row r="6" spans="1:15" s="349" customFormat="1" ht="21" customHeight="1">
      <c r="A6" s="2445" t="s">
        <v>1257</v>
      </c>
      <c r="B6" s="2446"/>
      <c r="C6" s="2447">
        <v>2146693.7659999998</v>
      </c>
      <c r="D6" s="1645">
        <v>1891038.7180000001</v>
      </c>
      <c r="E6" s="2447">
        <v>2078951.2239999999</v>
      </c>
      <c r="F6" s="1645">
        <v>2449466.2480000001</v>
      </c>
      <c r="G6" s="2447">
        <v>2497871.284</v>
      </c>
      <c r="H6" s="1645">
        <v>2502314.284</v>
      </c>
      <c r="I6" s="1645">
        <v>2056226.371</v>
      </c>
      <c r="J6" s="2447">
        <v>2070101.1440000001</v>
      </c>
      <c r="K6" s="2447">
        <v>2567032.1800000002</v>
      </c>
      <c r="L6" s="2447">
        <v>2833164.67</v>
      </c>
      <c r="M6" s="2447">
        <v>2638097.2680000002</v>
      </c>
      <c r="N6" s="1645">
        <v>2314123.071</v>
      </c>
      <c r="O6" s="2448">
        <v>2112221.3829999999</v>
      </c>
    </row>
    <row r="7" spans="1:15" s="349" customFormat="1" ht="21" customHeight="1">
      <c r="A7" s="2445" t="s">
        <v>1258</v>
      </c>
      <c r="B7" s="2446"/>
      <c r="C7" s="2447">
        <v>12335923.716</v>
      </c>
      <c r="D7" s="1645">
        <v>11487525.248</v>
      </c>
      <c r="E7" s="2447">
        <v>12473560.546</v>
      </c>
      <c r="F7" s="1645">
        <v>14550657.41</v>
      </c>
      <c r="G7" s="2447">
        <v>15810181.380000001</v>
      </c>
      <c r="H7" s="1645">
        <v>14963097.161</v>
      </c>
      <c r="I7" s="1645">
        <v>12294355.314999999</v>
      </c>
      <c r="J7" s="2447">
        <v>12099572.744000001</v>
      </c>
      <c r="K7" s="2447">
        <v>13746953.305</v>
      </c>
      <c r="L7" s="2447">
        <v>15952723.689999999</v>
      </c>
      <c r="M7" s="2447">
        <v>15718496.755999999</v>
      </c>
      <c r="N7" s="1645">
        <v>12982258.602</v>
      </c>
      <c r="O7" s="2448">
        <v>12438870.367000001</v>
      </c>
    </row>
    <row r="8" spans="1:15" s="2422" customFormat="1" ht="21" customHeight="1">
      <c r="A8" s="2445" t="s">
        <v>1259</v>
      </c>
      <c r="B8" s="2446"/>
      <c r="C8" s="2447">
        <v>1461572.615</v>
      </c>
      <c r="D8" s="1645">
        <v>1273018.72</v>
      </c>
      <c r="E8" s="2447">
        <v>1373926.4790000001</v>
      </c>
      <c r="F8" s="1645">
        <v>1517993.0560000001</v>
      </c>
      <c r="G8" s="2447">
        <v>1841778.1710000001</v>
      </c>
      <c r="H8" s="1645">
        <v>1803687.3389999999</v>
      </c>
      <c r="I8" s="1645">
        <v>1344452.51</v>
      </c>
      <c r="J8" s="2447">
        <v>1707084.513</v>
      </c>
      <c r="K8" s="2447">
        <v>1560476.3130000001</v>
      </c>
      <c r="L8" s="2447">
        <v>1856093.5959999999</v>
      </c>
      <c r="M8" s="2447">
        <v>1954798.9110000001</v>
      </c>
      <c r="N8" s="1645">
        <v>1545378.6580000001</v>
      </c>
      <c r="O8" s="2448">
        <v>1400400.9669999999</v>
      </c>
    </row>
    <row r="9" spans="1:15" s="2422" customFormat="1" ht="21" customHeight="1">
      <c r="A9" s="2449" t="s">
        <v>1260</v>
      </c>
      <c r="B9" s="2266"/>
      <c r="C9" s="2450">
        <v>132384.848</v>
      </c>
      <c r="D9" s="2451">
        <v>122026.503</v>
      </c>
      <c r="E9" s="2450">
        <v>118969.886</v>
      </c>
      <c r="F9" s="2451">
        <v>123695.37</v>
      </c>
      <c r="G9" s="2450">
        <v>113909.78599999999</v>
      </c>
      <c r="H9" s="2451">
        <v>121775.72100000001</v>
      </c>
      <c r="I9" s="2451">
        <v>108685.045</v>
      </c>
      <c r="J9" s="2450">
        <v>127319.69</v>
      </c>
      <c r="K9" s="2450">
        <v>136148.87</v>
      </c>
      <c r="L9" s="2450">
        <v>130190.784</v>
      </c>
      <c r="M9" s="2450">
        <v>114227.26</v>
      </c>
      <c r="N9" s="2451">
        <v>119646.15300000001</v>
      </c>
      <c r="O9" s="2452">
        <v>124568.397</v>
      </c>
    </row>
    <row r="10" spans="1:15" s="349" customFormat="1" ht="21" customHeight="1">
      <c r="A10" s="2453"/>
      <c r="B10" s="2454" t="s">
        <v>1261</v>
      </c>
      <c r="C10" s="2455">
        <v>20793251.732999999</v>
      </c>
      <c r="D10" s="2242">
        <v>20575390.184</v>
      </c>
      <c r="E10" s="2455">
        <v>20700014.383000001</v>
      </c>
      <c r="F10" s="2242">
        <v>22108085.976</v>
      </c>
      <c r="G10" s="2455">
        <v>21689788.015999999</v>
      </c>
      <c r="H10" s="2242">
        <v>21824276.897</v>
      </c>
      <c r="I10" s="2242">
        <v>19719478.476</v>
      </c>
      <c r="J10" s="2455">
        <v>19787100.967999998</v>
      </c>
      <c r="K10" s="2455">
        <v>20804475.782000002</v>
      </c>
      <c r="L10" s="2455">
        <v>21319227.002999999</v>
      </c>
      <c r="M10" s="2455">
        <v>19460950.421999998</v>
      </c>
      <c r="N10" s="2242">
        <v>20093619.370999999</v>
      </c>
      <c r="O10" s="2456">
        <v>20375213.686999999</v>
      </c>
    </row>
    <row r="11" spans="1:15" s="346" customFormat="1" ht="20.100000000000001" customHeight="1">
      <c r="A11" s="2453"/>
      <c r="B11" s="2457" t="s">
        <v>1262</v>
      </c>
      <c r="C11" s="2447">
        <v>1076259.862</v>
      </c>
      <c r="D11" s="1645">
        <v>1009103.18</v>
      </c>
      <c r="E11" s="2447">
        <v>1048464.812</v>
      </c>
      <c r="F11" s="1645">
        <v>1182618.6580000001</v>
      </c>
      <c r="G11" s="2447">
        <v>1185660.7120000001</v>
      </c>
      <c r="H11" s="1645">
        <v>1199937.858</v>
      </c>
      <c r="I11" s="1645">
        <v>1034698.123</v>
      </c>
      <c r="J11" s="2447">
        <v>1016895.796</v>
      </c>
      <c r="K11" s="2447">
        <v>1048876.679</v>
      </c>
      <c r="L11" s="2447">
        <v>1099067.9820000001</v>
      </c>
      <c r="M11" s="2447">
        <v>1052647.4539999999</v>
      </c>
      <c r="N11" s="1645">
        <v>1020443.748</v>
      </c>
      <c r="O11" s="2448">
        <v>1058016.08</v>
      </c>
    </row>
    <row r="12" spans="1:15" s="349" customFormat="1" ht="20.100000000000001" customHeight="1">
      <c r="A12" s="2453"/>
      <c r="B12" s="2457" t="s">
        <v>1263</v>
      </c>
      <c r="C12" s="2447">
        <v>102089.963</v>
      </c>
      <c r="D12" s="1645">
        <v>101611.946</v>
      </c>
      <c r="E12" s="2447">
        <v>112403.992</v>
      </c>
      <c r="F12" s="1645">
        <v>129360.391</v>
      </c>
      <c r="G12" s="2447">
        <v>125491.54700000001</v>
      </c>
      <c r="H12" s="1645">
        <v>127200.537</v>
      </c>
      <c r="I12" s="1645">
        <v>99015.297999999995</v>
      </c>
      <c r="J12" s="2447">
        <v>93969.486999999994</v>
      </c>
      <c r="K12" s="2447">
        <v>95185.97</v>
      </c>
      <c r="L12" s="2447">
        <v>99899.513999999996</v>
      </c>
      <c r="M12" s="2447">
        <v>87860.683000000005</v>
      </c>
      <c r="N12" s="1645">
        <v>97753.346999999994</v>
      </c>
      <c r="O12" s="2448">
        <v>101958.81299999999</v>
      </c>
    </row>
    <row r="13" spans="1:15" s="346" customFormat="1" ht="20.100000000000001" customHeight="1">
      <c r="A13" s="2453"/>
      <c r="B13" s="2457" t="s">
        <v>1264</v>
      </c>
      <c r="C13" s="2447">
        <v>14773.561</v>
      </c>
      <c r="D13" s="1645">
        <v>14787.758</v>
      </c>
      <c r="E13" s="2447">
        <v>15622.565000000001</v>
      </c>
      <c r="F13" s="1645">
        <v>19465.973999999998</v>
      </c>
      <c r="G13" s="2447">
        <v>18079.62</v>
      </c>
      <c r="H13" s="1645">
        <v>17816.332999999999</v>
      </c>
      <c r="I13" s="1645">
        <v>14097.243</v>
      </c>
      <c r="J13" s="2447">
        <v>13990.205</v>
      </c>
      <c r="K13" s="2447">
        <v>11605.582</v>
      </c>
      <c r="L13" s="2447">
        <v>14694.277</v>
      </c>
      <c r="M13" s="2447">
        <v>12282.538</v>
      </c>
      <c r="N13" s="1645">
        <v>13427.143</v>
      </c>
      <c r="O13" s="2448">
        <v>12825.811</v>
      </c>
    </row>
    <row r="14" spans="1:15" s="349" customFormat="1" ht="20.100000000000001" customHeight="1">
      <c r="A14" s="2453" t="s">
        <v>1265</v>
      </c>
      <c r="B14" s="2457" t="s">
        <v>1266</v>
      </c>
      <c r="C14" s="2447">
        <v>479200.16</v>
      </c>
      <c r="D14" s="1645">
        <v>447234.337</v>
      </c>
      <c r="E14" s="2447">
        <v>449127.89199999999</v>
      </c>
      <c r="F14" s="1645">
        <v>470245.397</v>
      </c>
      <c r="G14" s="2447">
        <v>451713.68400000001</v>
      </c>
      <c r="H14" s="1645">
        <v>462518.4</v>
      </c>
      <c r="I14" s="1645">
        <v>404036.42200000002</v>
      </c>
      <c r="J14" s="2447">
        <v>436472.929</v>
      </c>
      <c r="K14" s="2447">
        <v>460701.53</v>
      </c>
      <c r="L14" s="2447">
        <v>463271.28100000002</v>
      </c>
      <c r="M14" s="2447">
        <v>440915.31</v>
      </c>
      <c r="N14" s="1645">
        <v>425007.114</v>
      </c>
      <c r="O14" s="2448">
        <v>442638.82400000002</v>
      </c>
    </row>
    <row r="15" spans="1:15" s="349" customFormat="1" ht="20.100000000000001" customHeight="1">
      <c r="A15" s="2453"/>
      <c r="B15" s="2457" t="s">
        <v>1267</v>
      </c>
      <c r="C15" s="2447">
        <v>41470.050000000003</v>
      </c>
      <c r="D15" s="1645">
        <v>35220.932999999997</v>
      </c>
      <c r="E15" s="2447">
        <v>36384.406000000003</v>
      </c>
      <c r="F15" s="1645">
        <v>43066.947</v>
      </c>
      <c r="G15" s="2447">
        <v>44246.415999999997</v>
      </c>
      <c r="H15" s="1645">
        <v>45650.654999999999</v>
      </c>
      <c r="I15" s="1645">
        <v>34049.521000000001</v>
      </c>
      <c r="J15" s="2447">
        <v>35554.847000000002</v>
      </c>
      <c r="K15" s="2447">
        <v>40624.317000000003</v>
      </c>
      <c r="L15" s="2447">
        <v>45523.442000000003</v>
      </c>
      <c r="M15" s="2447">
        <v>48821.411999999997</v>
      </c>
      <c r="N15" s="1645">
        <v>36805.794000000002</v>
      </c>
      <c r="O15" s="2448">
        <v>39297.879000000001</v>
      </c>
    </row>
    <row r="16" spans="1:15" s="349" customFormat="1" ht="20.100000000000001" customHeight="1">
      <c r="A16" s="2453"/>
      <c r="B16" s="2457" t="s">
        <v>1268</v>
      </c>
      <c r="C16" s="2447">
        <v>33784.396999999997</v>
      </c>
      <c r="D16" s="1645">
        <v>29492.076000000001</v>
      </c>
      <c r="E16" s="2447">
        <v>30999.357</v>
      </c>
      <c r="F16" s="1645">
        <v>34407.269</v>
      </c>
      <c r="G16" s="2447">
        <v>32774.328999999998</v>
      </c>
      <c r="H16" s="1645">
        <v>35161.519999999997</v>
      </c>
      <c r="I16" s="1645">
        <v>26790.496999999999</v>
      </c>
      <c r="J16" s="2447">
        <v>30658.491999999998</v>
      </c>
      <c r="K16" s="2447">
        <v>34382.334000000003</v>
      </c>
      <c r="L16" s="2447">
        <v>37425.623</v>
      </c>
      <c r="M16" s="2447">
        <v>35502.805999999997</v>
      </c>
      <c r="N16" s="1645">
        <v>31531.040000000001</v>
      </c>
      <c r="O16" s="2448">
        <v>32281.115000000002</v>
      </c>
    </row>
    <row r="17" spans="1:15" s="349" customFormat="1" ht="20.100000000000001" customHeight="1">
      <c r="A17" s="2453"/>
      <c r="B17" s="2457" t="s">
        <v>1269</v>
      </c>
      <c r="C17" s="2447">
        <v>126502.166</v>
      </c>
      <c r="D17" s="1645">
        <v>116120.141</v>
      </c>
      <c r="E17" s="2447">
        <v>112953.054</v>
      </c>
      <c r="F17" s="1645">
        <v>117950.02800000001</v>
      </c>
      <c r="G17" s="2447">
        <v>115652.712</v>
      </c>
      <c r="H17" s="1645">
        <v>117298.55899999999</v>
      </c>
      <c r="I17" s="1645">
        <v>105475.576</v>
      </c>
      <c r="J17" s="2447">
        <v>117963.61</v>
      </c>
      <c r="K17" s="2447">
        <v>124833.06200000001</v>
      </c>
      <c r="L17" s="2447">
        <v>136722.24799999999</v>
      </c>
      <c r="M17" s="2447">
        <v>129909.21400000001</v>
      </c>
      <c r="N17" s="1645">
        <v>125821.446</v>
      </c>
      <c r="O17" s="2448">
        <v>126709.598</v>
      </c>
    </row>
    <row r="18" spans="1:15" s="346" customFormat="1" ht="20.100000000000001" customHeight="1">
      <c r="A18" s="2453"/>
      <c r="B18" s="2457" t="s">
        <v>1270</v>
      </c>
      <c r="C18" s="2447">
        <v>617038.91200000001</v>
      </c>
      <c r="D18" s="1645">
        <v>612448.35199999996</v>
      </c>
      <c r="E18" s="2447">
        <v>608198</v>
      </c>
      <c r="F18" s="1645">
        <v>636616.02599999995</v>
      </c>
      <c r="G18" s="2447">
        <v>630477.88300000003</v>
      </c>
      <c r="H18" s="1645">
        <v>641606.78200000001</v>
      </c>
      <c r="I18" s="1645">
        <v>589629.77599999995</v>
      </c>
      <c r="J18" s="2447">
        <v>607067.21900000004</v>
      </c>
      <c r="K18" s="2447">
        <v>641091.11800000002</v>
      </c>
      <c r="L18" s="2447">
        <v>662768.15700000001</v>
      </c>
      <c r="M18" s="2447">
        <v>606163.12800000003</v>
      </c>
      <c r="N18" s="1645">
        <v>622407.47699999996</v>
      </c>
      <c r="O18" s="2448">
        <v>600690.07200000004</v>
      </c>
    </row>
    <row r="19" spans="1:15" s="346" customFormat="1" ht="20.100000000000001" customHeight="1">
      <c r="A19" s="2453"/>
      <c r="B19" s="2457" t="s">
        <v>1271</v>
      </c>
      <c r="C19" s="2447">
        <v>89720.013000000006</v>
      </c>
      <c r="D19" s="1645">
        <v>76913.025999999998</v>
      </c>
      <c r="E19" s="2447">
        <v>83250.038</v>
      </c>
      <c r="F19" s="1645">
        <v>95421.051000000007</v>
      </c>
      <c r="G19" s="2447">
        <v>94415.805999999997</v>
      </c>
      <c r="H19" s="1645">
        <v>99465.409</v>
      </c>
      <c r="I19" s="1645">
        <v>75229.487999999998</v>
      </c>
      <c r="J19" s="2447">
        <v>83924.009000000005</v>
      </c>
      <c r="K19" s="2447">
        <v>97735.148000000001</v>
      </c>
      <c r="L19" s="2447">
        <v>106885.94899999999</v>
      </c>
      <c r="M19" s="2447">
        <v>106192.9</v>
      </c>
      <c r="N19" s="1645">
        <v>84168.828999999998</v>
      </c>
      <c r="O19" s="2448">
        <v>85958.918000000005</v>
      </c>
    </row>
    <row r="20" spans="1:15" s="349" customFormat="1" ht="20.100000000000001" customHeight="1">
      <c r="A20" s="2453"/>
      <c r="B20" s="2457" t="s">
        <v>1272</v>
      </c>
      <c r="C20" s="2447">
        <v>1055647.7120000001</v>
      </c>
      <c r="D20" s="1645">
        <v>1072134.709</v>
      </c>
      <c r="E20" s="2447">
        <v>1115346.379</v>
      </c>
      <c r="F20" s="1645">
        <v>1142208.3019999999</v>
      </c>
      <c r="G20" s="2447">
        <v>1168612.7660000001</v>
      </c>
      <c r="H20" s="1645">
        <v>1131925.6880000001</v>
      </c>
      <c r="I20" s="1645">
        <v>1045483.884</v>
      </c>
      <c r="J20" s="2447">
        <v>952699.96</v>
      </c>
      <c r="K20" s="2447">
        <v>1087562.43</v>
      </c>
      <c r="L20" s="2447">
        <v>1115210.4580000001</v>
      </c>
      <c r="M20" s="2447">
        <v>991580.94200000004</v>
      </c>
      <c r="N20" s="1645">
        <v>990518.73800000001</v>
      </c>
      <c r="O20" s="2448">
        <v>843910.82400000002</v>
      </c>
    </row>
    <row r="21" spans="1:15" s="346" customFormat="1" ht="20.100000000000001" customHeight="1">
      <c r="A21" s="2453" t="s">
        <v>1273</v>
      </c>
      <c r="B21" s="2457" t="s">
        <v>1274</v>
      </c>
      <c r="C21" s="2447">
        <v>3332361.7790000001</v>
      </c>
      <c r="D21" s="1645">
        <v>3408858.787</v>
      </c>
      <c r="E21" s="2447">
        <v>3295073.7590000001</v>
      </c>
      <c r="F21" s="1645">
        <v>3447400.432</v>
      </c>
      <c r="G21" s="2447">
        <v>3380672.2009999999</v>
      </c>
      <c r="H21" s="1645">
        <v>3342633.7140000002</v>
      </c>
      <c r="I21" s="1645">
        <v>3145914.9029999999</v>
      </c>
      <c r="J21" s="2447">
        <v>3058835.1839999999</v>
      </c>
      <c r="K21" s="2447">
        <v>3159701.4350000001</v>
      </c>
      <c r="L21" s="2447">
        <v>3211444.7590000001</v>
      </c>
      <c r="M21" s="2447">
        <v>2940319.9109999998</v>
      </c>
      <c r="N21" s="1645">
        <v>2975667.1039999998</v>
      </c>
      <c r="O21" s="2448">
        <v>2805655.0049999999</v>
      </c>
    </row>
    <row r="22" spans="1:15" s="346" customFormat="1" ht="20.100000000000001" customHeight="1">
      <c r="A22" s="2453"/>
      <c r="B22" s="2457" t="s">
        <v>1275</v>
      </c>
      <c r="C22" s="2447">
        <v>259672.56099999999</v>
      </c>
      <c r="D22" s="1645">
        <v>272442.375</v>
      </c>
      <c r="E22" s="2447">
        <v>302432.04100000003</v>
      </c>
      <c r="F22" s="1645">
        <v>354721.51799999998</v>
      </c>
      <c r="G22" s="2447">
        <v>343185.929</v>
      </c>
      <c r="H22" s="1645">
        <v>332510.87699999998</v>
      </c>
      <c r="I22" s="1645">
        <v>276651.288</v>
      </c>
      <c r="J22" s="2447">
        <v>259154.21299999999</v>
      </c>
      <c r="K22" s="2447">
        <v>262680.49699999997</v>
      </c>
      <c r="L22" s="2447">
        <v>266256.80900000001</v>
      </c>
      <c r="M22" s="2447">
        <v>238402.37</v>
      </c>
      <c r="N22" s="1645">
        <v>252952.73300000001</v>
      </c>
      <c r="O22" s="2448">
        <v>260279.06400000001</v>
      </c>
    </row>
    <row r="23" spans="1:15" s="349" customFormat="1" ht="20.100000000000001" customHeight="1">
      <c r="A23" s="2453"/>
      <c r="B23" s="2457" t="s">
        <v>1276</v>
      </c>
      <c r="C23" s="2447">
        <v>758967.67200000002</v>
      </c>
      <c r="D23" s="1645">
        <v>703342.32299999997</v>
      </c>
      <c r="E23" s="2447">
        <v>712594.804</v>
      </c>
      <c r="F23" s="1645">
        <v>762094.42500000005</v>
      </c>
      <c r="G23" s="2447">
        <v>720268.67200000002</v>
      </c>
      <c r="H23" s="1645">
        <v>772122.83200000005</v>
      </c>
      <c r="I23" s="1645">
        <v>632577.33200000005</v>
      </c>
      <c r="J23" s="2447">
        <v>702053.30599999998</v>
      </c>
      <c r="K23" s="2447">
        <v>744018.53899999999</v>
      </c>
      <c r="L23" s="2447">
        <v>775117.92200000002</v>
      </c>
      <c r="M23" s="2447">
        <v>722257.75899999996</v>
      </c>
      <c r="N23" s="1645">
        <v>711040.75199999998</v>
      </c>
      <c r="O23" s="2448">
        <v>730728.20499999996</v>
      </c>
    </row>
    <row r="24" spans="1:15" s="349" customFormat="1" ht="20.100000000000001" customHeight="1">
      <c r="A24" s="2453"/>
      <c r="B24" s="2457" t="s">
        <v>1277</v>
      </c>
      <c r="C24" s="2447">
        <v>884812.15899999999</v>
      </c>
      <c r="D24" s="1645">
        <v>841516.69499999995</v>
      </c>
      <c r="E24" s="2447">
        <v>821947.745</v>
      </c>
      <c r="F24" s="1645">
        <v>816066.18400000001</v>
      </c>
      <c r="G24" s="2447">
        <v>765278.23100000003</v>
      </c>
      <c r="H24" s="1645">
        <v>812720.28899999999</v>
      </c>
      <c r="I24" s="1645">
        <v>749006.58799999999</v>
      </c>
      <c r="J24" s="2447">
        <v>862660.93799999997</v>
      </c>
      <c r="K24" s="2447">
        <v>906378.57</v>
      </c>
      <c r="L24" s="2447">
        <v>818596.83799999999</v>
      </c>
      <c r="M24" s="2447">
        <v>751873.43799999997</v>
      </c>
      <c r="N24" s="1645">
        <v>833921.35699999996</v>
      </c>
      <c r="O24" s="2448">
        <v>859468.49300000002</v>
      </c>
    </row>
    <row r="25" spans="1:15" s="349" customFormat="1" ht="20.100000000000001" customHeight="1">
      <c r="A25" s="2453"/>
      <c r="B25" s="2457" t="s">
        <v>1278</v>
      </c>
      <c r="C25" s="2447">
        <v>2597625.1830000002</v>
      </c>
      <c r="D25" s="1645">
        <v>2626623.2069999999</v>
      </c>
      <c r="E25" s="2447">
        <v>2369320.8459999999</v>
      </c>
      <c r="F25" s="1645">
        <v>2398079.5070000002</v>
      </c>
      <c r="G25" s="2447">
        <v>2282523.7379999999</v>
      </c>
      <c r="H25" s="1645">
        <v>2458374.23</v>
      </c>
      <c r="I25" s="1645">
        <v>2223229.2069999999</v>
      </c>
      <c r="J25" s="2447">
        <v>2216453.733</v>
      </c>
      <c r="K25" s="2447">
        <v>2262155.9070000001</v>
      </c>
      <c r="L25" s="2447">
        <v>2356143.9550000001</v>
      </c>
      <c r="M25" s="2447">
        <v>2004306.412</v>
      </c>
      <c r="N25" s="1645">
        <v>2318252.4279999998</v>
      </c>
      <c r="O25" s="2448">
        <v>2669226.0750000002</v>
      </c>
    </row>
    <row r="26" spans="1:15" s="349" customFormat="1" ht="20.100000000000001" customHeight="1">
      <c r="A26" s="2453"/>
      <c r="B26" s="2457" t="s">
        <v>1279</v>
      </c>
      <c r="C26" s="2447">
        <v>682496.96200000006</v>
      </c>
      <c r="D26" s="1645">
        <v>608761.48899999994</v>
      </c>
      <c r="E26" s="2447">
        <v>616081.90500000003</v>
      </c>
      <c r="F26" s="1645">
        <v>658468.45900000003</v>
      </c>
      <c r="G26" s="2447">
        <v>622529.87800000003</v>
      </c>
      <c r="H26" s="1645">
        <v>669329.94799999997</v>
      </c>
      <c r="I26" s="1645">
        <v>542318.57999999996</v>
      </c>
      <c r="J26" s="2447">
        <v>625843.55599999998</v>
      </c>
      <c r="K26" s="2447">
        <v>688959.522</v>
      </c>
      <c r="L26" s="2447">
        <v>729742.35499999998</v>
      </c>
      <c r="M26" s="2447">
        <v>688972.66399999999</v>
      </c>
      <c r="N26" s="1645">
        <v>654325.24600000004</v>
      </c>
      <c r="O26" s="2448">
        <v>660195.87600000005</v>
      </c>
    </row>
    <row r="27" spans="1:15" s="349" customFormat="1" ht="20.100000000000001" customHeight="1">
      <c r="A27" s="2453"/>
      <c r="B27" s="2457" t="s">
        <v>1280</v>
      </c>
      <c r="C27" s="2447">
        <v>4427689.483</v>
      </c>
      <c r="D27" s="1645">
        <v>4574111.1969999997</v>
      </c>
      <c r="E27" s="2447">
        <v>4794156.0470000003</v>
      </c>
      <c r="F27" s="1645">
        <v>5243867.8609999996</v>
      </c>
      <c r="G27" s="2447">
        <v>5323294.1720000003</v>
      </c>
      <c r="H27" s="1645">
        <v>4994849.3080000002</v>
      </c>
      <c r="I27" s="1645">
        <v>4987300.659</v>
      </c>
      <c r="J27" s="2447">
        <v>4628625.9129999997</v>
      </c>
      <c r="K27" s="2447">
        <v>4713230.9029999999</v>
      </c>
      <c r="L27" s="2447">
        <v>4732955.3339999998</v>
      </c>
      <c r="M27" s="2447">
        <v>4363186.4519999996</v>
      </c>
      <c r="N27" s="1645">
        <v>4693458.5049999999</v>
      </c>
      <c r="O27" s="2448">
        <v>4877307.5070000002</v>
      </c>
    </row>
    <row r="28" spans="1:15" s="349" customFormat="1" ht="20.100000000000001" customHeight="1">
      <c r="A28" s="2453" t="s">
        <v>1281</v>
      </c>
      <c r="B28" s="2457" t="s">
        <v>1282</v>
      </c>
      <c r="C28" s="2447">
        <v>247416.671</v>
      </c>
      <c r="D28" s="1645">
        <v>306411.59899999999</v>
      </c>
      <c r="E28" s="2447">
        <v>303469.61599999998</v>
      </c>
      <c r="F28" s="1645">
        <v>310954.16100000002</v>
      </c>
      <c r="G28" s="2447">
        <v>292877.91600000003</v>
      </c>
      <c r="H28" s="1645">
        <v>314580.15700000001</v>
      </c>
      <c r="I28" s="1645">
        <v>270847.62</v>
      </c>
      <c r="J28" s="2447">
        <v>303897.04300000001</v>
      </c>
      <c r="K28" s="2447">
        <v>310177.63</v>
      </c>
      <c r="L28" s="2447">
        <v>314834.48800000001</v>
      </c>
      <c r="M28" s="2447">
        <v>266919.054</v>
      </c>
      <c r="N28" s="1645">
        <v>267583.53600000002</v>
      </c>
      <c r="O28" s="2448">
        <v>254945.73699999999</v>
      </c>
    </row>
    <row r="29" spans="1:15" s="349" customFormat="1" ht="20.100000000000001" customHeight="1">
      <c r="A29" s="2453"/>
      <c r="B29" s="2457" t="s">
        <v>1283</v>
      </c>
      <c r="C29" s="2447">
        <v>767076.598</v>
      </c>
      <c r="D29" s="1645">
        <v>755064.99699999997</v>
      </c>
      <c r="E29" s="2447">
        <v>770429.63</v>
      </c>
      <c r="F29" s="1645">
        <v>841416.28099999996</v>
      </c>
      <c r="G29" s="2447">
        <v>807208.31900000002</v>
      </c>
      <c r="H29" s="1645">
        <v>827143.72400000005</v>
      </c>
      <c r="I29" s="1645">
        <v>669810.09499999997</v>
      </c>
      <c r="J29" s="2447">
        <v>699410.40899999999</v>
      </c>
      <c r="K29" s="2447">
        <v>759378.50699999998</v>
      </c>
      <c r="L29" s="2447">
        <v>809846.60100000002</v>
      </c>
      <c r="M29" s="2447">
        <v>716338.14199999999</v>
      </c>
      <c r="N29" s="1645">
        <v>777501.93200000003</v>
      </c>
      <c r="O29" s="2448">
        <v>756067.84699999995</v>
      </c>
    </row>
    <row r="30" spans="1:15" s="349" customFormat="1" ht="20.100000000000001" customHeight="1">
      <c r="A30" s="2453"/>
      <c r="B30" s="2457" t="s">
        <v>1284</v>
      </c>
      <c r="C30" s="2447">
        <v>948907.23899999994</v>
      </c>
      <c r="D30" s="1645">
        <v>851432.50699999998</v>
      </c>
      <c r="E30" s="2447">
        <v>889269.35600000003</v>
      </c>
      <c r="F30" s="1645">
        <v>991954.76300000004</v>
      </c>
      <c r="G30" s="2447">
        <v>963083.34400000004</v>
      </c>
      <c r="H30" s="1645">
        <v>1009726.44</v>
      </c>
      <c r="I30" s="1645">
        <v>814253.40099999995</v>
      </c>
      <c r="J30" s="2447">
        <v>899026.96</v>
      </c>
      <c r="K30" s="2447">
        <v>1004808.821</v>
      </c>
      <c r="L30" s="2447">
        <v>1080557.514</v>
      </c>
      <c r="M30" s="2447">
        <v>1060142.693</v>
      </c>
      <c r="N30" s="1645">
        <v>934235.06299999997</v>
      </c>
      <c r="O30" s="2448">
        <v>956164.55700000003</v>
      </c>
    </row>
    <row r="31" spans="1:15" s="349" customFormat="1" ht="20.100000000000001" customHeight="1">
      <c r="A31" s="2453"/>
      <c r="B31" s="2457" t="s">
        <v>1285</v>
      </c>
      <c r="C31" s="2447">
        <v>1604675.49</v>
      </c>
      <c r="D31" s="1645">
        <v>1509065.703</v>
      </c>
      <c r="E31" s="2447">
        <v>1570518.727</v>
      </c>
      <c r="F31" s="1645">
        <v>1675563.318</v>
      </c>
      <c r="G31" s="2447">
        <v>1646583.1640000001</v>
      </c>
      <c r="H31" s="1645">
        <v>1687279.8060000001</v>
      </c>
      <c r="I31" s="1645">
        <v>1399045.1429999999</v>
      </c>
      <c r="J31" s="2447">
        <v>1525731.496</v>
      </c>
      <c r="K31" s="2447">
        <v>1654749.5859999999</v>
      </c>
      <c r="L31" s="2447">
        <v>1704721.007</v>
      </c>
      <c r="M31" s="2447">
        <v>1519018.8119999999</v>
      </c>
      <c r="N31" s="1645">
        <v>1581884.0260000001</v>
      </c>
      <c r="O31" s="2448">
        <v>1559288.915</v>
      </c>
    </row>
    <row r="32" spans="1:15" s="349" customFormat="1" ht="20.100000000000001" customHeight="1">
      <c r="A32" s="2453"/>
      <c r="B32" s="2457" t="s">
        <v>1286</v>
      </c>
      <c r="C32" s="2447">
        <v>371547.859</v>
      </c>
      <c r="D32" s="1645">
        <v>367333.49699999997</v>
      </c>
      <c r="E32" s="2447">
        <v>398431.72499999998</v>
      </c>
      <c r="F32" s="1645">
        <v>466727.17700000003</v>
      </c>
      <c r="G32" s="2447">
        <v>411407.65600000002</v>
      </c>
      <c r="H32" s="1645">
        <v>450908.25699999998</v>
      </c>
      <c r="I32" s="1645">
        <v>363002.09399999998</v>
      </c>
      <c r="J32" s="2447">
        <v>368522.31099999999</v>
      </c>
      <c r="K32" s="2447">
        <v>412875.47700000001</v>
      </c>
      <c r="L32" s="2447">
        <v>428104.00599999999</v>
      </c>
      <c r="M32" s="2447">
        <v>363155.84399999998</v>
      </c>
      <c r="N32" s="1645">
        <v>384712.75099999999</v>
      </c>
      <c r="O32" s="2448">
        <v>371644.94</v>
      </c>
    </row>
    <row r="33" spans="1:15" s="349" customFormat="1" ht="20.100000000000001" customHeight="1">
      <c r="A33" s="2453"/>
      <c r="B33" s="2457" t="s">
        <v>1287</v>
      </c>
      <c r="C33" s="2447">
        <v>55574.358999999997</v>
      </c>
      <c r="D33" s="1645">
        <v>43478.525000000001</v>
      </c>
      <c r="E33" s="2447">
        <v>43492.063000000002</v>
      </c>
      <c r="F33" s="1645">
        <v>48061.743000000002</v>
      </c>
      <c r="G33" s="2447">
        <v>47438.892</v>
      </c>
      <c r="H33" s="1645">
        <v>50512.794999999998</v>
      </c>
      <c r="I33" s="1645">
        <v>39175.351999999999</v>
      </c>
      <c r="J33" s="2447">
        <v>48967.55</v>
      </c>
      <c r="K33" s="2447">
        <v>60316.112999999998</v>
      </c>
      <c r="L33" s="2447">
        <v>68789.798999999999</v>
      </c>
      <c r="M33" s="2447">
        <v>73689.019</v>
      </c>
      <c r="N33" s="1645">
        <v>54900.936000000002</v>
      </c>
      <c r="O33" s="2448">
        <v>54619.279000000002</v>
      </c>
    </row>
    <row r="34" spans="1:15" s="349" customFormat="1" ht="20.100000000000001" customHeight="1">
      <c r="A34" s="2453"/>
      <c r="B34" s="2457" t="s">
        <v>1288</v>
      </c>
      <c r="C34" s="2447">
        <v>211517.26</v>
      </c>
      <c r="D34" s="1645">
        <v>186505.16399999999</v>
      </c>
      <c r="E34" s="2447">
        <v>194304.511</v>
      </c>
      <c r="F34" s="1645">
        <v>214273.58</v>
      </c>
      <c r="G34" s="2447">
        <v>208337.53</v>
      </c>
      <c r="H34" s="1645">
        <v>214955.22399999999</v>
      </c>
      <c r="I34" s="1645">
        <v>171601.83900000001</v>
      </c>
      <c r="J34" s="2447">
        <v>192084.81400000001</v>
      </c>
      <c r="K34" s="2447">
        <v>214319.503</v>
      </c>
      <c r="L34" s="2447">
        <v>230983.76800000001</v>
      </c>
      <c r="M34" s="2447">
        <v>230746.02900000001</v>
      </c>
      <c r="N34" s="1645">
        <v>197583.68599999999</v>
      </c>
      <c r="O34" s="2448">
        <v>208067.35399999999</v>
      </c>
    </row>
    <row r="35" spans="1:15" s="2422" customFormat="1" ht="20.100000000000001" customHeight="1">
      <c r="A35" s="2458" t="s">
        <v>862</v>
      </c>
      <c r="B35" s="2457" t="s">
        <v>1289</v>
      </c>
      <c r="C35" s="2447">
        <v>6423.6620000000003</v>
      </c>
      <c r="D35" s="1645">
        <v>5375.6610000000001</v>
      </c>
      <c r="E35" s="2447">
        <v>5741.1130000000003</v>
      </c>
      <c r="F35" s="1645">
        <v>7076.5240000000003</v>
      </c>
      <c r="G35" s="2447">
        <v>7972.8990000000003</v>
      </c>
      <c r="H35" s="1645">
        <v>8047.5550000000003</v>
      </c>
      <c r="I35" s="1645">
        <v>6238.5469999999996</v>
      </c>
      <c r="J35" s="2447">
        <v>6636.9880000000003</v>
      </c>
      <c r="K35" s="2447">
        <v>8126.6019999999999</v>
      </c>
      <c r="L35" s="2447">
        <v>9662.9169999999995</v>
      </c>
      <c r="M35" s="2447">
        <v>9745.4359999999997</v>
      </c>
      <c r="N35" s="1645">
        <v>7714.64</v>
      </c>
      <c r="O35" s="2448">
        <v>7266.8990000000003</v>
      </c>
    </row>
    <row r="36" spans="1:15" s="2422" customFormat="1" ht="21" customHeight="1">
      <c r="A36" s="1777" t="s">
        <v>1290</v>
      </c>
      <c r="B36" s="2435"/>
      <c r="C36" s="2459">
        <v>43116890.300999999</v>
      </c>
      <c r="D36" s="2460">
        <v>41218598.460000001</v>
      </c>
      <c r="E36" s="2459">
        <v>43005888.038000003</v>
      </c>
      <c r="F36" s="2460">
        <v>48824407.005000003</v>
      </c>
      <c r="G36" s="2459">
        <v>52118546.049000002</v>
      </c>
      <c r="H36" s="2460">
        <v>50563480.457000002</v>
      </c>
      <c r="I36" s="2460">
        <v>42125027.729000002</v>
      </c>
      <c r="J36" s="2459">
        <v>42075519.321999997</v>
      </c>
      <c r="K36" s="2459">
        <v>45350653.961999997</v>
      </c>
      <c r="L36" s="2459">
        <v>49352710.486000001</v>
      </c>
      <c r="M36" s="2459">
        <v>47135764.888999999</v>
      </c>
      <c r="N36" s="2460">
        <v>43253560.251999997</v>
      </c>
      <c r="O36" s="2461">
        <v>42728381.762000002</v>
      </c>
    </row>
    <row r="37" spans="1:15" ht="5.0999999999999996" customHeight="1">
      <c r="A37" s="346"/>
      <c r="B37" s="346"/>
      <c r="C37" s="346"/>
      <c r="D37" s="346"/>
      <c r="E37" s="346"/>
    </row>
    <row r="38" spans="1:15" ht="12.95" customHeight="1">
      <c r="A38" s="438" t="s">
        <v>1291</v>
      </c>
      <c r="B38" s="346"/>
      <c r="C38" s="346"/>
      <c r="D38" s="346"/>
      <c r="L38" s="282"/>
      <c r="O38" s="282"/>
    </row>
    <row r="40" spans="1:15">
      <c r="C40" s="1380"/>
      <c r="D40" s="1380"/>
      <c r="E40" s="1380"/>
      <c r="F40" s="1380"/>
      <c r="G40" s="1380"/>
      <c r="H40" s="1380"/>
      <c r="I40" s="1380"/>
      <c r="J40" s="1380"/>
      <c r="K40" s="1380"/>
      <c r="L40" s="1380"/>
      <c r="M40" s="1380"/>
      <c r="N40" s="1380"/>
      <c r="O40" s="1380"/>
    </row>
    <row r="41" spans="1:15">
      <c r="C41" s="1380"/>
      <c r="D41" s="1380"/>
      <c r="E41" s="1380"/>
      <c r="F41" s="1380"/>
      <c r="G41" s="1380"/>
      <c r="H41" s="1380"/>
      <c r="I41" s="1380"/>
      <c r="J41" s="1380"/>
      <c r="K41" s="1380"/>
      <c r="L41" s="1380"/>
      <c r="M41" s="1380"/>
      <c r="N41" s="1380"/>
      <c r="O41" s="1380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39370078740157483" header="0" footer="0"/>
  <pageSetup paperSize="9" scale="83" firstPageNumber="70" orientation="portrait" useFirstPageNumber="1" r:id="rId1"/>
  <headerFooter differentOddEven="1" scaleWithDoc="0" alignWithMargins="0"/>
  <colBreaks count="1" manualBreakCount="1">
    <brk id="8" max="37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8238-2E6A-48C4-B2BF-9FBAD3DBE410}">
  <sheetPr>
    <tabColor rgb="FF00B050"/>
  </sheetPr>
  <dimension ref="A1:V76"/>
  <sheetViews>
    <sheetView showGridLines="0" view="pageBreakPreview" zoomScale="112" zoomScaleNormal="100" zoomScaleSheetLayoutView="112" workbookViewId="0"/>
  </sheetViews>
  <sheetFormatPr defaultColWidth="7.875" defaultRowHeight="16.5"/>
  <cols>
    <col min="1" max="1" width="3.25" style="271" customWidth="1"/>
    <col min="2" max="2" width="12.375" style="271" customWidth="1"/>
    <col min="3" max="9" width="9.375" style="271" customWidth="1"/>
    <col min="10" max="10" width="8.875" style="271" customWidth="1"/>
    <col min="11" max="11" width="9.25" style="271" customWidth="1"/>
    <col min="12" max="19" width="8.5" style="271" customWidth="1"/>
    <col min="20" max="20" width="6.375" style="271" customWidth="1"/>
    <col min="21" max="21" width="10.5" style="271" customWidth="1"/>
    <col min="22" max="22" width="8.875" style="271" customWidth="1"/>
    <col min="23" max="16384" width="7.875" style="271"/>
  </cols>
  <sheetData>
    <row r="1" spans="1:22" s="2403" customFormat="1" ht="20.25" customHeight="1">
      <c r="A1" s="2125" t="s">
        <v>1292</v>
      </c>
    </row>
    <row r="2" spans="1:22" s="2404" customFormat="1" ht="17.25" customHeight="1">
      <c r="A2" s="2404" t="s">
        <v>1293</v>
      </c>
      <c r="F2" s="2462"/>
      <c r="G2" s="2462" t="s">
        <v>1294</v>
      </c>
    </row>
    <row r="3" spans="1:22" ht="15" customHeight="1">
      <c r="B3" s="272"/>
      <c r="P3" s="2200"/>
      <c r="R3" s="2200"/>
      <c r="S3" s="2200"/>
      <c r="U3" s="2405" t="s">
        <v>1239</v>
      </c>
    </row>
    <row r="4" spans="1:22" s="272" customFormat="1" ht="21" customHeight="1">
      <c r="A4" s="1777" t="s">
        <v>1240</v>
      </c>
      <c r="B4" s="2435"/>
      <c r="C4" s="2463" t="s">
        <v>1241</v>
      </c>
      <c r="D4" s="2237" t="s">
        <v>1295</v>
      </c>
      <c r="E4" s="2237" t="s">
        <v>1296</v>
      </c>
      <c r="F4" s="2464" t="s">
        <v>1297</v>
      </c>
      <c r="G4" s="2464" t="s">
        <v>1298</v>
      </c>
      <c r="H4" s="2464" t="s">
        <v>1299</v>
      </c>
      <c r="I4" s="2237" t="s">
        <v>1300</v>
      </c>
      <c r="J4" s="2237" t="s">
        <v>1301</v>
      </c>
      <c r="K4" s="2465" t="s">
        <v>1217</v>
      </c>
      <c r="L4" s="2465" t="s">
        <v>1218</v>
      </c>
      <c r="M4" s="2465" t="s">
        <v>1219</v>
      </c>
      <c r="N4" s="2465" t="s">
        <v>1220</v>
      </c>
      <c r="O4" s="617" t="s">
        <v>1221</v>
      </c>
      <c r="P4" s="2466" t="s">
        <v>1222</v>
      </c>
      <c r="Q4" s="2465" t="s">
        <v>1223</v>
      </c>
      <c r="R4" s="2466" t="s">
        <v>1224</v>
      </c>
      <c r="S4" s="2466" t="s">
        <v>1225</v>
      </c>
      <c r="T4" s="2465" t="s">
        <v>1302</v>
      </c>
      <c r="U4" s="1728" t="s">
        <v>1243</v>
      </c>
    </row>
    <row r="5" spans="1:22" s="2422" customFormat="1" ht="21" customHeight="1">
      <c r="A5" s="1622" t="s">
        <v>1256</v>
      </c>
      <c r="B5" s="2128"/>
      <c r="C5" s="2467">
        <v>1111592.524</v>
      </c>
      <c r="D5" s="2468">
        <v>403596.36499999999</v>
      </c>
      <c r="E5" s="2468">
        <v>295971.85600000003</v>
      </c>
      <c r="F5" s="2468">
        <v>395413.50199999998</v>
      </c>
      <c r="G5" s="2468">
        <v>177297.774</v>
      </c>
      <c r="H5" s="2468">
        <v>175534.927</v>
      </c>
      <c r="I5" s="2468">
        <v>132745.07699999999</v>
      </c>
      <c r="J5" s="2468">
        <v>53653.347999999998</v>
      </c>
      <c r="K5" s="2468">
        <v>1725446.75</v>
      </c>
      <c r="L5" s="2468">
        <v>185551.87599999999</v>
      </c>
      <c r="M5" s="2468">
        <v>197171.82800000001</v>
      </c>
      <c r="N5" s="2468">
        <v>267477.38099999999</v>
      </c>
      <c r="O5" s="2468">
        <v>203327.33100000001</v>
      </c>
      <c r="P5" s="2468">
        <v>202724.30100000001</v>
      </c>
      <c r="Q5" s="2468">
        <v>291980.06</v>
      </c>
      <c r="R5" s="2468">
        <v>381504.49</v>
      </c>
      <c r="S5" s="2468">
        <v>76117.570999999996</v>
      </c>
      <c r="T5" s="2469" t="s">
        <v>133</v>
      </c>
      <c r="U5" s="2470">
        <v>6277106.9610000001</v>
      </c>
      <c r="V5" s="2421"/>
    </row>
    <row r="6" spans="1:22" s="349" customFormat="1" ht="21" customHeight="1">
      <c r="A6" s="2445" t="s">
        <v>1257</v>
      </c>
      <c r="B6" s="2446"/>
      <c r="C6" s="2471">
        <v>291977.989</v>
      </c>
      <c r="D6" s="2472">
        <v>101747.47900000001</v>
      </c>
      <c r="E6" s="2472">
        <v>76408.129000000001</v>
      </c>
      <c r="F6" s="2472">
        <v>82236.127999999997</v>
      </c>
      <c r="G6" s="2472">
        <v>46439.728000000003</v>
      </c>
      <c r="H6" s="2472">
        <v>87048.634999999995</v>
      </c>
      <c r="I6" s="2472">
        <v>44787.264999999999</v>
      </c>
      <c r="J6" s="2472">
        <v>31050.107</v>
      </c>
      <c r="K6" s="2472">
        <v>488301.05099999998</v>
      </c>
      <c r="L6" s="2472">
        <v>129819.692</v>
      </c>
      <c r="M6" s="2472">
        <v>119987.137</v>
      </c>
      <c r="N6" s="2472">
        <v>102070.586</v>
      </c>
      <c r="O6" s="2472">
        <v>94022.942999999999</v>
      </c>
      <c r="P6" s="2472">
        <v>118959.13499999999</v>
      </c>
      <c r="Q6" s="2472">
        <v>136661.079</v>
      </c>
      <c r="R6" s="2472">
        <v>129780.734</v>
      </c>
      <c r="S6" s="2472">
        <v>30923.565999999999</v>
      </c>
      <c r="T6" s="2148" t="s">
        <v>133</v>
      </c>
      <c r="U6" s="2473">
        <v>2112221.3829999999</v>
      </c>
      <c r="V6" s="2421"/>
    </row>
    <row r="7" spans="1:22" s="349" customFormat="1" ht="21" customHeight="1">
      <c r="A7" s="2445" t="s">
        <v>1258</v>
      </c>
      <c r="B7" s="2446"/>
      <c r="C7" s="2471">
        <v>2197768.6749999998</v>
      </c>
      <c r="D7" s="2472">
        <v>619482.38399999996</v>
      </c>
      <c r="E7" s="2472">
        <v>439090.87800000003</v>
      </c>
      <c r="F7" s="2472">
        <v>673576.53300000005</v>
      </c>
      <c r="G7" s="2472">
        <v>258785.43599999999</v>
      </c>
      <c r="H7" s="2472">
        <v>345835.96500000003</v>
      </c>
      <c r="I7" s="2472">
        <v>322719.28499999997</v>
      </c>
      <c r="J7" s="2472">
        <v>92618.668000000005</v>
      </c>
      <c r="K7" s="2472">
        <v>3274637.8629999999</v>
      </c>
      <c r="L7" s="2472">
        <v>528171.01800000004</v>
      </c>
      <c r="M7" s="2472">
        <v>457208.56400000001</v>
      </c>
      <c r="N7" s="2472">
        <v>716022.94200000004</v>
      </c>
      <c r="O7" s="2472">
        <v>414238.51199999999</v>
      </c>
      <c r="P7" s="2472">
        <v>473823.82299999997</v>
      </c>
      <c r="Q7" s="2472">
        <v>671548.86100000003</v>
      </c>
      <c r="R7" s="2472">
        <v>728036.21499999997</v>
      </c>
      <c r="S7" s="2472">
        <v>225304.745</v>
      </c>
      <c r="T7" s="2148" t="s">
        <v>133</v>
      </c>
      <c r="U7" s="2473">
        <v>12438870.367000001</v>
      </c>
      <c r="V7" s="2421"/>
    </row>
    <row r="8" spans="1:22" s="2422" customFormat="1" ht="21" customHeight="1">
      <c r="A8" s="2445" t="s">
        <v>1259</v>
      </c>
      <c r="B8" s="2446"/>
      <c r="C8" s="2471">
        <v>1516.2170000000001</v>
      </c>
      <c r="D8" s="2472">
        <v>6991.4549999999999</v>
      </c>
      <c r="E8" s="2472">
        <v>9686.9549999999999</v>
      </c>
      <c r="F8" s="2472">
        <v>11404.799000000001</v>
      </c>
      <c r="G8" s="2472">
        <v>5531.8590000000004</v>
      </c>
      <c r="H8" s="2472">
        <v>2466.3679999999999</v>
      </c>
      <c r="I8" s="2472">
        <v>6168.6350000000002</v>
      </c>
      <c r="J8" s="2472">
        <v>6223.45</v>
      </c>
      <c r="K8" s="2472">
        <v>188134.21599999999</v>
      </c>
      <c r="L8" s="2472">
        <v>57253.785000000003</v>
      </c>
      <c r="M8" s="2472">
        <v>66502.164999999994</v>
      </c>
      <c r="N8" s="2472">
        <v>164398.86799999999</v>
      </c>
      <c r="O8" s="2472">
        <v>127120.871</v>
      </c>
      <c r="P8" s="2472">
        <v>290599.49800000002</v>
      </c>
      <c r="Q8" s="2472">
        <v>153633.85200000001</v>
      </c>
      <c r="R8" s="2472">
        <v>171484.01300000001</v>
      </c>
      <c r="S8" s="2472">
        <v>131283.96100000001</v>
      </c>
      <c r="T8" s="2142" t="s">
        <v>133</v>
      </c>
      <c r="U8" s="2473">
        <v>1400400.9669999999</v>
      </c>
      <c r="V8" s="2421"/>
    </row>
    <row r="9" spans="1:22" s="2422" customFormat="1" ht="21" customHeight="1">
      <c r="A9" s="2449" t="s">
        <v>1260</v>
      </c>
      <c r="B9" s="2266"/>
      <c r="C9" s="2474">
        <v>154.04599999999999</v>
      </c>
      <c r="D9" s="2475">
        <v>1674.623</v>
      </c>
      <c r="E9" s="2475">
        <v>2099.5439999999999</v>
      </c>
      <c r="F9" s="2475">
        <v>5894.2049999999999</v>
      </c>
      <c r="G9" s="2475">
        <v>160.029</v>
      </c>
      <c r="H9" s="2475">
        <v>135.83099999999999</v>
      </c>
      <c r="I9" s="2475">
        <v>1060.6079999999999</v>
      </c>
      <c r="J9" s="2475">
        <v>951.07799999999997</v>
      </c>
      <c r="K9" s="2475">
        <v>19969.07</v>
      </c>
      <c r="L9" s="2475">
        <v>31804.478999999999</v>
      </c>
      <c r="M9" s="2475">
        <v>8785.4560000000001</v>
      </c>
      <c r="N9" s="2475">
        <v>23850.966</v>
      </c>
      <c r="O9" s="2475">
        <v>4368.7489999999998</v>
      </c>
      <c r="P9" s="2475">
        <v>5156.8590000000004</v>
      </c>
      <c r="Q9" s="2475">
        <v>13246.691999999999</v>
      </c>
      <c r="R9" s="2475">
        <v>4678.4110000000001</v>
      </c>
      <c r="S9" s="2475">
        <v>577.75099999999998</v>
      </c>
      <c r="T9" s="2476" t="s">
        <v>133</v>
      </c>
      <c r="U9" s="2477">
        <v>124568.397</v>
      </c>
      <c r="V9" s="2421"/>
    </row>
    <row r="10" spans="1:22" s="2422" customFormat="1" ht="21" customHeight="1">
      <c r="A10" s="2453"/>
      <c r="B10" s="2454" t="s">
        <v>1261</v>
      </c>
      <c r="C10" s="2478">
        <v>99328.073999999993</v>
      </c>
      <c r="D10" s="2311">
        <v>564888.14399999997</v>
      </c>
      <c r="E10" s="2311">
        <v>472839.96500000003</v>
      </c>
      <c r="F10" s="2311">
        <v>846754.11800000002</v>
      </c>
      <c r="G10" s="2311">
        <v>216729.524</v>
      </c>
      <c r="H10" s="2311">
        <v>173669.715</v>
      </c>
      <c r="I10" s="2311">
        <v>1817012.0079999999</v>
      </c>
      <c r="J10" s="2311">
        <v>143067.96400000001</v>
      </c>
      <c r="K10" s="2311">
        <v>5878229.2690000003</v>
      </c>
      <c r="L10" s="2311">
        <v>370059.27500000002</v>
      </c>
      <c r="M10" s="2311">
        <v>1311995.5330000001</v>
      </c>
      <c r="N10" s="2311">
        <v>2642529.3530000001</v>
      </c>
      <c r="O10" s="2311">
        <v>893693.326</v>
      </c>
      <c r="P10" s="2311">
        <v>1306888</v>
      </c>
      <c r="Q10" s="2311">
        <v>2140771.429</v>
      </c>
      <c r="R10" s="2311">
        <v>1471080.047</v>
      </c>
      <c r="S10" s="2311">
        <v>25677.942999999999</v>
      </c>
      <c r="T10" s="2311" t="s">
        <v>133</v>
      </c>
      <c r="U10" s="2343">
        <v>20375213.686999999</v>
      </c>
      <c r="V10" s="2421"/>
    </row>
    <row r="11" spans="1:22" s="349" customFormat="1" ht="20.100000000000001" customHeight="1">
      <c r="A11" s="2453"/>
      <c r="B11" s="2457" t="s">
        <v>1262</v>
      </c>
      <c r="C11" s="2479">
        <v>17111.145</v>
      </c>
      <c r="D11" s="2142">
        <v>49417.906999999999</v>
      </c>
      <c r="E11" s="2142">
        <v>18115.684000000001</v>
      </c>
      <c r="F11" s="2142">
        <v>52871.226999999999</v>
      </c>
      <c r="G11" s="2142">
        <v>10191.784</v>
      </c>
      <c r="H11" s="2142">
        <v>11621.165000000001</v>
      </c>
      <c r="I11" s="2142">
        <v>15816.707</v>
      </c>
      <c r="J11" s="2142">
        <v>11331.161</v>
      </c>
      <c r="K11" s="2142">
        <v>231118.91099999999</v>
      </c>
      <c r="L11" s="2142">
        <v>40150.987999999998</v>
      </c>
      <c r="M11" s="2142">
        <v>103332.27</v>
      </c>
      <c r="N11" s="2142">
        <v>123408.382</v>
      </c>
      <c r="O11" s="2142">
        <v>134301.76999999999</v>
      </c>
      <c r="P11" s="2142">
        <v>102968.29399999999</v>
      </c>
      <c r="Q11" s="2142">
        <v>49296.498</v>
      </c>
      <c r="R11" s="2142">
        <v>77970.611000000004</v>
      </c>
      <c r="S11" s="2142">
        <v>8991.5759999999991</v>
      </c>
      <c r="T11" s="2142" t="s">
        <v>133</v>
      </c>
      <c r="U11" s="2480">
        <v>1058016.08</v>
      </c>
      <c r="V11" s="2421"/>
    </row>
    <row r="12" spans="1:22" s="346" customFormat="1" ht="20.100000000000001" customHeight="1">
      <c r="A12" s="2453"/>
      <c r="B12" s="2457" t="s">
        <v>1263</v>
      </c>
      <c r="C12" s="2479">
        <v>997.60400000000004</v>
      </c>
      <c r="D12" s="2142">
        <v>1079.318</v>
      </c>
      <c r="E12" s="2142">
        <v>1843.288</v>
      </c>
      <c r="F12" s="2142">
        <v>1201.5329999999999</v>
      </c>
      <c r="G12" s="2142">
        <v>3048.7669999999998</v>
      </c>
      <c r="H12" s="2142">
        <v>1506.4359999999999</v>
      </c>
      <c r="I12" s="2142">
        <v>1049.606</v>
      </c>
      <c r="J12" s="2142">
        <v>43.414999999999999</v>
      </c>
      <c r="K12" s="2142">
        <v>26402.915000000001</v>
      </c>
      <c r="L12" s="2142">
        <v>10182.659</v>
      </c>
      <c r="M12" s="2142">
        <v>12991.196</v>
      </c>
      <c r="N12" s="2142">
        <v>7261.0649999999996</v>
      </c>
      <c r="O12" s="2142">
        <v>8517.4629999999997</v>
      </c>
      <c r="P12" s="2142">
        <v>1419.816</v>
      </c>
      <c r="Q12" s="2142">
        <v>7013.8729999999996</v>
      </c>
      <c r="R12" s="2142">
        <v>11304.218999999999</v>
      </c>
      <c r="S12" s="2142">
        <v>6095.64</v>
      </c>
      <c r="T12" s="2142" t="s">
        <v>133</v>
      </c>
      <c r="U12" s="2480">
        <v>101958.81299999999</v>
      </c>
      <c r="V12" s="2421"/>
    </row>
    <row r="13" spans="1:22" s="349" customFormat="1" ht="20.100000000000001" customHeight="1">
      <c r="A13" s="2453"/>
      <c r="B13" s="2457" t="s">
        <v>1264</v>
      </c>
      <c r="C13" s="2479">
        <v>5.5529999999999999</v>
      </c>
      <c r="D13" s="2142">
        <v>0.248</v>
      </c>
      <c r="E13" s="2142">
        <v>1.897</v>
      </c>
      <c r="F13" s="2142" t="s">
        <v>133</v>
      </c>
      <c r="G13" s="2142">
        <v>1057.3489999999999</v>
      </c>
      <c r="H13" s="2142">
        <v>3925.5309999999999</v>
      </c>
      <c r="I13" s="2142">
        <v>0.26300000000000001</v>
      </c>
      <c r="J13" s="2142">
        <v>621.28800000000001</v>
      </c>
      <c r="K13" s="2142">
        <v>331.09500000000003</v>
      </c>
      <c r="L13" s="2142">
        <v>2.254</v>
      </c>
      <c r="M13" s="2142">
        <v>1.2949999999999999</v>
      </c>
      <c r="N13" s="2142">
        <v>1.1040000000000001</v>
      </c>
      <c r="O13" s="2142" t="s">
        <v>133</v>
      </c>
      <c r="P13" s="2142">
        <v>0.33</v>
      </c>
      <c r="Q13" s="2142">
        <v>2305.7159999999999</v>
      </c>
      <c r="R13" s="2142">
        <v>4571.8879999999999</v>
      </c>
      <c r="S13" s="2142" t="s">
        <v>133</v>
      </c>
      <c r="T13" s="2142" t="s">
        <v>133</v>
      </c>
      <c r="U13" s="2480">
        <v>12825.811</v>
      </c>
      <c r="V13" s="2421"/>
    </row>
    <row r="14" spans="1:22" s="346" customFormat="1" ht="20.100000000000001" customHeight="1">
      <c r="A14" s="2453" t="s">
        <v>1265</v>
      </c>
      <c r="B14" s="2457" t="s">
        <v>1266</v>
      </c>
      <c r="C14" s="2479">
        <v>6593.6689999999999</v>
      </c>
      <c r="D14" s="2142">
        <v>12061.252</v>
      </c>
      <c r="E14" s="2142">
        <v>44160.307999999997</v>
      </c>
      <c r="F14" s="2142">
        <v>2421.797</v>
      </c>
      <c r="G14" s="2142">
        <v>7943.6170000000002</v>
      </c>
      <c r="H14" s="2142">
        <v>2358.6129999999998</v>
      </c>
      <c r="I14" s="2142">
        <v>15820.437</v>
      </c>
      <c r="J14" s="2142">
        <v>1394.2280000000001</v>
      </c>
      <c r="K14" s="2142">
        <v>97412.164999999994</v>
      </c>
      <c r="L14" s="2142">
        <v>1487.779</v>
      </c>
      <c r="M14" s="2142">
        <v>10241.873</v>
      </c>
      <c r="N14" s="2142">
        <v>10182.857</v>
      </c>
      <c r="O14" s="2142">
        <v>42257.377999999997</v>
      </c>
      <c r="P14" s="2142">
        <v>12015.26</v>
      </c>
      <c r="Q14" s="2142">
        <v>162608.29699999999</v>
      </c>
      <c r="R14" s="2142">
        <v>13646.334999999999</v>
      </c>
      <c r="S14" s="2142">
        <v>32.959000000000003</v>
      </c>
      <c r="T14" s="2142" t="s">
        <v>133</v>
      </c>
      <c r="U14" s="2480">
        <v>442638.82400000002</v>
      </c>
      <c r="V14" s="2421"/>
    </row>
    <row r="15" spans="1:22" s="349" customFormat="1" ht="20.100000000000001" customHeight="1">
      <c r="A15" s="2453"/>
      <c r="B15" s="2457" t="s">
        <v>1267</v>
      </c>
      <c r="C15" s="2479">
        <v>20704.77</v>
      </c>
      <c r="D15" s="2142">
        <v>1490.0719999999999</v>
      </c>
      <c r="E15" s="2142">
        <v>2983.5889999999999</v>
      </c>
      <c r="F15" s="2142">
        <v>826.43</v>
      </c>
      <c r="G15" s="2142">
        <v>145.81</v>
      </c>
      <c r="H15" s="2142">
        <v>177.702</v>
      </c>
      <c r="I15" s="2142">
        <v>84.632000000000005</v>
      </c>
      <c r="J15" s="2142">
        <v>7.085</v>
      </c>
      <c r="K15" s="2142">
        <v>9305.0519999999997</v>
      </c>
      <c r="L15" s="2142">
        <v>75.2</v>
      </c>
      <c r="M15" s="2142">
        <v>434.76</v>
      </c>
      <c r="N15" s="2142">
        <v>607.95600000000002</v>
      </c>
      <c r="O15" s="2142">
        <v>868.56</v>
      </c>
      <c r="P15" s="2142">
        <v>280.98099999999999</v>
      </c>
      <c r="Q15" s="2142">
        <v>850.53200000000004</v>
      </c>
      <c r="R15" s="2142">
        <v>439.40199999999999</v>
      </c>
      <c r="S15" s="2142">
        <v>15.346</v>
      </c>
      <c r="T15" s="2142" t="s">
        <v>133</v>
      </c>
      <c r="U15" s="2480">
        <v>39297.879000000001</v>
      </c>
      <c r="V15" s="2421"/>
    </row>
    <row r="16" spans="1:22" s="349" customFormat="1" ht="20.100000000000001" customHeight="1">
      <c r="A16" s="2453"/>
      <c r="B16" s="2457" t="s">
        <v>1268</v>
      </c>
      <c r="C16" s="2479">
        <v>1099.133</v>
      </c>
      <c r="D16" s="2142">
        <v>6735.5140000000001</v>
      </c>
      <c r="E16" s="2142">
        <v>368.68099999999998</v>
      </c>
      <c r="F16" s="2142">
        <v>651.16600000000005</v>
      </c>
      <c r="G16" s="2142">
        <v>3.282</v>
      </c>
      <c r="H16" s="2142">
        <v>52.427999999999997</v>
      </c>
      <c r="I16" s="2142">
        <v>51.860999999999997</v>
      </c>
      <c r="J16" s="2142">
        <v>141.20500000000001</v>
      </c>
      <c r="K16" s="2142">
        <v>12389.08</v>
      </c>
      <c r="L16" s="2142">
        <v>78.066000000000003</v>
      </c>
      <c r="M16" s="2142">
        <v>4194.9229999999998</v>
      </c>
      <c r="N16" s="2142">
        <v>353.46</v>
      </c>
      <c r="O16" s="2142">
        <v>325.24900000000002</v>
      </c>
      <c r="P16" s="2142">
        <v>66.644999999999996</v>
      </c>
      <c r="Q16" s="2142">
        <v>512.58100000000002</v>
      </c>
      <c r="R16" s="2142">
        <v>5256.0770000000002</v>
      </c>
      <c r="S16" s="2142">
        <v>1.764</v>
      </c>
      <c r="T16" s="2142" t="s">
        <v>133</v>
      </c>
      <c r="U16" s="2480">
        <v>32281.115000000002</v>
      </c>
      <c r="V16" s="2421"/>
    </row>
    <row r="17" spans="1:22" s="349" customFormat="1" ht="20.100000000000001" customHeight="1">
      <c r="A17" s="2453"/>
      <c r="B17" s="2457" t="s">
        <v>1269</v>
      </c>
      <c r="C17" s="2479">
        <v>300.07299999999998</v>
      </c>
      <c r="D17" s="2142">
        <v>2138.433</v>
      </c>
      <c r="E17" s="2142">
        <v>1971.91</v>
      </c>
      <c r="F17" s="2142">
        <v>28611.99</v>
      </c>
      <c r="G17" s="2142">
        <v>472.57400000000001</v>
      </c>
      <c r="H17" s="2142">
        <v>359.66300000000001</v>
      </c>
      <c r="I17" s="2142">
        <v>1229.472</v>
      </c>
      <c r="J17" s="2142">
        <v>167.73099999999999</v>
      </c>
      <c r="K17" s="2142">
        <v>40749.644999999997</v>
      </c>
      <c r="L17" s="2142">
        <v>1551.8320000000001</v>
      </c>
      <c r="M17" s="2142">
        <v>3998.9229999999998</v>
      </c>
      <c r="N17" s="2142">
        <v>11155.503000000001</v>
      </c>
      <c r="O17" s="2142">
        <v>22100.506000000001</v>
      </c>
      <c r="P17" s="2142">
        <v>1956.0070000000001</v>
      </c>
      <c r="Q17" s="2142">
        <v>4129.1499999999996</v>
      </c>
      <c r="R17" s="2142">
        <v>5680.3909999999996</v>
      </c>
      <c r="S17" s="2142">
        <v>135.79499999999999</v>
      </c>
      <c r="T17" s="2142" t="s">
        <v>133</v>
      </c>
      <c r="U17" s="2480">
        <v>126709.598</v>
      </c>
      <c r="V17" s="2421"/>
    </row>
    <row r="18" spans="1:22" s="346" customFormat="1" ht="20.100000000000001" customHeight="1">
      <c r="A18" s="2453"/>
      <c r="B18" s="2457" t="s">
        <v>1270</v>
      </c>
      <c r="C18" s="2479">
        <v>2215.3560000000002</v>
      </c>
      <c r="D18" s="2142">
        <v>2845.3009999999999</v>
      </c>
      <c r="E18" s="2142">
        <v>38854.741000000002</v>
      </c>
      <c r="F18" s="2142">
        <v>3644.2550000000001</v>
      </c>
      <c r="G18" s="2142">
        <v>4294.2650000000003</v>
      </c>
      <c r="H18" s="2142">
        <v>46072.269</v>
      </c>
      <c r="I18" s="2142">
        <v>37887.915000000001</v>
      </c>
      <c r="J18" s="2142">
        <v>16999.285</v>
      </c>
      <c r="K18" s="2142">
        <v>134937.842</v>
      </c>
      <c r="L18" s="2142">
        <v>1788.9570000000001</v>
      </c>
      <c r="M18" s="2142">
        <v>65711.63</v>
      </c>
      <c r="N18" s="2142">
        <v>59260.201999999997</v>
      </c>
      <c r="O18" s="2142">
        <v>83094.100000000006</v>
      </c>
      <c r="P18" s="2142">
        <v>8127.6059999999998</v>
      </c>
      <c r="Q18" s="2142">
        <v>32064.056</v>
      </c>
      <c r="R18" s="2142">
        <v>60948.459000000003</v>
      </c>
      <c r="S18" s="2142">
        <v>1943.8330000000001</v>
      </c>
      <c r="T18" s="2142" t="s">
        <v>133</v>
      </c>
      <c r="U18" s="2480">
        <v>600690.07200000004</v>
      </c>
      <c r="V18" s="2421"/>
    </row>
    <row r="19" spans="1:22" s="346" customFormat="1" ht="20.100000000000001" customHeight="1">
      <c r="A19" s="2453"/>
      <c r="B19" s="2457" t="s">
        <v>1271</v>
      </c>
      <c r="C19" s="2479">
        <v>11601.558000000001</v>
      </c>
      <c r="D19" s="2142">
        <v>1848.87</v>
      </c>
      <c r="E19" s="2142">
        <v>2371.4720000000002</v>
      </c>
      <c r="F19" s="2142">
        <v>6122.6270000000004</v>
      </c>
      <c r="G19" s="2142">
        <v>1328.2070000000001</v>
      </c>
      <c r="H19" s="2142">
        <v>1288.2819999999999</v>
      </c>
      <c r="I19" s="2142">
        <v>287.69499999999999</v>
      </c>
      <c r="J19" s="2142">
        <v>109.919</v>
      </c>
      <c r="K19" s="2142">
        <v>51566.317999999999</v>
      </c>
      <c r="L19" s="2142">
        <v>532.92100000000005</v>
      </c>
      <c r="M19" s="2142">
        <v>2357.9830000000002</v>
      </c>
      <c r="N19" s="2142">
        <v>3325.1979999999999</v>
      </c>
      <c r="O19" s="2142">
        <v>471.99799999999999</v>
      </c>
      <c r="P19" s="2142">
        <v>133.70099999999999</v>
      </c>
      <c r="Q19" s="2142">
        <v>718.04200000000003</v>
      </c>
      <c r="R19" s="2142">
        <v>1805.61</v>
      </c>
      <c r="S19" s="2142">
        <v>88.516999999999996</v>
      </c>
      <c r="T19" s="2142" t="s">
        <v>133</v>
      </c>
      <c r="U19" s="2480">
        <v>85958.918000000005</v>
      </c>
      <c r="V19" s="2421"/>
    </row>
    <row r="20" spans="1:22" s="349" customFormat="1" ht="20.100000000000001" customHeight="1">
      <c r="A20" s="2453"/>
      <c r="B20" s="2457" t="s">
        <v>1272</v>
      </c>
      <c r="C20" s="2479">
        <v>244.727</v>
      </c>
      <c r="D20" s="2142">
        <v>550.57100000000003</v>
      </c>
      <c r="E20" s="2142">
        <v>888.98500000000001</v>
      </c>
      <c r="F20" s="2142">
        <v>65857.394</v>
      </c>
      <c r="G20" s="2142">
        <v>38.011000000000003</v>
      </c>
      <c r="H20" s="2142">
        <v>16.199000000000002</v>
      </c>
      <c r="I20" s="2142">
        <v>387427.647</v>
      </c>
      <c r="J20" s="2142" t="s">
        <v>133</v>
      </c>
      <c r="K20" s="2142">
        <v>2983.5279999999998</v>
      </c>
      <c r="L20" s="2142">
        <v>65.643000000000001</v>
      </c>
      <c r="M20" s="2142">
        <v>1346.8330000000001</v>
      </c>
      <c r="N20" s="2142">
        <v>266988.75699999998</v>
      </c>
      <c r="O20" s="2142">
        <v>467.8</v>
      </c>
      <c r="P20" s="2142">
        <v>111486.709</v>
      </c>
      <c r="Q20" s="2142">
        <v>4960.7309999999998</v>
      </c>
      <c r="R20" s="2142">
        <v>583.88099999999997</v>
      </c>
      <c r="S20" s="2142">
        <v>3.4079999999999999</v>
      </c>
      <c r="T20" s="2142" t="s">
        <v>133</v>
      </c>
      <c r="U20" s="2480">
        <v>843910.82400000002</v>
      </c>
      <c r="V20" s="2421"/>
    </row>
    <row r="21" spans="1:22" s="346" customFormat="1" ht="20.100000000000001" customHeight="1">
      <c r="A21" s="2453" t="s">
        <v>1273</v>
      </c>
      <c r="B21" s="2457" t="s">
        <v>1274</v>
      </c>
      <c r="C21" s="2479">
        <v>4163.3050000000003</v>
      </c>
      <c r="D21" s="2142">
        <v>22244.973000000002</v>
      </c>
      <c r="E21" s="2142">
        <v>15696.477999999999</v>
      </c>
      <c r="F21" s="2142">
        <v>48045.211000000003</v>
      </c>
      <c r="G21" s="2142">
        <v>6451.9939999999997</v>
      </c>
      <c r="H21" s="2142">
        <v>15695.039000000001</v>
      </c>
      <c r="I21" s="2142">
        <v>587775.47199999995</v>
      </c>
      <c r="J21" s="2142">
        <v>15104.061</v>
      </c>
      <c r="K21" s="2142">
        <v>533944.61</v>
      </c>
      <c r="L21" s="2142">
        <v>8147.6859999999997</v>
      </c>
      <c r="M21" s="2142">
        <v>148081.77499999999</v>
      </c>
      <c r="N21" s="2142">
        <v>308192.23200000002</v>
      </c>
      <c r="O21" s="2142">
        <v>207703.74299999999</v>
      </c>
      <c r="P21" s="2142">
        <v>617882.37</v>
      </c>
      <c r="Q21" s="2142">
        <v>203624.44899999999</v>
      </c>
      <c r="R21" s="2142">
        <v>60153.538999999997</v>
      </c>
      <c r="S21" s="2142">
        <v>2748.0680000000002</v>
      </c>
      <c r="T21" s="2142" t="s">
        <v>133</v>
      </c>
      <c r="U21" s="2480">
        <v>2805655.0049999999</v>
      </c>
      <c r="V21" s="2421"/>
    </row>
    <row r="22" spans="1:22" s="346" customFormat="1" ht="20.100000000000001" customHeight="1">
      <c r="A22" s="2453"/>
      <c r="B22" s="2457" t="s">
        <v>1275</v>
      </c>
      <c r="C22" s="2479">
        <v>955.36500000000001</v>
      </c>
      <c r="D22" s="2142">
        <v>2818.6489999999999</v>
      </c>
      <c r="E22" s="2142">
        <v>1249.693</v>
      </c>
      <c r="F22" s="2142">
        <v>38972.495000000003</v>
      </c>
      <c r="G22" s="2142">
        <v>235.61500000000001</v>
      </c>
      <c r="H22" s="2142">
        <v>6707.4040000000005</v>
      </c>
      <c r="I22" s="2142">
        <v>323.24700000000001</v>
      </c>
      <c r="J22" s="2142">
        <v>5409.3980000000001</v>
      </c>
      <c r="K22" s="2142">
        <v>88005.028000000006</v>
      </c>
      <c r="L22" s="2142">
        <v>9564.2639999999992</v>
      </c>
      <c r="M22" s="2142">
        <v>71055.430999999997</v>
      </c>
      <c r="N22" s="2142">
        <v>23128.147000000001</v>
      </c>
      <c r="O22" s="2142">
        <v>3450.3629999999998</v>
      </c>
      <c r="P22" s="2142">
        <v>3625.442</v>
      </c>
      <c r="Q22" s="2142">
        <v>3202.4989999999998</v>
      </c>
      <c r="R22" s="2142">
        <v>756.61099999999999</v>
      </c>
      <c r="S22" s="2142">
        <v>819.41300000000001</v>
      </c>
      <c r="T22" s="2142" t="s">
        <v>133</v>
      </c>
      <c r="U22" s="2480">
        <v>260279.06400000001</v>
      </c>
      <c r="V22" s="2421"/>
    </row>
    <row r="23" spans="1:22" s="349" customFormat="1" ht="20.100000000000001" customHeight="1">
      <c r="A23" s="2453"/>
      <c r="B23" s="2457" t="s">
        <v>1276</v>
      </c>
      <c r="C23" s="2479">
        <v>3054.223</v>
      </c>
      <c r="D23" s="2142">
        <v>16442.596000000001</v>
      </c>
      <c r="E23" s="2142">
        <v>17219.053</v>
      </c>
      <c r="F23" s="2142">
        <v>22425.893</v>
      </c>
      <c r="G23" s="2142">
        <v>16791.416000000001</v>
      </c>
      <c r="H23" s="2142">
        <v>22866.69</v>
      </c>
      <c r="I23" s="2142">
        <v>36189.599000000002</v>
      </c>
      <c r="J23" s="2142">
        <v>9931.8130000000001</v>
      </c>
      <c r="K23" s="2142">
        <v>185496.14199999999</v>
      </c>
      <c r="L23" s="2142">
        <v>8095.8029999999999</v>
      </c>
      <c r="M23" s="2142">
        <v>76705.596000000005</v>
      </c>
      <c r="N23" s="2142">
        <v>99588.754000000001</v>
      </c>
      <c r="O23" s="2142">
        <v>22915.206999999999</v>
      </c>
      <c r="P23" s="2142">
        <v>31089.039000000001</v>
      </c>
      <c r="Q23" s="2142">
        <v>76112.717999999993</v>
      </c>
      <c r="R23" s="2142">
        <v>85034.839000000007</v>
      </c>
      <c r="S23" s="2142">
        <v>768.82399999999996</v>
      </c>
      <c r="T23" s="2142" t="s">
        <v>133</v>
      </c>
      <c r="U23" s="2480">
        <v>730728.20499999996</v>
      </c>
      <c r="V23" s="2421"/>
    </row>
    <row r="24" spans="1:22" s="349" customFormat="1" ht="20.100000000000001" customHeight="1">
      <c r="A24" s="2453"/>
      <c r="B24" s="2457" t="s">
        <v>1277</v>
      </c>
      <c r="C24" s="2479">
        <v>1277.4970000000001</v>
      </c>
      <c r="D24" s="2142">
        <v>7903.77</v>
      </c>
      <c r="E24" s="2142">
        <v>6255.0630000000001</v>
      </c>
      <c r="F24" s="2142">
        <v>14996.583000000001</v>
      </c>
      <c r="G24" s="2142">
        <v>1839.336</v>
      </c>
      <c r="H24" s="2142">
        <v>2722.2890000000002</v>
      </c>
      <c r="I24" s="2142">
        <v>11612.742</v>
      </c>
      <c r="J24" s="2142">
        <v>35986.324000000001</v>
      </c>
      <c r="K24" s="2142">
        <v>121227.361</v>
      </c>
      <c r="L24" s="2142">
        <v>238730.092</v>
      </c>
      <c r="M24" s="2142">
        <v>173603.16899999999</v>
      </c>
      <c r="N24" s="2142">
        <v>73292.998000000007</v>
      </c>
      <c r="O24" s="2142">
        <v>44744.256999999998</v>
      </c>
      <c r="P24" s="2142">
        <v>34657.72</v>
      </c>
      <c r="Q24" s="2142">
        <v>56492.32</v>
      </c>
      <c r="R24" s="2142">
        <v>31977.22</v>
      </c>
      <c r="S24" s="2142">
        <v>2149.752</v>
      </c>
      <c r="T24" s="2142" t="s">
        <v>133</v>
      </c>
      <c r="U24" s="2480">
        <v>859468.49300000002</v>
      </c>
      <c r="V24" s="2421"/>
    </row>
    <row r="25" spans="1:22" s="349" customFormat="1" ht="20.100000000000001" customHeight="1">
      <c r="A25" s="2453"/>
      <c r="B25" s="2457" t="s">
        <v>1278</v>
      </c>
      <c r="C25" s="2479">
        <v>794.375</v>
      </c>
      <c r="D25" s="2142">
        <v>147202.38099999999</v>
      </c>
      <c r="E25" s="2142">
        <v>23352.185000000001</v>
      </c>
      <c r="F25" s="2142">
        <v>132130.454</v>
      </c>
      <c r="G25" s="2142">
        <v>2997.3760000000002</v>
      </c>
      <c r="H25" s="2142">
        <v>3403.248</v>
      </c>
      <c r="I25" s="2142">
        <v>379119.32</v>
      </c>
      <c r="J25" s="2142">
        <v>3805.125</v>
      </c>
      <c r="K25" s="2142">
        <v>156037.80900000001</v>
      </c>
      <c r="L25" s="2142">
        <v>9739.1830000000009</v>
      </c>
      <c r="M25" s="2142">
        <v>31335.541000000001</v>
      </c>
      <c r="N25" s="2142">
        <v>344403.897</v>
      </c>
      <c r="O25" s="2142">
        <v>164379.95199999999</v>
      </c>
      <c r="P25" s="2142">
        <v>236915.96900000001</v>
      </c>
      <c r="Q25" s="2142">
        <v>735817.04</v>
      </c>
      <c r="R25" s="2142">
        <v>297585.15700000001</v>
      </c>
      <c r="S25" s="2142">
        <v>207.06299999999999</v>
      </c>
      <c r="T25" s="2142" t="s">
        <v>133</v>
      </c>
      <c r="U25" s="2480">
        <v>2669226.0750000002</v>
      </c>
      <c r="V25" s="2421"/>
    </row>
    <row r="26" spans="1:22" s="349" customFormat="1" ht="20.100000000000001" customHeight="1">
      <c r="A26" s="2453"/>
      <c r="B26" s="2457" t="s">
        <v>1279</v>
      </c>
      <c r="C26" s="2479">
        <v>3040.12</v>
      </c>
      <c r="D26" s="2142">
        <v>65048.089</v>
      </c>
      <c r="E26" s="2142">
        <v>48003.697</v>
      </c>
      <c r="F26" s="2142">
        <v>42298.991999999998</v>
      </c>
      <c r="G26" s="2142">
        <v>11522.654</v>
      </c>
      <c r="H26" s="2142">
        <v>3126.0259999999998</v>
      </c>
      <c r="I26" s="2142">
        <v>15476.194</v>
      </c>
      <c r="J26" s="2142">
        <v>1151.8579999999999</v>
      </c>
      <c r="K26" s="2142">
        <v>156497.128</v>
      </c>
      <c r="L26" s="2142">
        <v>2959.6039999999998</v>
      </c>
      <c r="M26" s="2142">
        <v>58641.705999999998</v>
      </c>
      <c r="N26" s="2142">
        <v>47070.847000000002</v>
      </c>
      <c r="O26" s="2142">
        <v>11610.394</v>
      </c>
      <c r="P26" s="2142">
        <v>10222.437</v>
      </c>
      <c r="Q26" s="2142">
        <v>62705.633000000002</v>
      </c>
      <c r="R26" s="2142">
        <v>120620.583</v>
      </c>
      <c r="S26" s="2142">
        <v>199.91399999999999</v>
      </c>
      <c r="T26" s="2142" t="s">
        <v>133</v>
      </c>
      <c r="U26" s="2480">
        <v>660195.87600000005</v>
      </c>
      <c r="V26" s="2421"/>
    </row>
    <row r="27" spans="1:22" s="349" customFormat="1" ht="20.100000000000001" customHeight="1">
      <c r="A27" s="2453"/>
      <c r="B27" s="2457" t="s">
        <v>1280</v>
      </c>
      <c r="C27" s="2479">
        <v>3547.68</v>
      </c>
      <c r="D27" s="2142">
        <v>8403.2819999999992</v>
      </c>
      <c r="E27" s="2142">
        <v>34676.754000000001</v>
      </c>
      <c r="F27" s="2142">
        <v>129347.69500000001</v>
      </c>
      <c r="G27" s="2142">
        <v>63096.035000000003</v>
      </c>
      <c r="H27" s="2142">
        <v>15925.326999999999</v>
      </c>
      <c r="I27" s="2142">
        <v>3591.8020000000001</v>
      </c>
      <c r="J27" s="2142">
        <v>24921.427</v>
      </c>
      <c r="K27" s="2142">
        <v>3188316.7859999998</v>
      </c>
      <c r="L27" s="2142">
        <v>7626.78</v>
      </c>
      <c r="M27" s="2142">
        <v>199918.867</v>
      </c>
      <c r="N27" s="2142">
        <v>827371.95600000001</v>
      </c>
      <c r="O27" s="2142">
        <v>29089.391</v>
      </c>
      <c r="P27" s="2142">
        <v>4506.866</v>
      </c>
      <c r="Q27" s="2142">
        <v>285646.467</v>
      </c>
      <c r="R27" s="2142">
        <v>51179.43</v>
      </c>
      <c r="S27" s="2142">
        <v>140.96199999999999</v>
      </c>
      <c r="T27" s="2142" t="s">
        <v>133</v>
      </c>
      <c r="U27" s="2480">
        <v>4877307.5070000002</v>
      </c>
      <c r="V27" s="2421"/>
    </row>
    <row r="28" spans="1:22" s="349" customFormat="1" ht="20.100000000000001" customHeight="1">
      <c r="A28" s="2453" t="s">
        <v>1281</v>
      </c>
      <c r="B28" s="2457" t="s">
        <v>1282</v>
      </c>
      <c r="C28" s="2479">
        <v>1971.0809999999999</v>
      </c>
      <c r="D28" s="2142">
        <v>5532.0950000000003</v>
      </c>
      <c r="E28" s="2142">
        <v>8444.3230000000003</v>
      </c>
      <c r="F28" s="2142">
        <v>95088.816999999995</v>
      </c>
      <c r="G28" s="2142">
        <v>3519.9549999999999</v>
      </c>
      <c r="H28" s="2142">
        <v>4274.232</v>
      </c>
      <c r="I28" s="2142">
        <v>1581.2449999999999</v>
      </c>
      <c r="J28" s="2142">
        <v>358.34399999999999</v>
      </c>
      <c r="K28" s="2142">
        <v>48699.582000000002</v>
      </c>
      <c r="L28" s="2142">
        <v>2953.7469999999998</v>
      </c>
      <c r="M28" s="2142">
        <v>8581.2279999999992</v>
      </c>
      <c r="N28" s="2142">
        <v>45356.760999999999</v>
      </c>
      <c r="O28" s="2142">
        <v>2682.9580000000001</v>
      </c>
      <c r="P28" s="2142">
        <v>1342.0830000000001</v>
      </c>
      <c r="Q28" s="2142">
        <v>8577.5249999999996</v>
      </c>
      <c r="R28" s="2142">
        <v>15887.041999999999</v>
      </c>
      <c r="S28" s="2142">
        <v>94.718999999999994</v>
      </c>
      <c r="T28" s="2142" t="s">
        <v>133</v>
      </c>
      <c r="U28" s="2480">
        <v>254945.73699999999</v>
      </c>
      <c r="V28" s="2421"/>
    </row>
    <row r="29" spans="1:22" s="349" customFormat="1" ht="20.100000000000001" customHeight="1">
      <c r="A29" s="2453"/>
      <c r="B29" s="2457" t="s">
        <v>1283</v>
      </c>
      <c r="C29" s="2479">
        <v>1613.6610000000001</v>
      </c>
      <c r="D29" s="2142">
        <v>12155.861000000001</v>
      </c>
      <c r="E29" s="2142">
        <v>33672.811000000002</v>
      </c>
      <c r="F29" s="2142">
        <v>16367.434999999999</v>
      </c>
      <c r="G29" s="2142">
        <v>18427.120999999999</v>
      </c>
      <c r="H29" s="2142">
        <v>7668.0420000000004</v>
      </c>
      <c r="I29" s="2142">
        <v>48769.402000000002</v>
      </c>
      <c r="J29" s="2142">
        <v>4604.9709999999995</v>
      </c>
      <c r="K29" s="2142">
        <v>84744.975000000006</v>
      </c>
      <c r="L29" s="2142">
        <v>2563.2440000000001</v>
      </c>
      <c r="M29" s="2142">
        <v>187715.28099999999</v>
      </c>
      <c r="N29" s="2142">
        <v>61662.868000000002</v>
      </c>
      <c r="O29" s="2142">
        <v>25406.069</v>
      </c>
      <c r="P29" s="2142">
        <v>61577.228000000003</v>
      </c>
      <c r="Q29" s="2142">
        <v>112377.637</v>
      </c>
      <c r="R29" s="2142">
        <v>76527.069000000003</v>
      </c>
      <c r="S29" s="2142">
        <v>214.172</v>
      </c>
      <c r="T29" s="2142" t="s">
        <v>133</v>
      </c>
      <c r="U29" s="2480">
        <v>756067.84699999995</v>
      </c>
      <c r="V29" s="2421"/>
    </row>
    <row r="30" spans="1:22" s="349" customFormat="1" ht="20.100000000000001" customHeight="1">
      <c r="A30" s="2453"/>
      <c r="B30" s="2457" t="s">
        <v>1284</v>
      </c>
      <c r="C30" s="2479">
        <v>8276.0490000000009</v>
      </c>
      <c r="D30" s="2142">
        <v>80194.453999999998</v>
      </c>
      <c r="E30" s="2142">
        <v>40670.866000000002</v>
      </c>
      <c r="F30" s="2142">
        <v>66826.915999999997</v>
      </c>
      <c r="G30" s="2142">
        <v>15697.813</v>
      </c>
      <c r="H30" s="2142">
        <v>8016.326</v>
      </c>
      <c r="I30" s="2142">
        <v>18043.863000000001</v>
      </c>
      <c r="J30" s="2142">
        <v>3224.9690000000001</v>
      </c>
      <c r="K30" s="2142">
        <v>333553.63</v>
      </c>
      <c r="L30" s="2142">
        <v>5023.25</v>
      </c>
      <c r="M30" s="2142">
        <v>40735.228000000003</v>
      </c>
      <c r="N30" s="2142">
        <v>75953.221999999994</v>
      </c>
      <c r="O30" s="2142">
        <v>12722.674000000001</v>
      </c>
      <c r="P30" s="2142">
        <v>6292.9179999999997</v>
      </c>
      <c r="Q30" s="2142">
        <v>87891.827999999994</v>
      </c>
      <c r="R30" s="2142">
        <v>152830.943</v>
      </c>
      <c r="S30" s="2142">
        <v>209.608</v>
      </c>
      <c r="T30" s="2142" t="s">
        <v>133</v>
      </c>
      <c r="U30" s="2480">
        <v>956164.55700000003</v>
      </c>
      <c r="V30" s="2421"/>
    </row>
    <row r="31" spans="1:22" s="349" customFormat="1" ht="20.100000000000001" customHeight="1">
      <c r="A31" s="2453"/>
      <c r="B31" s="2457" t="s">
        <v>1285</v>
      </c>
      <c r="C31" s="2479">
        <v>1327.617</v>
      </c>
      <c r="D31" s="2142">
        <v>95387.597999999998</v>
      </c>
      <c r="E31" s="2142">
        <v>123552.65</v>
      </c>
      <c r="F31" s="2142">
        <v>40860.339999999997</v>
      </c>
      <c r="G31" s="2142">
        <v>46670.203000000001</v>
      </c>
      <c r="H31" s="2142">
        <v>13123.609</v>
      </c>
      <c r="I31" s="2142">
        <v>166247.883</v>
      </c>
      <c r="J31" s="2142">
        <v>7282.8019999999997</v>
      </c>
      <c r="K31" s="2142">
        <v>236331.80600000001</v>
      </c>
      <c r="L31" s="2142">
        <v>14730.645</v>
      </c>
      <c r="M31" s="2142">
        <v>62619.964</v>
      </c>
      <c r="N31" s="2142">
        <v>244360.90100000001</v>
      </c>
      <c r="O31" s="2142">
        <v>67852.176999999996</v>
      </c>
      <c r="P31" s="2142">
        <v>7012.72</v>
      </c>
      <c r="Q31" s="2142">
        <v>225684</v>
      </c>
      <c r="R31" s="2142">
        <v>206198.723</v>
      </c>
      <c r="S31" s="2142">
        <v>45.277000000000001</v>
      </c>
      <c r="T31" s="2142" t="s">
        <v>133</v>
      </c>
      <c r="U31" s="2480">
        <v>1559288.915</v>
      </c>
      <c r="V31" s="2421"/>
    </row>
    <row r="32" spans="1:22" s="349" customFormat="1" ht="20.100000000000001" customHeight="1">
      <c r="A32" s="2453"/>
      <c r="B32" s="2457" t="s">
        <v>1286</v>
      </c>
      <c r="C32" s="2479">
        <v>1358.585</v>
      </c>
      <c r="D32" s="2142">
        <v>19540.215</v>
      </c>
      <c r="E32" s="2142">
        <v>4670.0129999999999</v>
      </c>
      <c r="F32" s="2142">
        <v>4337.6930000000002</v>
      </c>
      <c r="G32" s="2142">
        <v>210.941</v>
      </c>
      <c r="H32" s="2142">
        <v>1256.0920000000001</v>
      </c>
      <c r="I32" s="2142">
        <v>88007.028999999995</v>
      </c>
      <c r="J32" s="2142">
        <v>90.311000000000007</v>
      </c>
      <c r="K32" s="2142">
        <v>8253.9619999999995</v>
      </c>
      <c r="L32" s="2142">
        <v>2301.8580000000002</v>
      </c>
      <c r="M32" s="2142">
        <v>1584.674</v>
      </c>
      <c r="N32" s="2142">
        <v>2495.9630000000002</v>
      </c>
      <c r="O32" s="2142">
        <v>6289.5140000000001</v>
      </c>
      <c r="P32" s="2142">
        <v>51015.758999999998</v>
      </c>
      <c r="Q32" s="2142">
        <v>13751.712</v>
      </c>
      <c r="R32" s="2142">
        <v>166050.17000000001</v>
      </c>
      <c r="S32" s="2142">
        <v>430.44900000000001</v>
      </c>
      <c r="T32" s="2142" t="s">
        <v>133</v>
      </c>
      <c r="U32" s="2480">
        <v>371644.94</v>
      </c>
      <c r="V32" s="2421"/>
    </row>
    <row r="33" spans="1:22" s="349" customFormat="1" ht="20.100000000000001" customHeight="1">
      <c r="A33" s="2453"/>
      <c r="B33" s="2457" t="s">
        <v>1287</v>
      </c>
      <c r="C33" s="2479">
        <v>206.93899999999999</v>
      </c>
      <c r="D33" s="2142">
        <v>663.68399999999997</v>
      </c>
      <c r="E33" s="2142">
        <v>1269.7860000000001</v>
      </c>
      <c r="F33" s="2142">
        <v>6243.1220000000003</v>
      </c>
      <c r="G33" s="2142">
        <v>432.488</v>
      </c>
      <c r="H33" s="2142">
        <v>397.59199999999998</v>
      </c>
      <c r="I33" s="2142">
        <v>360.44600000000003</v>
      </c>
      <c r="J33" s="2142">
        <v>25.555</v>
      </c>
      <c r="K33" s="2142">
        <v>36088.767</v>
      </c>
      <c r="L33" s="2142">
        <v>567.66700000000003</v>
      </c>
      <c r="M33" s="2142">
        <v>2317.9360000000001</v>
      </c>
      <c r="N33" s="2142">
        <v>935.024</v>
      </c>
      <c r="O33" s="2142">
        <v>438.47199999999998</v>
      </c>
      <c r="P33" s="2142">
        <v>475.89499999999998</v>
      </c>
      <c r="Q33" s="2142">
        <v>2112.04</v>
      </c>
      <c r="R33" s="2142">
        <v>1953.384</v>
      </c>
      <c r="S33" s="2142">
        <v>130.482</v>
      </c>
      <c r="T33" s="2142" t="s">
        <v>133</v>
      </c>
      <c r="U33" s="2480">
        <v>54619.279000000002</v>
      </c>
      <c r="V33" s="2421"/>
    </row>
    <row r="34" spans="1:22" s="2422" customFormat="1" ht="20.100000000000001" customHeight="1">
      <c r="A34" s="2453"/>
      <c r="B34" s="2457" t="s">
        <v>1288</v>
      </c>
      <c r="C34" s="2479">
        <v>6762.7939999999999</v>
      </c>
      <c r="D34" s="2142">
        <v>2903.9879999999998</v>
      </c>
      <c r="E34" s="2142">
        <v>2425.8890000000001</v>
      </c>
      <c r="F34" s="2142">
        <v>26273.335999999999</v>
      </c>
      <c r="G34" s="2142">
        <v>195.05799999999999</v>
      </c>
      <c r="H34" s="2142">
        <v>1093.5989999999999</v>
      </c>
      <c r="I34" s="2142">
        <v>179.161</v>
      </c>
      <c r="J34" s="2142">
        <v>334.12099999999998</v>
      </c>
      <c r="K34" s="2142">
        <v>91945.86</v>
      </c>
      <c r="L34" s="2142">
        <v>888.79300000000001</v>
      </c>
      <c r="M34" s="2142">
        <v>44113.142</v>
      </c>
      <c r="N34" s="2142">
        <v>5684.9979999999996</v>
      </c>
      <c r="O34" s="2142">
        <v>1575.751</v>
      </c>
      <c r="P34" s="2142">
        <v>528.76900000000001</v>
      </c>
      <c r="Q34" s="2142">
        <v>1780.7570000000001</v>
      </c>
      <c r="R34" s="2142">
        <v>21264.546999999999</v>
      </c>
      <c r="S34" s="2142">
        <v>116.791</v>
      </c>
      <c r="T34" s="2142" t="s">
        <v>133</v>
      </c>
      <c r="U34" s="2480">
        <v>208067.35399999999</v>
      </c>
      <c r="V34" s="2421"/>
    </row>
    <row r="35" spans="1:22" s="2422" customFormat="1" ht="20.100000000000001" customHeight="1">
      <c r="A35" s="2458" t="s">
        <v>862</v>
      </c>
      <c r="B35" s="2457" t="s">
        <v>1289</v>
      </c>
      <c r="C35" s="2481">
        <v>105.19499999999999</v>
      </c>
      <c r="D35" s="2476">
        <v>279.02300000000002</v>
      </c>
      <c r="E35" s="2476">
        <v>120.149</v>
      </c>
      <c r="F35" s="2476">
        <v>330.71699999999998</v>
      </c>
      <c r="G35" s="2476">
        <v>117.85299999999999</v>
      </c>
      <c r="H35" s="2476">
        <v>15.912000000000001</v>
      </c>
      <c r="I35" s="2476">
        <v>78.367999999999995</v>
      </c>
      <c r="J35" s="2476">
        <v>21.568000000000001</v>
      </c>
      <c r="K35" s="2476">
        <v>1889.2719999999999</v>
      </c>
      <c r="L35" s="2476">
        <v>250.36</v>
      </c>
      <c r="M35" s="2476">
        <v>374.30900000000003</v>
      </c>
      <c r="N35" s="2476">
        <v>486.30099999999999</v>
      </c>
      <c r="O35" s="2476">
        <v>427.58</v>
      </c>
      <c r="P35" s="2476">
        <v>1287.4359999999999</v>
      </c>
      <c r="Q35" s="2476">
        <v>535.32799999999997</v>
      </c>
      <c r="R35" s="2476">
        <v>853.91700000000003</v>
      </c>
      <c r="S35" s="2476">
        <v>93.611000000000004</v>
      </c>
      <c r="T35" s="2476" t="s">
        <v>133</v>
      </c>
      <c r="U35" s="2482">
        <v>7266.8990000000003</v>
      </c>
      <c r="V35" s="2421"/>
    </row>
    <row r="36" spans="1:22" s="2422" customFormat="1" ht="21" customHeight="1">
      <c r="A36" s="1777" t="s">
        <v>1290</v>
      </c>
      <c r="B36" s="2435"/>
      <c r="C36" s="2483">
        <v>3702337.5249999999</v>
      </c>
      <c r="D36" s="2484">
        <v>1698380.45</v>
      </c>
      <c r="E36" s="2484">
        <v>1296097.327</v>
      </c>
      <c r="F36" s="2484">
        <v>2015279.2849999999</v>
      </c>
      <c r="G36" s="2484">
        <v>704944.35</v>
      </c>
      <c r="H36" s="2484">
        <v>784691.44099999999</v>
      </c>
      <c r="I36" s="2484">
        <v>2324492.878</v>
      </c>
      <c r="J36" s="2154">
        <v>327564.61499999999</v>
      </c>
      <c r="K36" s="2484">
        <v>11574718.219000001</v>
      </c>
      <c r="L36" s="2484">
        <v>1302660.125</v>
      </c>
      <c r="M36" s="2484">
        <v>2161650.6830000002</v>
      </c>
      <c r="N36" s="2484">
        <v>3916350.0959999999</v>
      </c>
      <c r="O36" s="2484">
        <v>1736771.7320000001</v>
      </c>
      <c r="P36" s="2484">
        <v>2398151.6159999999</v>
      </c>
      <c r="Q36" s="2484">
        <v>3407841.9730000002</v>
      </c>
      <c r="R36" s="2484">
        <v>2886563.91</v>
      </c>
      <c r="S36" s="2484">
        <v>489885.53700000001</v>
      </c>
      <c r="T36" s="2484" t="s">
        <v>133</v>
      </c>
      <c r="U36" s="2485">
        <v>42728381.762000002</v>
      </c>
      <c r="V36" s="2421"/>
    </row>
    <row r="37" spans="1:22" ht="5.0999999999999996" customHeight="1">
      <c r="A37" s="346"/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</row>
    <row r="38" spans="1:22" ht="12.95" customHeight="1">
      <c r="A38" s="438" t="s">
        <v>1303</v>
      </c>
      <c r="B38" s="346"/>
      <c r="C38" s="346"/>
      <c r="D38" s="438"/>
      <c r="E38" s="346"/>
      <c r="F38" s="346"/>
      <c r="G38" s="438"/>
      <c r="H38" s="346"/>
      <c r="I38" s="346"/>
      <c r="J38" s="346"/>
      <c r="K38" s="438" t="s">
        <v>1304</v>
      </c>
      <c r="L38" s="346"/>
      <c r="M38" s="346"/>
      <c r="N38" s="346"/>
      <c r="O38" s="346"/>
      <c r="P38" s="346"/>
      <c r="Q38" s="346"/>
      <c r="R38" s="346"/>
      <c r="S38" s="346"/>
      <c r="T38" s="346"/>
      <c r="U38" s="346"/>
    </row>
    <row r="39" spans="1:22" s="349" customFormat="1" ht="6" customHeight="1">
      <c r="A39" s="346"/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</row>
    <row r="40" spans="1:22">
      <c r="A40" s="346"/>
      <c r="B40" s="346"/>
      <c r="C40" s="346"/>
      <c r="D40" s="346"/>
      <c r="E40" s="346"/>
      <c r="F40" s="346"/>
      <c r="G40" s="346"/>
      <c r="H40" s="346"/>
      <c r="I40" s="346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346"/>
      <c r="U40" s="282"/>
    </row>
    <row r="41" spans="1:22">
      <c r="C41" s="2486"/>
      <c r="D41" s="2486"/>
      <c r="E41" s="2486"/>
      <c r="F41" s="2486"/>
      <c r="G41" s="2486"/>
      <c r="H41" s="2486"/>
      <c r="I41" s="2486"/>
      <c r="J41" s="2486"/>
      <c r="K41" s="2486"/>
      <c r="L41" s="2486"/>
      <c r="M41" s="2486"/>
      <c r="N41" s="2486"/>
      <c r="O41" s="2486"/>
      <c r="P41" s="2486"/>
      <c r="Q41" s="2486"/>
      <c r="R41" s="2486"/>
      <c r="S41" s="2486"/>
      <c r="T41" s="2486"/>
      <c r="U41" s="2486"/>
    </row>
    <row r="42" spans="1:22">
      <c r="C42" s="2486"/>
      <c r="D42" s="2486"/>
      <c r="E42" s="2486"/>
      <c r="F42" s="2486"/>
      <c r="G42" s="2486"/>
      <c r="H42" s="2486"/>
      <c r="I42" s="2486"/>
      <c r="J42" s="2486"/>
      <c r="K42" s="2486"/>
      <c r="L42" s="2486"/>
      <c r="M42" s="2486"/>
      <c r="N42" s="2486"/>
      <c r="O42" s="2486"/>
      <c r="P42" s="2486"/>
      <c r="Q42" s="2486"/>
      <c r="R42" s="2486"/>
      <c r="S42" s="2486"/>
      <c r="T42" s="2486"/>
      <c r="U42" s="2486"/>
    </row>
    <row r="43" spans="1:22"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</row>
    <row r="44" spans="1:22">
      <c r="U44" s="2300"/>
    </row>
    <row r="45" spans="1:22">
      <c r="B45" s="2487"/>
      <c r="C45" s="2487"/>
      <c r="D45" s="2487"/>
      <c r="E45" s="2487"/>
      <c r="F45" s="2487"/>
      <c r="G45" s="2487"/>
      <c r="H45" s="2487"/>
      <c r="I45" s="2487"/>
      <c r="J45" s="2487"/>
      <c r="K45" s="2487"/>
      <c r="L45" s="2487"/>
      <c r="M45" s="2487"/>
      <c r="N45" s="2487"/>
      <c r="O45" s="2487"/>
      <c r="P45" s="2487"/>
      <c r="Q45" s="2487"/>
      <c r="R45" s="2487"/>
      <c r="S45" s="2487"/>
      <c r="T45" s="2487"/>
    </row>
    <row r="46" spans="1:22">
      <c r="B46" s="2487"/>
      <c r="C46" s="2487"/>
      <c r="D46" s="2487"/>
      <c r="E46" s="2487"/>
      <c r="F46" s="2487"/>
      <c r="G46" s="2487"/>
      <c r="H46" s="2487"/>
      <c r="I46" s="2487"/>
      <c r="J46" s="2487"/>
      <c r="K46" s="2487"/>
      <c r="L46" s="2487"/>
      <c r="M46" s="2487"/>
      <c r="N46" s="2487"/>
      <c r="O46" s="2487"/>
      <c r="P46" s="2487"/>
      <c r="Q46" s="2487"/>
      <c r="R46" s="2487"/>
      <c r="S46" s="2487"/>
      <c r="T46" s="2487"/>
    </row>
    <row r="47" spans="1:22">
      <c r="B47" s="2487"/>
      <c r="C47" s="2487"/>
      <c r="D47" s="2487"/>
      <c r="E47" s="2487"/>
      <c r="F47" s="2487"/>
      <c r="G47" s="2487"/>
      <c r="H47" s="2487"/>
      <c r="I47" s="2487"/>
      <c r="J47" s="2487"/>
      <c r="K47" s="2487"/>
      <c r="L47" s="2487"/>
      <c r="M47" s="2487"/>
      <c r="N47" s="2487"/>
      <c r="O47" s="2487"/>
      <c r="P47" s="2487"/>
      <c r="Q47" s="2487"/>
      <c r="R47" s="2487"/>
      <c r="S47" s="2487"/>
      <c r="T47" s="2487"/>
    </row>
    <row r="48" spans="1:22">
      <c r="B48" s="2487"/>
      <c r="C48" s="2487"/>
      <c r="D48" s="2487"/>
      <c r="E48" s="2487"/>
      <c r="F48" s="2487"/>
      <c r="G48" s="2487"/>
      <c r="H48" s="2487"/>
      <c r="I48" s="2487"/>
      <c r="J48" s="2487"/>
      <c r="K48" s="2487"/>
      <c r="L48" s="2487"/>
      <c r="M48" s="2487"/>
      <c r="N48" s="2487"/>
      <c r="O48" s="2487"/>
      <c r="P48" s="2487"/>
      <c r="Q48" s="2487"/>
      <c r="R48" s="2487"/>
      <c r="S48" s="2487"/>
      <c r="T48" s="2487"/>
    </row>
    <row r="49" spans="2:20">
      <c r="B49" s="2487"/>
      <c r="C49" s="2487"/>
      <c r="D49" s="2487"/>
      <c r="E49" s="2487"/>
      <c r="F49" s="2487"/>
      <c r="G49" s="2487"/>
      <c r="H49" s="2487"/>
      <c r="I49" s="2487"/>
      <c r="J49" s="2487"/>
      <c r="K49" s="2487"/>
      <c r="L49" s="2487"/>
      <c r="M49" s="2487"/>
      <c r="N49" s="2487"/>
      <c r="O49" s="2487"/>
      <c r="P49" s="2487"/>
      <c r="Q49" s="2487"/>
      <c r="R49" s="2487"/>
      <c r="S49" s="2487"/>
      <c r="T49" s="2487"/>
    </row>
    <row r="50" spans="2:20">
      <c r="B50" s="2487"/>
      <c r="C50" s="2487"/>
      <c r="D50" s="2487"/>
      <c r="E50" s="2487"/>
      <c r="F50" s="2487"/>
      <c r="G50" s="2487"/>
      <c r="H50" s="2487"/>
      <c r="I50" s="2487"/>
      <c r="J50" s="2487"/>
      <c r="K50" s="2487"/>
      <c r="L50" s="2487"/>
      <c r="M50" s="2487"/>
      <c r="N50" s="2487"/>
      <c r="O50" s="2487"/>
      <c r="P50" s="2487"/>
      <c r="Q50" s="2487"/>
      <c r="R50" s="2487"/>
      <c r="S50" s="2487"/>
      <c r="T50" s="2487"/>
    </row>
    <row r="51" spans="2:20">
      <c r="B51" s="2487"/>
      <c r="C51" s="2487"/>
      <c r="D51" s="2487"/>
      <c r="E51" s="2487"/>
      <c r="F51" s="2487"/>
      <c r="G51" s="2487"/>
      <c r="H51" s="2487"/>
      <c r="I51" s="2487"/>
      <c r="J51" s="2487"/>
      <c r="K51" s="2487"/>
      <c r="L51" s="2487"/>
      <c r="M51" s="2487"/>
      <c r="N51" s="2487"/>
      <c r="O51" s="2487"/>
      <c r="P51" s="2487"/>
      <c r="Q51" s="2487"/>
      <c r="R51" s="2487"/>
      <c r="S51" s="2487"/>
      <c r="T51" s="2487"/>
    </row>
    <row r="52" spans="2:20">
      <c r="B52" s="2487"/>
      <c r="C52" s="2487"/>
      <c r="D52" s="2487"/>
      <c r="E52" s="2487"/>
      <c r="F52" s="2487"/>
      <c r="G52" s="2487"/>
      <c r="H52" s="2487"/>
      <c r="I52" s="2487"/>
      <c r="J52" s="2487"/>
      <c r="K52" s="2487"/>
      <c r="L52" s="2487"/>
      <c r="M52" s="2487"/>
      <c r="N52" s="2487"/>
      <c r="O52" s="2487"/>
      <c r="P52" s="2487"/>
      <c r="Q52" s="2487"/>
      <c r="R52" s="2487"/>
      <c r="S52" s="2487"/>
      <c r="T52" s="2487"/>
    </row>
    <row r="53" spans="2:20">
      <c r="B53" s="2487"/>
      <c r="C53" s="2487"/>
      <c r="D53" s="2487"/>
      <c r="E53" s="2487"/>
      <c r="F53" s="2487"/>
      <c r="G53" s="2487"/>
      <c r="H53" s="2487"/>
      <c r="I53" s="2487"/>
      <c r="J53" s="2487"/>
      <c r="K53" s="2487"/>
      <c r="L53" s="2487"/>
      <c r="M53" s="2487"/>
      <c r="N53" s="2487"/>
      <c r="O53" s="2487"/>
      <c r="P53" s="2487"/>
      <c r="Q53" s="2487"/>
      <c r="R53" s="2487"/>
      <c r="S53" s="2487"/>
      <c r="T53" s="2487"/>
    </row>
    <row r="54" spans="2:20">
      <c r="B54" s="2487"/>
      <c r="C54" s="2487"/>
      <c r="D54" s="2487"/>
      <c r="E54" s="2487"/>
      <c r="F54" s="2487"/>
      <c r="G54" s="2487"/>
      <c r="H54" s="2487"/>
      <c r="I54" s="2487"/>
      <c r="J54" s="2487"/>
      <c r="K54" s="2487"/>
      <c r="L54" s="2487"/>
      <c r="M54" s="2487"/>
      <c r="N54" s="2487"/>
      <c r="O54" s="2487"/>
      <c r="P54" s="2487"/>
      <c r="Q54" s="2487"/>
      <c r="R54" s="2487"/>
      <c r="S54" s="2487"/>
      <c r="T54" s="2487"/>
    </row>
    <row r="55" spans="2:20">
      <c r="B55" s="2487"/>
      <c r="C55" s="2487"/>
      <c r="D55" s="2487"/>
      <c r="E55" s="2487"/>
      <c r="F55" s="2487"/>
      <c r="G55" s="2487"/>
      <c r="H55" s="2487"/>
      <c r="I55" s="2487"/>
      <c r="J55" s="2487"/>
      <c r="K55" s="2487"/>
      <c r="L55" s="2487"/>
      <c r="M55" s="2487"/>
      <c r="N55" s="2487"/>
      <c r="O55" s="2487"/>
      <c r="P55" s="2487"/>
      <c r="Q55" s="2487"/>
      <c r="R55" s="2487"/>
      <c r="S55" s="2487"/>
      <c r="T55" s="2487"/>
    </row>
    <row r="56" spans="2:20">
      <c r="B56" s="2487"/>
      <c r="C56" s="2487"/>
      <c r="D56" s="2487"/>
      <c r="E56" s="2487"/>
      <c r="F56" s="2487"/>
      <c r="G56" s="2487"/>
      <c r="H56" s="2487"/>
      <c r="I56" s="2487"/>
      <c r="J56" s="2487"/>
      <c r="K56" s="2487"/>
      <c r="L56" s="2487"/>
      <c r="M56" s="2487"/>
      <c r="N56" s="2487"/>
      <c r="O56" s="2487"/>
      <c r="P56" s="2487"/>
      <c r="Q56" s="2487"/>
      <c r="R56" s="2487"/>
      <c r="S56" s="2487"/>
      <c r="T56" s="2487"/>
    </row>
    <row r="57" spans="2:20">
      <c r="B57" s="2487"/>
      <c r="C57" s="2487"/>
      <c r="D57" s="2487"/>
      <c r="E57" s="2487"/>
      <c r="F57" s="2487"/>
      <c r="G57" s="2487"/>
      <c r="H57" s="2487"/>
      <c r="I57" s="2487"/>
      <c r="J57" s="2487"/>
      <c r="K57" s="2487"/>
      <c r="L57" s="2487"/>
      <c r="M57" s="2487"/>
      <c r="N57" s="2487"/>
      <c r="O57" s="2487"/>
      <c r="P57" s="2487"/>
      <c r="Q57" s="2487"/>
      <c r="R57" s="2487"/>
      <c r="S57" s="2487"/>
      <c r="T57" s="2487"/>
    </row>
    <row r="58" spans="2:20">
      <c r="B58" s="2487"/>
      <c r="C58" s="2487"/>
      <c r="D58" s="2487"/>
      <c r="E58" s="2487"/>
      <c r="F58" s="2487"/>
      <c r="G58" s="2487"/>
      <c r="H58" s="2487"/>
      <c r="I58" s="2487"/>
      <c r="J58" s="2487"/>
      <c r="K58" s="2487"/>
      <c r="L58" s="2487"/>
      <c r="M58" s="2487"/>
      <c r="N58" s="2487"/>
      <c r="O58" s="2487"/>
      <c r="P58" s="2487"/>
      <c r="Q58" s="2487"/>
      <c r="R58" s="2487"/>
      <c r="S58" s="2487"/>
      <c r="T58" s="2487"/>
    </row>
    <row r="59" spans="2:20">
      <c r="B59" s="2487"/>
      <c r="C59" s="2487"/>
      <c r="D59" s="2487"/>
      <c r="E59" s="2487"/>
      <c r="F59" s="2487"/>
      <c r="G59" s="2487"/>
      <c r="H59" s="2487"/>
      <c r="I59" s="2487"/>
      <c r="J59" s="2487"/>
      <c r="K59" s="2487"/>
      <c r="L59" s="2487"/>
      <c r="M59" s="2487"/>
      <c r="N59" s="2487"/>
      <c r="O59" s="2487"/>
      <c r="P59" s="2487"/>
      <c r="Q59" s="2487"/>
      <c r="R59" s="2487"/>
      <c r="S59" s="2487"/>
      <c r="T59" s="2487"/>
    </row>
    <row r="60" spans="2:20">
      <c r="B60" s="2487"/>
      <c r="C60" s="2487"/>
      <c r="D60" s="2487"/>
      <c r="E60" s="2487"/>
      <c r="F60" s="2487"/>
      <c r="G60" s="2487"/>
      <c r="H60" s="2487"/>
      <c r="I60" s="2487"/>
      <c r="J60" s="2487"/>
      <c r="K60" s="2487"/>
      <c r="L60" s="2487"/>
      <c r="M60" s="2487"/>
      <c r="N60" s="2487"/>
      <c r="O60" s="2487"/>
      <c r="P60" s="2487"/>
      <c r="Q60" s="2487"/>
      <c r="R60" s="2487"/>
      <c r="S60" s="2487"/>
      <c r="T60" s="2487"/>
    </row>
    <row r="61" spans="2:20">
      <c r="B61" s="2487"/>
      <c r="C61" s="2487"/>
      <c r="D61" s="2487"/>
      <c r="E61" s="2487"/>
      <c r="F61" s="2487"/>
      <c r="G61" s="2487"/>
      <c r="H61" s="2487"/>
      <c r="I61" s="2487"/>
      <c r="J61" s="2487"/>
      <c r="K61" s="2487"/>
      <c r="L61" s="2487"/>
      <c r="M61" s="2487"/>
      <c r="N61" s="2487"/>
      <c r="O61" s="2487"/>
      <c r="P61" s="2487"/>
      <c r="Q61" s="2487"/>
      <c r="R61" s="2487"/>
      <c r="S61" s="2487"/>
      <c r="T61" s="2487"/>
    </row>
    <row r="62" spans="2:20">
      <c r="B62" s="2487"/>
      <c r="C62" s="2487"/>
      <c r="D62" s="2487"/>
      <c r="E62" s="2487"/>
      <c r="F62" s="2487"/>
      <c r="G62" s="2487"/>
      <c r="H62" s="2487"/>
      <c r="I62" s="2487"/>
      <c r="J62" s="2487"/>
      <c r="K62" s="2487"/>
      <c r="L62" s="2487"/>
      <c r="M62" s="2487"/>
      <c r="N62" s="2487"/>
      <c r="O62" s="2487"/>
      <c r="P62" s="2487"/>
      <c r="Q62" s="2487"/>
      <c r="R62" s="2487"/>
      <c r="S62" s="2487"/>
      <c r="T62" s="2487"/>
    </row>
    <row r="63" spans="2:20">
      <c r="B63" s="2487"/>
      <c r="C63" s="2487"/>
      <c r="D63" s="2487"/>
      <c r="E63" s="2487"/>
      <c r="F63" s="2487"/>
      <c r="G63" s="2487"/>
      <c r="H63" s="2487"/>
      <c r="I63" s="2487"/>
      <c r="J63" s="2487"/>
      <c r="K63" s="2487"/>
      <c r="L63" s="2487"/>
      <c r="M63" s="2487"/>
      <c r="N63" s="2487"/>
      <c r="O63" s="2487"/>
      <c r="P63" s="2487"/>
      <c r="Q63" s="2487"/>
      <c r="R63" s="2487"/>
      <c r="S63" s="2487"/>
      <c r="T63" s="2487"/>
    </row>
    <row r="64" spans="2:20">
      <c r="B64" s="2487"/>
      <c r="C64" s="2487"/>
      <c r="D64" s="2487"/>
      <c r="E64" s="2487"/>
      <c r="F64" s="2487"/>
      <c r="G64" s="2487"/>
      <c r="H64" s="2487"/>
      <c r="I64" s="2487"/>
      <c r="J64" s="2487"/>
      <c r="K64" s="2487"/>
      <c r="L64" s="2487"/>
      <c r="M64" s="2487"/>
      <c r="N64" s="2487"/>
      <c r="O64" s="2487"/>
      <c r="P64" s="2487"/>
      <c r="Q64" s="2487"/>
      <c r="R64" s="2487"/>
      <c r="S64" s="2487"/>
      <c r="T64" s="2487"/>
    </row>
    <row r="65" spans="2:20">
      <c r="B65" s="2487"/>
      <c r="C65" s="2487"/>
      <c r="D65" s="2487"/>
      <c r="E65" s="2487"/>
      <c r="F65" s="2487"/>
      <c r="G65" s="2487"/>
      <c r="H65" s="2487"/>
      <c r="I65" s="2487"/>
      <c r="J65" s="2487"/>
      <c r="K65" s="2487"/>
      <c r="L65" s="2487"/>
      <c r="M65" s="2487"/>
      <c r="N65" s="2487"/>
      <c r="O65" s="2487"/>
      <c r="P65" s="2487"/>
      <c r="Q65" s="2487"/>
      <c r="R65" s="2487"/>
      <c r="S65" s="2487"/>
      <c r="T65" s="2487"/>
    </row>
    <row r="66" spans="2:20">
      <c r="B66" s="2487"/>
      <c r="C66" s="2487"/>
      <c r="D66" s="2487"/>
      <c r="E66" s="2487"/>
      <c r="F66" s="2487"/>
      <c r="G66" s="2487"/>
      <c r="H66" s="2487"/>
      <c r="I66" s="2487"/>
      <c r="J66" s="2487"/>
      <c r="K66" s="2487"/>
      <c r="L66" s="2487"/>
      <c r="M66" s="2487"/>
      <c r="N66" s="2487"/>
      <c r="O66" s="2487"/>
      <c r="P66" s="2487"/>
      <c r="Q66" s="2487"/>
      <c r="R66" s="2487"/>
      <c r="S66" s="2487"/>
      <c r="T66" s="2487"/>
    </row>
    <row r="67" spans="2:20">
      <c r="B67" s="2487"/>
      <c r="C67" s="2487"/>
      <c r="D67" s="2487"/>
      <c r="E67" s="2487"/>
      <c r="F67" s="2487"/>
      <c r="G67" s="2487"/>
      <c r="H67" s="2487"/>
      <c r="I67" s="2487"/>
      <c r="J67" s="2487"/>
      <c r="K67" s="2487"/>
      <c r="L67" s="2487"/>
      <c r="M67" s="2487"/>
      <c r="N67" s="2487"/>
      <c r="O67" s="2487"/>
      <c r="P67" s="2487"/>
      <c r="Q67" s="2487"/>
      <c r="R67" s="2487"/>
      <c r="S67" s="2487"/>
      <c r="T67" s="2487"/>
    </row>
    <row r="68" spans="2:20">
      <c r="B68" s="2487"/>
      <c r="C68" s="2487"/>
      <c r="D68" s="2487"/>
      <c r="E68" s="2487"/>
      <c r="F68" s="2487"/>
      <c r="G68" s="2487"/>
      <c r="H68" s="2487"/>
      <c r="I68" s="2487"/>
      <c r="J68" s="2487"/>
      <c r="K68" s="2487"/>
      <c r="L68" s="2487"/>
      <c r="M68" s="2487"/>
      <c r="N68" s="2487"/>
      <c r="O68" s="2487"/>
      <c r="P68" s="2487"/>
      <c r="Q68" s="2487"/>
      <c r="R68" s="2487"/>
      <c r="S68" s="2487"/>
      <c r="T68" s="2487"/>
    </row>
    <row r="69" spans="2:20">
      <c r="B69" s="2487"/>
      <c r="C69" s="2487"/>
      <c r="D69" s="2487"/>
      <c r="E69" s="2487"/>
      <c r="F69" s="2487"/>
      <c r="G69" s="2487"/>
      <c r="H69" s="2487"/>
      <c r="I69" s="2487"/>
      <c r="J69" s="2487"/>
      <c r="K69" s="2487"/>
      <c r="L69" s="2487"/>
      <c r="M69" s="2487"/>
      <c r="N69" s="2487"/>
      <c r="O69" s="2487"/>
      <c r="P69" s="2487"/>
      <c r="Q69" s="2487"/>
      <c r="R69" s="2487"/>
      <c r="S69" s="2487"/>
      <c r="T69" s="2487"/>
    </row>
    <row r="70" spans="2:20">
      <c r="B70" s="2487"/>
      <c r="C70" s="2487"/>
      <c r="D70" s="2487"/>
      <c r="E70" s="2487"/>
      <c r="F70" s="2487"/>
      <c r="G70" s="2487"/>
      <c r="H70" s="2487"/>
      <c r="I70" s="2487"/>
      <c r="J70" s="2487"/>
      <c r="K70" s="2487"/>
      <c r="L70" s="2487"/>
      <c r="M70" s="2487"/>
      <c r="N70" s="2487"/>
      <c r="O70" s="2487"/>
      <c r="P70" s="2487"/>
      <c r="Q70" s="2487"/>
      <c r="R70" s="2487"/>
      <c r="S70" s="2487"/>
      <c r="T70" s="2487"/>
    </row>
    <row r="71" spans="2:20">
      <c r="B71" s="2487"/>
      <c r="C71" s="2487"/>
      <c r="D71" s="2487"/>
      <c r="E71" s="2487"/>
      <c r="F71" s="2487"/>
      <c r="G71" s="2487"/>
      <c r="H71" s="2487"/>
      <c r="I71" s="2487"/>
      <c r="J71" s="2487"/>
      <c r="K71" s="2487"/>
      <c r="L71" s="2487"/>
      <c r="M71" s="2487"/>
      <c r="N71" s="2487"/>
      <c r="O71" s="2487"/>
      <c r="P71" s="2487"/>
      <c r="Q71" s="2487"/>
      <c r="R71" s="2487"/>
      <c r="S71" s="2487"/>
      <c r="T71" s="2487"/>
    </row>
    <row r="72" spans="2:20">
      <c r="B72" s="2487"/>
      <c r="C72" s="2487"/>
      <c r="D72" s="2487"/>
      <c r="E72" s="2487"/>
      <c r="F72" s="2487"/>
      <c r="G72" s="2487"/>
      <c r="H72" s="2487"/>
      <c r="I72" s="2487"/>
      <c r="J72" s="2487"/>
      <c r="K72" s="2487"/>
      <c r="L72" s="2487"/>
      <c r="M72" s="2487"/>
      <c r="N72" s="2487"/>
      <c r="O72" s="2487"/>
      <c r="P72" s="2487"/>
      <c r="Q72" s="2487"/>
      <c r="R72" s="2487"/>
      <c r="S72" s="2487"/>
      <c r="T72" s="2487"/>
    </row>
    <row r="73" spans="2:20">
      <c r="B73" s="2487"/>
      <c r="C73" s="2487"/>
      <c r="D73" s="2487"/>
      <c r="E73" s="2487"/>
      <c r="F73" s="2487"/>
      <c r="G73" s="2487"/>
      <c r="H73" s="2487"/>
      <c r="I73" s="2487"/>
      <c r="J73" s="2487"/>
      <c r="K73" s="2487"/>
      <c r="L73" s="2487"/>
      <c r="M73" s="2487"/>
      <c r="N73" s="2487"/>
      <c r="O73" s="2487"/>
      <c r="P73" s="2487"/>
      <c r="Q73" s="2487"/>
      <c r="R73" s="2487"/>
      <c r="S73" s="2487"/>
      <c r="T73" s="2487"/>
    </row>
    <row r="74" spans="2:20">
      <c r="B74" s="2487"/>
      <c r="C74" s="2487"/>
      <c r="D74" s="2487"/>
      <c r="E74" s="2487"/>
      <c r="F74" s="2487"/>
      <c r="G74" s="2487"/>
      <c r="H74" s="2487"/>
      <c r="I74" s="2487"/>
      <c r="J74" s="2487"/>
      <c r="K74" s="2487"/>
      <c r="L74" s="2487"/>
      <c r="M74" s="2487"/>
      <c r="N74" s="2487"/>
      <c r="O74" s="2487"/>
      <c r="P74" s="2487"/>
      <c r="Q74" s="2487"/>
      <c r="R74" s="2487"/>
      <c r="S74" s="2487"/>
      <c r="T74" s="2487"/>
    </row>
    <row r="75" spans="2:20">
      <c r="B75" s="2487"/>
      <c r="C75" s="2487"/>
      <c r="D75" s="2487"/>
      <c r="E75" s="2487"/>
      <c r="F75" s="2487"/>
      <c r="G75" s="2487"/>
      <c r="H75" s="2487"/>
      <c r="I75" s="2487"/>
      <c r="J75" s="2487"/>
      <c r="K75" s="2487"/>
      <c r="L75" s="2487"/>
      <c r="M75" s="2487"/>
      <c r="N75" s="2487"/>
      <c r="O75" s="2487"/>
      <c r="P75" s="2487"/>
      <c r="Q75" s="2487"/>
      <c r="R75" s="2487"/>
      <c r="S75" s="2487"/>
      <c r="T75" s="2487"/>
    </row>
    <row r="76" spans="2:20">
      <c r="B76" s="2487"/>
      <c r="C76" s="2487"/>
      <c r="D76" s="2487"/>
      <c r="E76" s="2487"/>
      <c r="F76" s="2487"/>
      <c r="G76" s="2487"/>
      <c r="H76" s="2487"/>
      <c r="I76" s="2487"/>
      <c r="J76" s="2487"/>
      <c r="K76" s="2487"/>
      <c r="L76" s="2487"/>
      <c r="M76" s="2487"/>
      <c r="N76" s="2487"/>
      <c r="O76" s="2487"/>
      <c r="P76" s="2487"/>
      <c r="Q76" s="2487"/>
      <c r="R76" s="2487"/>
      <c r="S76" s="2487"/>
      <c r="T76" s="2487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72" orientation="portrait" useFirstPageNumber="1" r:id="rId1"/>
  <headerFooter differentOddEven="1" scaleWithDoc="0" alignWithMargins="0"/>
  <colBreaks count="1" manualBreakCount="1">
    <brk id="10" max="47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D18A-8687-49EE-82B3-80E835205869}">
  <sheetPr>
    <tabColor rgb="FF00B050"/>
  </sheetPr>
  <dimension ref="A1:W77"/>
  <sheetViews>
    <sheetView showGridLines="0" view="pageBreakPreview" zoomScale="106" zoomScaleNormal="100" zoomScaleSheetLayoutView="106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3" style="271" customWidth="1"/>
    <col min="2" max="2" width="9.875" style="271" customWidth="1"/>
    <col min="3" max="3" width="9.625" style="271" customWidth="1"/>
    <col min="4" max="8" width="8.75" style="271" customWidth="1"/>
    <col min="9" max="9" width="9.25" style="271" customWidth="1"/>
    <col min="10" max="10" width="8.75" style="271" customWidth="1"/>
    <col min="11" max="11" width="9.625" style="271" customWidth="1"/>
    <col min="12" max="17" width="9.25" style="271" customWidth="1"/>
    <col min="18" max="19" width="8.75" style="271" customWidth="1"/>
    <col min="20" max="20" width="7.625" style="271" customWidth="1"/>
    <col min="21" max="21" width="10.125" style="271" customWidth="1"/>
    <col min="22" max="23" width="7.875" style="271" customWidth="1"/>
    <col min="24" max="24" width="10.375" style="271" customWidth="1"/>
    <col min="25" max="25" width="9.875" style="271" customWidth="1"/>
    <col min="26" max="16384" width="7.875" style="271"/>
  </cols>
  <sheetData>
    <row r="1" spans="1:23" ht="18" customHeight="1">
      <c r="A1" s="270" t="s">
        <v>1305</v>
      </c>
    </row>
    <row r="2" spans="1:23" s="274" customFormat="1" ht="17.25">
      <c r="A2" s="274" t="s">
        <v>1293</v>
      </c>
      <c r="G2" s="274" t="s">
        <v>1306</v>
      </c>
    </row>
    <row r="3" spans="1:23" ht="17.25" customHeight="1">
      <c r="B3" s="272"/>
      <c r="K3" s="2488"/>
      <c r="P3" s="2200"/>
      <c r="R3" s="2200"/>
      <c r="S3" s="2200"/>
      <c r="T3" s="2200"/>
      <c r="U3" s="2405" t="s">
        <v>1239</v>
      </c>
    </row>
    <row r="4" spans="1:23" s="272" customFormat="1" ht="21.95" customHeight="1">
      <c r="A4" s="1777" t="s">
        <v>1240</v>
      </c>
      <c r="B4" s="2435"/>
      <c r="C4" s="2463" t="s">
        <v>1241</v>
      </c>
      <c r="D4" s="2237" t="s">
        <v>1210</v>
      </c>
      <c r="E4" s="2237" t="s">
        <v>1211</v>
      </c>
      <c r="F4" s="2464" t="s">
        <v>1212</v>
      </c>
      <c r="G4" s="2464" t="s">
        <v>1213</v>
      </c>
      <c r="H4" s="2464" t="s">
        <v>1214</v>
      </c>
      <c r="I4" s="2237" t="s">
        <v>1215</v>
      </c>
      <c r="J4" s="2237" t="s">
        <v>1216</v>
      </c>
      <c r="K4" s="2465" t="s">
        <v>1217</v>
      </c>
      <c r="L4" s="2465" t="s">
        <v>1218</v>
      </c>
      <c r="M4" s="2465" t="s">
        <v>1219</v>
      </c>
      <c r="N4" s="2465" t="s">
        <v>1220</v>
      </c>
      <c r="O4" s="617" t="s">
        <v>1221</v>
      </c>
      <c r="P4" s="2466" t="s">
        <v>1222</v>
      </c>
      <c r="Q4" s="2465" t="s">
        <v>1223</v>
      </c>
      <c r="R4" s="2466" t="s">
        <v>1224</v>
      </c>
      <c r="S4" s="2237" t="s">
        <v>1225</v>
      </c>
      <c r="T4" s="2237" t="s">
        <v>1226</v>
      </c>
      <c r="U4" s="2489" t="s">
        <v>1243</v>
      </c>
    </row>
    <row r="5" spans="1:23" s="2422" customFormat="1" ht="21.95" customHeight="1">
      <c r="A5" s="1622" t="s">
        <v>1256</v>
      </c>
      <c r="B5" s="2128"/>
      <c r="C5" s="2490">
        <v>4805707.7860000003</v>
      </c>
      <c r="D5" s="2443">
        <v>1695153.378</v>
      </c>
      <c r="E5" s="2491">
        <v>1247993.3189999999</v>
      </c>
      <c r="F5" s="2491">
        <v>1706630.885</v>
      </c>
      <c r="G5" s="2491">
        <v>745840.92599999998</v>
      </c>
      <c r="H5" s="2491">
        <v>740783.51</v>
      </c>
      <c r="I5" s="2491">
        <v>555352.31700000004</v>
      </c>
      <c r="J5" s="1589">
        <v>225512.49100000001</v>
      </c>
      <c r="K5" s="1589">
        <v>7439002.267</v>
      </c>
      <c r="L5" s="1589">
        <v>823459.19499999995</v>
      </c>
      <c r="M5" s="2491">
        <v>857655.54500000004</v>
      </c>
      <c r="N5" s="2491">
        <v>1156861.5249999999</v>
      </c>
      <c r="O5" s="2491">
        <v>877053.598</v>
      </c>
      <c r="P5" s="2491">
        <v>875644.24300000002</v>
      </c>
      <c r="Q5" s="2491">
        <v>1265369.912</v>
      </c>
      <c r="R5" s="2491">
        <v>1638754.477</v>
      </c>
      <c r="S5" s="2491">
        <v>329370.99900000001</v>
      </c>
      <c r="T5" s="2492" t="s">
        <v>133</v>
      </c>
      <c r="U5" s="2493">
        <v>26986146.373</v>
      </c>
      <c r="W5" s="2494"/>
    </row>
    <row r="6" spans="1:23" s="349" customFormat="1" ht="21.95" customHeight="1">
      <c r="A6" s="2445" t="s">
        <v>1257</v>
      </c>
      <c r="B6" s="2446"/>
      <c r="C6" s="2495">
        <v>1397555.041</v>
      </c>
      <c r="D6" s="1649">
        <v>443940.97</v>
      </c>
      <c r="E6" s="1649">
        <v>343901.01299999998</v>
      </c>
      <c r="F6" s="1649">
        <v>401768.46799999999</v>
      </c>
      <c r="G6" s="1649">
        <v>212967.962</v>
      </c>
      <c r="H6" s="1649">
        <v>391742.18199999997</v>
      </c>
      <c r="I6" s="1649">
        <v>190121.89499999999</v>
      </c>
      <c r="J6" s="1649">
        <v>136959.421</v>
      </c>
      <c r="K6" s="1649">
        <v>2386423.6379999998</v>
      </c>
      <c r="L6" s="1649">
        <v>640370.43000000005</v>
      </c>
      <c r="M6" s="1649">
        <v>553013.80299999996</v>
      </c>
      <c r="N6" s="1649">
        <v>475454.00599999999</v>
      </c>
      <c r="O6" s="1649">
        <v>422937.94099999999</v>
      </c>
      <c r="P6" s="1649">
        <v>524059.80599999998</v>
      </c>
      <c r="Q6" s="1649">
        <v>671875.39899999998</v>
      </c>
      <c r="R6" s="1649">
        <v>572663.29700000002</v>
      </c>
      <c r="S6" s="1649">
        <v>131851.12</v>
      </c>
      <c r="T6" s="2496" t="s">
        <v>133</v>
      </c>
      <c r="U6" s="1650">
        <v>9897606.3920000009</v>
      </c>
      <c r="W6" s="2494"/>
    </row>
    <row r="7" spans="1:23" s="349" customFormat="1" ht="21.95" customHeight="1">
      <c r="A7" s="2445" t="s">
        <v>1258</v>
      </c>
      <c r="B7" s="2446"/>
      <c r="C7" s="2495">
        <v>10148196.573999999</v>
      </c>
      <c r="D7" s="1649">
        <v>2763798.7080000001</v>
      </c>
      <c r="E7" s="1649">
        <v>1999428.111</v>
      </c>
      <c r="F7" s="1649">
        <v>3125916.6060000001</v>
      </c>
      <c r="G7" s="1649">
        <v>1167646.8959999999</v>
      </c>
      <c r="H7" s="1649">
        <v>1577742.2779999999</v>
      </c>
      <c r="I7" s="1649">
        <v>1323251.868</v>
      </c>
      <c r="J7" s="2148">
        <v>411734.12699999998</v>
      </c>
      <c r="K7" s="1649">
        <v>15242082.548</v>
      </c>
      <c r="L7" s="1649">
        <v>2622741.0950000002</v>
      </c>
      <c r="M7" s="1649">
        <v>2205654.7590000001</v>
      </c>
      <c r="N7" s="1649">
        <v>3143026.625</v>
      </c>
      <c r="O7" s="1649">
        <v>1934038.5519999999</v>
      </c>
      <c r="P7" s="1649">
        <v>2098096.108</v>
      </c>
      <c r="Q7" s="1649">
        <v>3094001.977</v>
      </c>
      <c r="R7" s="1649">
        <v>3264184.1269999999</v>
      </c>
      <c r="S7" s="1649">
        <v>970808.45600000001</v>
      </c>
      <c r="T7" s="2496" t="s">
        <v>133</v>
      </c>
      <c r="U7" s="1650">
        <v>57092349.414999999</v>
      </c>
      <c r="W7" s="2494"/>
    </row>
    <row r="8" spans="1:23" s="2422" customFormat="1" ht="21.95" customHeight="1">
      <c r="A8" s="2445" t="s">
        <v>1259</v>
      </c>
      <c r="B8" s="2446"/>
      <c r="C8" s="2479">
        <v>7684.5169999999998</v>
      </c>
      <c r="D8" s="2142">
        <v>40974.285000000003</v>
      </c>
      <c r="E8" s="2142">
        <v>49148.345999999998</v>
      </c>
      <c r="F8" s="2142">
        <v>49232.856</v>
      </c>
      <c r="G8" s="2142">
        <v>31706.641</v>
      </c>
      <c r="H8" s="2142">
        <v>13003.187</v>
      </c>
      <c r="I8" s="2142">
        <v>29425.34</v>
      </c>
      <c r="J8" s="2142">
        <v>29559.521000000001</v>
      </c>
      <c r="K8" s="2142">
        <v>956309.08</v>
      </c>
      <c r="L8" s="2142">
        <v>248183.84400000001</v>
      </c>
      <c r="M8" s="2142">
        <v>317198.13299999997</v>
      </c>
      <c r="N8" s="2142">
        <v>800592.99</v>
      </c>
      <c r="O8" s="2142">
        <v>612352.80900000001</v>
      </c>
      <c r="P8" s="2142">
        <v>1267612.8799999999</v>
      </c>
      <c r="Q8" s="2142">
        <v>711212.098</v>
      </c>
      <c r="R8" s="2142">
        <v>1045804.737</v>
      </c>
      <c r="S8" s="2142">
        <v>546670.86800000002</v>
      </c>
      <c r="T8" s="1606" t="s">
        <v>133</v>
      </c>
      <c r="U8" s="2480">
        <v>6756672.1320000002</v>
      </c>
      <c r="W8" s="2494"/>
    </row>
    <row r="9" spans="1:23" s="2422" customFormat="1" ht="21.95" customHeight="1">
      <c r="A9" s="2449" t="s">
        <v>1260</v>
      </c>
      <c r="B9" s="2266"/>
      <c r="C9" s="2497">
        <v>689.83</v>
      </c>
      <c r="D9" s="2451">
        <v>6694.7389999999996</v>
      </c>
      <c r="E9" s="2451">
        <v>8408.61</v>
      </c>
      <c r="F9" s="2451">
        <v>22248.768</v>
      </c>
      <c r="G9" s="2451">
        <v>731.60900000000004</v>
      </c>
      <c r="H9" s="2451">
        <v>426.30500000000001</v>
      </c>
      <c r="I9" s="2451">
        <v>3535.3420000000001</v>
      </c>
      <c r="J9" s="2451">
        <v>3429.7370000000001</v>
      </c>
      <c r="K9" s="2451">
        <v>76977.347999999998</v>
      </c>
      <c r="L9" s="2451">
        <v>125544.97500000001</v>
      </c>
      <c r="M9" s="2451">
        <v>32805.402000000002</v>
      </c>
      <c r="N9" s="2451">
        <v>96666.066000000006</v>
      </c>
      <c r="O9" s="2451">
        <v>17870.191999999999</v>
      </c>
      <c r="P9" s="2451">
        <v>20474.569</v>
      </c>
      <c r="Q9" s="2451">
        <v>51843.58</v>
      </c>
      <c r="R9" s="2451">
        <v>18121.742999999999</v>
      </c>
      <c r="S9" s="2451">
        <v>2163.779</v>
      </c>
      <c r="T9" s="2498" t="s">
        <v>133</v>
      </c>
      <c r="U9" s="2499">
        <v>488632.59399999998</v>
      </c>
      <c r="W9" s="2494"/>
    </row>
    <row r="10" spans="1:23" s="2422" customFormat="1" ht="21.95" customHeight="1">
      <c r="A10" s="2453"/>
      <c r="B10" s="2454" t="s">
        <v>1261</v>
      </c>
      <c r="C10" s="2241">
        <v>439477.57900000003</v>
      </c>
      <c r="D10" s="2242">
        <v>2235414.7250000001</v>
      </c>
      <c r="E10" s="2242">
        <v>1890406.581</v>
      </c>
      <c r="F10" s="2242">
        <v>3547134.42</v>
      </c>
      <c r="G10" s="2242">
        <v>865598.41200000001</v>
      </c>
      <c r="H10" s="2242">
        <v>713107.22499999998</v>
      </c>
      <c r="I10" s="2242">
        <v>7288830.8289999999</v>
      </c>
      <c r="J10" s="2242">
        <v>612833.15</v>
      </c>
      <c r="K10" s="2242">
        <v>23135084.465999998</v>
      </c>
      <c r="L10" s="2242">
        <v>1397532.578</v>
      </c>
      <c r="M10" s="2242">
        <v>5173122.0290000001</v>
      </c>
      <c r="N10" s="2242">
        <v>11011592.797</v>
      </c>
      <c r="O10" s="2242">
        <v>3523193.909</v>
      </c>
      <c r="P10" s="2242">
        <v>5422002.1150000002</v>
      </c>
      <c r="Q10" s="2242">
        <v>8015270.7259999998</v>
      </c>
      <c r="R10" s="2242">
        <v>5877939.1859999998</v>
      </c>
      <c r="S10" s="2242">
        <v>100469.75599999999</v>
      </c>
      <c r="T10" s="2500" t="s">
        <v>133</v>
      </c>
      <c r="U10" s="1643">
        <v>81249010.482999995</v>
      </c>
      <c r="W10" s="2494"/>
    </row>
    <row r="11" spans="1:23" s="349" customFormat="1" ht="20.100000000000001" customHeight="1">
      <c r="A11" s="2453"/>
      <c r="B11" s="2457" t="s">
        <v>1262</v>
      </c>
      <c r="C11" s="2501">
        <v>68101.297999999995</v>
      </c>
      <c r="D11" s="1645">
        <v>193182.15299999999</v>
      </c>
      <c r="E11" s="1645">
        <v>70414.856</v>
      </c>
      <c r="F11" s="1645">
        <v>208351.17199999999</v>
      </c>
      <c r="G11" s="1645">
        <v>40365.321000000004</v>
      </c>
      <c r="H11" s="1645">
        <v>46178.076999999997</v>
      </c>
      <c r="I11" s="1645">
        <v>61388.563999999998</v>
      </c>
      <c r="J11" s="1645">
        <v>44040.197999999997</v>
      </c>
      <c r="K11" s="1645">
        <v>928996.35699999996</v>
      </c>
      <c r="L11" s="1645">
        <v>163527.82999999999</v>
      </c>
      <c r="M11" s="1645">
        <v>406712.01500000001</v>
      </c>
      <c r="N11" s="1645">
        <v>510433.49</v>
      </c>
      <c r="O11" s="1645">
        <v>532756.6</v>
      </c>
      <c r="P11" s="1645">
        <v>422007.614</v>
      </c>
      <c r="Q11" s="1645">
        <v>197588.20499999999</v>
      </c>
      <c r="R11" s="1645">
        <v>300692.88099999999</v>
      </c>
      <c r="S11" s="1645">
        <v>35438.633000000002</v>
      </c>
      <c r="T11" s="2502" t="s">
        <v>133</v>
      </c>
      <c r="U11" s="1646">
        <v>4230175.2640000004</v>
      </c>
      <c r="W11" s="2494"/>
    </row>
    <row r="12" spans="1:23" s="346" customFormat="1" ht="20.100000000000001" customHeight="1">
      <c r="A12" s="2453"/>
      <c r="B12" s="2457" t="s">
        <v>1263</v>
      </c>
      <c r="C12" s="2501">
        <v>3688.067</v>
      </c>
      <c r="D12" s="1645">
        <v>4417.1499999999996</v>
      </c>
      <c r="E12" s="1645">
        <v>7387.1059999999998</v>
      </c>
      <c r="F12" s="1645">
        <v>4551.4880000000003</v>
      </c>
      <c r="G12" s="1645">
        <v>11887.921</v>
      </c>
      <c r="H12" s="1645">
        <v>5513.6840000000002</v>
      </c>
      <c r="I12" s="1645">
        <v>4160.2709999999997</v>
      </c>
      <c r="J12" s="1645">
        <v>835.596</v>
      </c>
      <c r="K12" s="1645">
        <v>100090.656</v>
      </c>
      <c r="L12" s="1645">
        <v>39063.091</v>
      </c>
      <c r="M12" s="1645">
        <v>48184.853000000003</v>
      </c>
      <c r="N12" s="1645">
        <v>27462.928</v>
      </c>
      <c r="O12" s="1645">
        <v>32670.03</v>
      </c>
      <c r="P12" s="1645">
        <v>5969.3710000000001</v>
      </c>
      <c r="Q12" s="1645">
        <v>25887.919999999998</v>
      </c>
      <c r="R12" s="1645">
        <v>43302.396000000001</v>
      </c>
      <c r="S12" s="1645">
        <v>22399.829000000002</v>
      </c>
      <c r="T12" s="2502" t="s">
        <v>133</v>
      </c>
      <c r="U12" s="1646">
        <v>387472.35700000002</v>
      </c>
      <c r="W12" s="2494"/>
    </row>
    <row r="13" spans="1:23" s="349" customFormat="1" ht="20.100000000000001" customHeight="1">
      <c r="A13" s="2453"/>
      <c r="B13" s="2457" t="s">
        <v>1264</v>
      </c>
      <c r="C13" s="2501">
        <v>38.087000000000003</v>
      </c>
      <c r="D13" s="1644">
        <v>1.55</v>
      </c>
      <c r="E13" s="1644">
        <v>8.7970000000000006</v>
      </c>
      <c r="F13" s="1644" t="s">
        <v>133</v>
      </c>
      <c r="G13" s="1644">
        <v>4209.5860000000002</v>
      </c>
      <c r="H13" s="1644">
        <v>16545.912</v>
      </c>
      <c r="I13" s="2503">
        <v>1.506</v>
      </c>
      <c r="J13" s="1606">
        <v>2280.1680000000001</v>
      </c>
      <c r="K13" s="1606">
        <v>1445.91</v>
      </c>
      <c r="L13" s="1606">
        <v>11.43</v>
      </c>
      <c r="M13" s="1606">
        <v>7.6360000000000001</v>
      </c>
      <c r="N13" s="1606">
        <v>6.0030000000000001</v>
      </c>
      <c r="O13" s="2503" t="s">
        <v>133</v>
      </c>
      <c r="P13" s="2503">
        <v>2.4060000000000001</v>
      </c>
      <c r="Q13" s="2503">
        <v>9880.76</v>
      </c>
      <c r="R13" s="2503">
        <v>18790.018</v>
      </c>
      <c r="S13" s="1606" t="s">
        <v>133</v>
      </c>
      <c r="T13" s="2502" t="s">
        <v>133</v>
      </c>
      <c r="U13" s="1646">
        <v>53229.769</v>
      </c>
      <c r="W13" s="2494"/>
    </row>
    <row r="14" spans="1:23" s="346" customFormat="1" ht="20.100000000000001" customHeight="1">
      <c r="A14" s="2453" t="s">
        <v>1265</v>
      </c>
      <c r="B14" s="2457" t="s">
        <v>1266</v>
      </c>
      <c r="C14" s="2501">
        <v>29725.315999999999</v>
      </c>
      <c r="D14" s="1644">
        <v>48351.605000000003</v>
      </c>
      <c r="E14" s="1644">
        <v>175766.74600000001</v>
      </c>
      <c r="F14" s="1644">
        <v>11421.001</v>
      </c>
      <c r="G14" s="1644">
        <v>33679.61</v>
      </c>
      <c r="H14" s="1644">
        <v>9659.9920000000002</v>
      </c>
      <c r="I14" s="1644">
        <v>63015.64</v>
      </c>
      <c r="J14" s="1645">
        <v>5434.5820000000003</v>
      </c>
      <c r="K14" s="1645">
        <v>399441.77100000001</v>
      </c>
      <c r="L14" s="1645">
        <v>6153.5460000000003</v>
      </c>
      <c r="M14" s="1645">
        <v>45414.96</v>
      </c>
      <c r="N14" s="1645">
        <v>43434.695</v>
      </c>
      <c r="O14" s="1644">
        <v>157992.114</v>
      </c>
      <c r="P14" s="1644">
        <v>48073.264999999999</v>
      </c>
      <c r="Q14" s="1644">
        <v>639544.78700000001</v>
      </c>
      <c r="R14" s="1644">
        <v>54572.637000000002</v>
      </c>
      <c r="S14" s="1645">
        <v>150.262</v>
      </c>
      <c r="T14" s="2502" t="s">
        <v>133</v>
      </c>
      <c r="U14" s="1646">
        <v>1771832.5290000001</v>
      </c>
      <c r="W14" s="2494"/>
    </row>
    <row r="15" spans="1:23" s="349" customFormat="1" ht="20.100000000000001" customHeight="1">
      <c r="A15" s="2453"/>
      <c r="B15" s="2457" t="s">
        <v>1267</v>
      </c>
      <c r="C15" s="2501">
        <v>86867.404999999999</v>
      </c>
      <c r="D15" s="1645">
        <v>6964.4110000000001</v>
      </c>
      <c r="E15" s="1645">
        <v>12430.89</v>
      </c>
      <c r="F15" s="1645">
        <v>4086.4879999999998</v>
      </c>
      <c r="G15" s="1645">
        <v>678.04300000000001</v>
      </c>
      <c r="H15" s="1645">
        <v>815.61800000000005</v>
      </c>
      <c r="I15" s="1645">
        <v>382.572</v>
      </c>
      <c r="J15" s="1645">
        <v>50.87</v>
      </c>
      <c r="K15" s="1645">
        <v>42297.305999999997</v>
      </c>
      <c r="L15" s="1645">
        <v>387.70499999999998</v>
      </c>
      <c r="M15" s="1645">
        <v>1854.3620000000001</v>
      </c>
      <c r="N15" s="1645">
        <v>2825.973</v>
      </c>
      <c r="O15" s="1645">
        <v>3966.183</v>
      </c>
      <c r="P15" s="1645">
        <v>1225.664</v>
      </c>
      <c r="Q15" s="1645">
        <v>3786.2170000000001</v>
      </c>
      <c r="R15" s="1645">
        <v>1766.902</v>
      </c>
      <c r="S15" s="1645">
        <v>61.917999999999999</v>
      </c>
      <c r="T15" s="2502" t="s">
        <v>133</v>
      </c>
      <c r="U15" s="1646">
        <v>170448.527</v>
      </c>
      <c r="W15" s="2494"/>
    </row>
    <row r="16" spans="1:23" s="349" customFormat="1" ht="20.100000000000001" customHeight="1">
      <c r="A16" s="2453"/>
      <c r="B16" s="2457" t="s">
        <v>1268</v>
      </c>
      <c r="C16" s="2501">
        <v>5770.1480000000001</v>
      </c>
      <c r="D16" s="1645">
        <v>28096.988000000001</v>
      </c>
      <c r="E16" s="1645">
        <v>1481.606</v>
      </c>
      <c r="F16" s="1645">
        <v>3097.509</v>
      </c>
      <c r="G16" s="1645">
        <v>23.007999999999999</v>
      </c>
      <c r="H16" s="1645">
        <v>291.75799999999998</v>
      </c>
      <c r="I16" s="1645">
        <v>225.167</v>
      </c>
      <c r="J16" s="1645">
        <v>625.01499999999999</v>
      </c>
      <c r="K16" s="1645">
        <v>53711.196000000004</v>
      </c>
      <c r="L16" s="1645">
        <v>308.58100000000002</v>
      </c>
      <c r="M16" s="1645">
        <v>16342.79</v>
      </c>
      <c r="N16" s="1645">
        <v>1638.08</v>
      </c>
      <c r="O16" s="1645">
        <v>1386.3720000000001</v>
      </c>
      <c r="P16" s="1645">
        <v>228.00899999999999</v>
      </c>
      <c r="Q16" s="1645">
        <v>2032.1379999999999</v>
      </c>
      <c r="R16" s="1645">
        <v>21476.358</v>
      </c>
      <c r="S16" s="1645">
        <v>5.8609999999999998</v>
      </c>
      <c r="T16" s="2502" t="s">
        <v>133</v>
      </c>
      <c r="U16" s="1646">
        <v>136740.584</v>
      </c>
      <c r="W16" s="2494"/>
    </row>
    <row r="17" spans="1:23" s="349" customFormat="1" ht="20.100000000000001" customHeight="1">
      <c r="A17" s="2453"/>
      <c r="B17" s="2457" t="s">
        <v>1269</v>
      </c>
      <c r="C17" s="2501">
        <v>1452.2239999999999</v>
      </c>
      <c r="D17" s="1645">
        <v>8979.7199999999993</v>
      </c>
      <c r="E17" s="1645">
        <v>7706.4229999999998</v>
      </c>
      <c r="F17" s="1645">
        <v>119715.518</v>
      </c>
      <c r="G17" s="1645">
        <v>1991.616</v>
      </c>
      <c r="H17" s="1645">
        <v>1582.0229999999999</v>
      </c>
      <c r="I17" s="1645">
        <v>5152.2120000000004</v>
      </c>
      <c r="J17" s="1645">
        <v>578.721</v>
      </c>
      <c r="K17" s="1645">
        <v>169528.56599999999</v>
      </c>
      <c r="L17" s="1645">
        <v>6752.8459999999995</v>
      </c>
      <c r="M17" s="1645">
        <v>17314.580000000002</v>
      </c>
      <c r="N17" s="1645">
        <v>45744</v>
      </c>
      <c r="O17" s="1645">
        <v>83542.752999999997</v>
      </c>
      <c r="P17" s="1645">
        <v>8036.1890000000003</v>
      </c>
      <c r="Q17" s="1645">
        <v>16725.530999999999</v>
      </c>
      <c r="R17" s="1645">
        <v>23860.050999999999</v>
      </c>
      <c r="S17" s="1645">
        <v>499.53300000000002</v>
      </c>
      <c r="T17" s="2502" t="s">
        <v>133</v>
      </c>
      <c r="U17" s="1646">
        <v>519162.50599999999</v>
      </c>
      <c r="W17" s="2494"/>
    </row>
    <row r="18" spans="1:23" s="349" customFormat="1" ht="20.100000000000001" customHeight="1">
      <c r="A18" s="2453"/>
      <c r="B18" s="2457" t="s">
        <v>1270</v>
      </c>
      <c r="C18" s="2501">
        <v>10406.66</v>
      </c>
      <c r="D18" s="1645">
        <v>11776.483</v>
      </c>
      <c r="E18" s="1645">
        <v>155497.57399999999</v>
      </c>
      <c r="F18" s="1645">
        <v>16614.661</v>
      </c>
      <c r="G18" s="1645">
        <v>16318.984</v>
      </c>
      <c r="H18" s="1645">
        <v>185881.35</v>
      </c>
      <c r="I18" s="1645">
        <v>145065.10200000001</v>
      </c>
      <c r="J18" s="1645">
        <v>107473.269</v>
      </c>
      <c r="K18" s="1645">
        <v>579810.57999999996</v>
      </c>
      <c r="L18" s="1645">
        <v>7388.0640000000003</v>
      </c>
      <c r="M18" s="1645">
        <v>265799.81099999999</v>
      </c>
      <c r="N18" s="1645">
        <v>235784.31</v>
      </c>
      <c r="O18" s="1645">
        <v>339337.54800000001</v>
      </c>
      <c r="P18" s="1645">
        <v>33840.553999999996</v>
      </c>
      <c r="Q18" s="1645">
        <v>126163.588</v>
      </c>
      <c r="R18" s="1645">
        <v>246065.342</v>
      </c>
      <c r="S18" s="1645">
        <v>8804.9539999999997</v>
      </c>
      <c r="T18" s="2502" t="s">
        <v>133</v>
      </c>
      <c r="U18" s="1646">
        <v>2492028.8339999998</v>
      </c>
      <c r="W18" s="2494"/>
    </row>
    <row r="19" spans="1:23" s="346" customFormat="1" ht="20.100000000000001" customHeight="1">
      <c r="A19" s="2453"/>
      <c r="B19" s="2457" t="s">
        <v>1271</v>
      </c>
      <c r="C19" s="2501">
        <v>53759.805999999997</v>
      </c>
      <c r="D19" s="1645">
        <v>8353.9860000000008</v>
      </c>
      <c r="E19" s="1645">
        <v>11213.416999999999</v>
      </c>
      <c r="F19" s="1645">
        <v>25357.526999999998</v>
      </c>
      <c r="G19" s="1645">
        <v>5578.5730000000003</v>
      </c>
      <c r="H19" s="1645">
        <v>5731.1149999999998</v>
      </c>
      <c r="I19" s="1645">
        <v>1084.674</v>
      </c>
      <c r="J19" s="1645">
        <v>529.10400000000004</v>
      </c>
      <c r="K19" s="1645">
        <v>230254.13099999999</v>
      </c>
      <c r="L19" s="1645">
        <v>2535.3980000000001</v>
      </c>
      <c r="M19" s="1645">
        <v>10368.474</v>
      </c>
      <c r="N19" s="1645">
        <v>14045.826999999999</v>
      </c>
      <c r="O19" s="1645">
        <v>2192.3690000000001</v>
      </c>
      <c r="P19" s="1645">
        <v>622.48900000000003</v>
      </c>
      <c r="Q19" s="1645">
        <v>3154.1559999999999</v>
      </c>
      <c r="R19" s="1645">
        <v>8025.384</v>
      </c>
      <c r="S19" s="1645">
        <v>400.166</v>
      </c>
      <c r="T19" s="2502" t="s">
        <v>133</v>
      </c>
      <c r="U19" s="1646">
        <v>383206.59600000002</v>
      </c>
      <c r="W19" s="2494"/>
    </row>
    <row r="20" spans="1:23" s="346" customFormat="1" ht="20.100000000000001" customHeight="1">
      <c r="A20" s="2453"/>
      <c r="B20" s="2457" t="s">
        <v>1272</v>
      </c>
      <c r="C20" s="2501">
        <v>878.72799999999995</v>
      </c>
      <c r="D20" s="1645">
        <v>2218.3440000000001</v>
      </c>
      <c r="E20" s="1645">
        <v>4047.239</v>
      </c>
      <c r="F20" s="1645">
        <v>295075.33299999998</v>
      </c>
      <c r="G20" s="1645">
        <v>201</v>
      </c>
      <c r="H20" s="1645">
        <v>77.510000000000005</v>
      </c>
      <c r="I20" s="1645">
        <v>1794737.548</v>
      </c>
      <c r="J20" s="1645" t="s">
        <v>133</v>
      </c>
      <c r="K20" s="1645">
        <v>13434.578</v>
      </c>
      <c r="L20" s="1645">
        <v>283.47300000000001</v>
      </c>
      <c r="M20" s="1645">
        <v>5496.4059999999999</v>
      </c>
      <c r="N20" s="1645">
        <v>1379729.2069999999</v>
      </c>
      <c r="O20" s="1645">
        <v>1777.76</v>
      </c>
      <c r="P20" s="1645">
        <v>421625.22200000001</v>
      </c>
      <c r="Q20" s="1645">
        <v>19166.162</v>
      </c>
      <c r="R20" s="1645">
        <v>2459.2489999999998</v>
      </c>
      <c r="S20" s="1645">
        <v>13.202999999999999</v>
      </c>
      <c r="T20" s="2502" t="s">
        <v>133</v>
      </c>
      <c r="U20" s="1646">
        <v>3941220.9619999998</v>
      </c>
      <c r="W20" s="2494"/>
    </row>
    <row r="21" spans="1:23" s="349" customFormat="1" ht="20.100000000000001" customHeight="1">
      <c r="A21" s="2453" t="s">
        <v>1273</v>
      </c>
      <c r="B21" s="2457" t="s">
        <v>1274</v>
      </c>
      <c r="C21" s="2501">
        <v>18255.254000000001</v>
      </c>
      <c r="D21" s="1644">
        <v>87354.422999999995</v>
      </c>
      <c r="E21" s="1644">
        <v>61238.536</v>
      </c>
      <c r="F21" s="1644">
        <v>199902.39600000001</v>
      </c>
      <c r="G21" s="1644">
        <v>23962.892</v>
      </c>
      <c r="H21" s="1644">
        <v>63937.883999999998</v>
      </c>
      <c r="I21" s="1644">
        <v>2583168.946</v>
      </c>
      <c r="J21" s="1645">
        <v>61644.966999999997</v>
      </c>
      <c r="K21" s="1645">
        <v>2140844.4019999998</v>
      </c>
      <c r="L21" s="1645">
        <v>32463.282999999999</v>
      </c>
      <c r="M21" s="1645">
        <v>605412.11399999994</v>
      </c>
      <c r="N21" s="1645">
        <v>1289559.6140000001</v>
      </c>
      <c r="O21" s="1644">
        <v>802717.951</v>
      </c>
      <c r="P21" s="1644">
        <v>2888709.838</v>
      </c>
      <c r="Q21" s="1644">
        <v>828731.61499999999</v>
      </c>
      <c r="R21" s="1644">
        <v>234416.82199999999</v>
      </c>
      <c r="S21" s="1645">
        <v>10765.842000000001</v>
      </c>
      <c r="T21" s="2502" t="s">
        <v>133</v>
      </c>
      <c r="U21" s="1646">
        <v>11933086.778999999</v>
      </c>
      <c r="W21" s="2494"/>
    </row>
    <row r="22" spans="1:23" s="346" customFormat="1" ht="20.100000000000001" customHeight="1">
      <c r="A22" s="2453"/>
      <c r="B22" s="2457" t="s">
        <v>1275</v>
      </c>
      <c r="C22" s="2501">
        <v>4221.3959999999997</v>
      </c>
      <c r="D22" s="1644">
        <v>10622.607</v>
      </c>
      <c r="E22" s="1644">
        <v>4703.4650000000001</v>
      </c>
      <c r="F22" s="1644">
        <v>158838.90100000001</v>
      </c>
      <c r="G22" s="1644">
        <v>929.94500000000005</v>
      </c>
      <c r="H22" s="1644">
        <v>24945.784</v>
      </c>
      <c r="I22" s="1644">
        <v>1356.0150000000001</v>
      </c>
      <c r="J22" s="1645">
        <v>20874.813999999998</v>
      </c>
      <c r="K22" s="1645">
        <v>338286.30900000001</v>
      </c>
      <c r="L22" s="1645">
        <v>38051.214</v>
      </c>
      <c r="M22" s="1645">
        <v>278484.087</v>
      </c>
      <c r="N22" s="1645">
        <v>88836.040999999997</v>
      </c>
      <c r="O22" s="1644">
        <v>13067.654</v>
      </c>
      <c r="P22" s="1644">
        <v>14284.218999999999</v>
      </c>
      <c r="Q22" s="1644">
        <v>14106.212</v>
      </c>
      <c r="R22" s="1644">
        <v>3215.4189999999999</v>
      </c>
      <c r="S22" s="1645">
        <v>3066.8939999999998</v>
      </c>
      <c r="T22" s="2502" t="s">
        <v>133</v>
      </c>
      <c r="U22" s="1646">
        <v>1017890.976</v>
      </c>
      <c r="W22" s="2494"/>
    </row>
    <row r="23" spans="1:23" s="349" customFormat="1" ht="20.100000000000001" customHeight="1">
      <c r="A23" s="2453"/>
      <c r="B23" s="2457" t="s">
        <v>1276</v>
      </c>
      <c r="C23" s="2501">
        <v>13618.722</v>
      </c>
      <c r="D23" s="1645">
        <v>65283.760999999999</v>
      </c>
      <c r="E23" s="1645">
        <v>69026.824999999997</v>
      </c>
      <c r="F23" s="1645">
        <v>90789.156000000003</v>
      </c>
      <c r="G23" s="1645">
        <v>64884.947</v>
      </c>
      <c r="H23" s="1645">
        <v>90526.236000000004</v>
      </c>
      <c r="I23" s="1645">
        <v>138833.15400000001</v>
      </c>
      <c r="J23" s="1645">
        <v>40081.654000000002</v>
      </c>
      <c r="K23" s="1645">
        <v>756435.50600000005</v>
      </c>
      <c r="L23" s="1645">
        <v>31102.305</v>
      </c>
      <c r="M23" s="1645">
        <v>303282.35499999998</v>
      </c>
      <c r="N23" s="1645">
        <v>396368.05</v>
      </c>
      <c r="O23" s="1645">
        <v>89933.56</v>
      </c>
      <c r="P23" s="1645">
        <v>123373.462</v>
      </c>
      <c r="Q23" s="1645">
        <v>318614.54200000002</v>
      </c>
      <c r="R23" s="1645">
        <v>343938.522</v>
      </c>
      <c r="S23" s="1645">
        <v>3051.8809999999999</v>
      </c>
      <c r="T23" s="2502" t="s">
        <v>133</v>
      </c>
      <c r="U23" s="1646">
        <v>2939144.6379999998</v>
      </c>
      <c r="W23" s="2494"/>
    </row>
    <row r="24" spans="1:23" s="349" customFormat="1" ht="20.100000000000001" customHeight="1">
      <c r="A24" s="2453"/>
      <c r="B24" s="2457" t="s">
        <v>1277</v>
      </c>
      <c r="C24" s="2501">
        <v>5706.0810000000001</v>
      </c>
      <c r="D24" s="1645">
        <v>33036.057000000001</v>
      </c>
      <c r="E24" s="1645">
        <v>25568.777999999998</v>
      </c>
      <c r="F24" s="1645">
        <v>60337.517999999996</v>
      </c>
      <c r="G24" s="1645">
        <v>7925.4740000000002</v>
      </c>
      <c r="H24" s="1645">
        <v>11870.12</v>
      </c>
      <c r="I24" s="1645">
        <v>45061.775000000001</v>
      </c>
      <c r="J24" s="1645">
        <v>142866.302</v>
      </c>
      <c r="K24" s="1645">
        <v>501379.88500000001</v>
      </c>
      <c r="L24" s="1645">
        <v>865950.08799999999</v>
      </c>
      <c r="M24" s="1645">
        <v>609768.06599999999</v>
      </c>
      <c r="N24" s="1645">
        <v>279850.28000000003</v>
      </c>
      <c r="O24" s="1645">
        <v>176875.42800000001</v>
      </c>
      <c r="P24" s="1645">
        <v>131390.397</v>
      </c>
      <c r="Q24" s="1645">
        <v>223928.50200000001</v>
      </c>
      <c r="R24" s="1645">
        <v>134334.149</v>
      </c>
      <c r="S24" s="1645">
        <v>8011.2259999999997</v>
      </c>
      <c r="T24" s="2502" t="s">
        <v>133</v>
      </c>
      <c r="U24" s="1646">
        <v>3263860.1260000002</v>
      </c>
      <c r="W24" s="2494"/>
    </row>
    <row r="25" spans="1:23" s="349" customFormat="1" ht="20.100000000000001" customHeight="1">
      <c r="A25" s="2453"/>
      <c r="B25" s="2457" t="s">
        <v>1278</v>
      </c>
      <c r="C25" s="2501">
        <v>3870.2660000000001</v>
      </c>
      <c r="D25" s="1645">
        <v>554128.26199999999</v>
      </c>
      <c r="E25" s="1645">
        <v>91175.088000000003</v>
      </c>
      <c r="F25" s="1645">
        <v>511520.44300000003</v>
      </c>
      <c r="G25" s="1645">
        <v>12117.072</v>
      </c>
      <c r="H25" s="1645">
        <v>14513</v>
      </c>
      <c r="I25" s="1645">
        <v>1006459.436</v>
      </c>
      <c r="J25" s="1645">
        <v>15242.924000000001</v>
      </c>
      <c r="K25" s="1645">
        <v>647303.55200000003</v>
      </c>
      <c r="L25" s="1645">
        <v>39691.245999999999</v>
      </c>
      <c r="M25" s="1645">
        <v>128482.7</v>
      </c>
      <c r="N25" s="1645">
        <v>1397393.47</v>
      </c>
      <c r="O25" s="1645">
        <v>644443.277</v>
      </c>
      <c r="P25" s="1645">
        <v>768964.85199999996</v>
      </c>
      <c r="Q25" s="1645">
        <v>2371256.0359999998</v>
      </c>
      <c r="R25" s="1645">
        <v>1140461.344</v>
      </c>
      <c r="S25" s="1645">
        <v>905.90200000000004</v>
      </c>
      <c r="T25" s="2502" t="s">
        <v>133</v>
      </c>
      <c r="U25" s="1646">
        <v>9347928.8699999992</v>
      </c>
      <c r="W25" s="2494"/>
    </row>
    <row r="26" spans="1:23" s="349" customFormat="1" ht="20.100000000000001" customHeight="1">
      <c r="A26" s="2453"/>
      <c r="B26" s="2457" t="s">
        <v>1279</v>
      </c>
      <c r="C26" s="2501">
        <v>14773.882</v>
      </c>
      <c r="D26" s="1645">
        <v>255312.18700000001</v>
      </c>
      <c r="E26" s="1645">
        <v>192313.87700000001</v>
      </c>
      <c r="F26" s="1645">
        <v>181593.87400000001</v>
      </c>
      <c r="G26" s="1645">
        <v>47344.813999999998</v>
      </c>
      <c r="H26" s="1645">
        <v>14858.041999999999</v>
      </c>
      <c r="I26" s="1645">
        <v>65075.883000000002</v>
      </c>
      <c r="J26" s="1645">
        <v>4967.49</v>
      </c>
      <c r="K26" s="1645">
        <v>676045.96799999999</v>
      </c>
      <c r="L26" s="1645">
        <v>13827.643</v>
      </c>
      <c r="M26" s="1645">
        <v>245028.10500000001</v>
      </c>
      <c r="N26" s="1645">
        <v>193014.91399999999</v>
      </c>
      <c r="O26" s="1645">
        <v>47888.118999999999</v>
      </c>
      <c r="P26" s="1645">
        <v>42192.792999999998</v>
      </c>
      <c r="Q26" s="1645">
        <v>257263.00899999999</v>
      </c>
      <c r="R26" s="1645">
        <v>480868.40100000001</v>
      </c>
      <c r="S26" s="1645">
        <v>867.14</v>
      </c>
      <c r="T26" s="2502" t="s">
        <v>133</v>
      </c>
      <c r="U26" s="1646">
        <v>2733236.1409999998</v>
      </c>
      <c r="W26" s="2494"/>
    </row>
    <row r="27" spans="1:23" s="349" customFormat="1" ht="20.100000000000001" customHeight="1">
      <c r="A27" s="2453"/>
      <c r="B27" s="2457" t="s">
        <v>1280</v>
      </c>
      <c r="C27" s="2501">
        <v>15917.359</v>
      </c>
      <c r="D27" s="1645">
        <v>33970.281000000003</v>
      </c>
      <c r="E27" s="1645">
        <v>134073.342</v>
      </c>
      <c r="F27" s="1645">
        <v>519415.21600000001</v>
      </c>
      <c r="G27" s="1645">
        <v>246965.726</v>
      </c>
      <c r="H27" s="1645">
        <v>61781.445</v>
      </c>
      <c r="I27" s="1645">
        <v>14012.328</v>
      </c>
      <c r="J27" s="1645">
        <v>99756.34</v>
      </c>
      <c r="K27" s="1645">
        <v>11911255.078</v>
      </c>
      <c r="L27" s="1645">
        <v>29954.774000000001</v>
      </c>
      <c r="M27" s="1645">
        <v>791566.16200000001</v>
      </c>
      <c r="N27" s="1645">
        <v>3325080.2930000001</v>
      </c>
      <c r="O27" s="1645">
        <v>119805.333</v>
      </c>
      <c r="P27" s="1645">
        <v>17773.378000000001</v>
      </c>
      <c r="Q27" s="1645">
        <v>1130167.6969999999</v>
      </c>
      <c r="R27" s="1645">
        <v>214860.79699999999</v>
      </c>
      <c r="S27" s="1645">
        <v>552.24900000000002</v>
      </c>
      <c r="T27" s="2502" t="s">
        <v>133</v>
      </c>
      <c r="U27" s="1646">
        <v>18666907.798</v>
      </c>
      <c r="W27" s="2494"/>
    </row>
    <row r="28" spans="1:23" s="349" customFormat="1" ht="20.100000000000001" customHeight="1">
      <c r="A28" s="2453" t="s">
        <v>1281</v>
      </c>
      <c r="B28" s="2457" t="s">
        <v>1282</v>
      </c>
      <c r="C28" s="2501">
        <v>10116.370000000001</v>
      </c>
      <c r="D28" s="1645">
        <v>23782.323</v>
      </c>
      <c r="E28" s="1645">
        <v>36087.559000000001</v>
      </c>
      <c r="F28" s="1645">
        <v>457882.83799999999</v>
      </c>
      <c r="G28" s="1645">
        <v>13598.58</v>
      </c>
      <c r="H28" s="1645">
        <v>18905.374</v>
      </c>
      <c r="I28" s="1645">
        <v>7132.6170000000002</v>
      </c>
      <c r="J28" s="1645">
        <v>1693.105</v>
      </c>
      <c r="K28" s="1645">
        <v>210081.23499999999</v>
      </c>
      <c r="L28" s="1645">
        <v>12551.31</v>
      </c>
      <c r="M28" s="1645">
        <v>37307.766000000003</v>
      </c>
      <c r="N28" s="1645">
        <v>158019.31200000001</v>
      </c>
      <c r="O28" s="1645">
        <v>11478.433999999999</v>
      </c>
      <c r="P28" s="1645">
        <v>5598.55</v>
      </c>
      <c r="Q28" s="1645">
        <v>35778.311000000002</v>
      </c>
      <c r="R28" s="1645">
        <v>63837.319000000003</v>
      </c>
      <c r="S28" s="1645">
        <v>431.81200000000001</v>
      </c>
      <c r="T28" s="2502" t="s">
        <v>133</v>
      </c>
      <c r="U28" s="1646">
        <v>1104282.8149999999</v>
      </c>
      <c r="W28" s="2494"/>
    </row>
    <row r="29" spans="1:23" s="349" customFormat="1" ht="20.100000000000001" customHeight="1">
      <c r="A29" s="2453"/>
      <c r="B29" s="2457" t="s">
        <v>1283</v>
      </c>
      <c r="C29" s="2501">
        <v>7392.7219999999998</v>
      </c>
      <c r="D29" s="1645">
        <v>52322.796999999999</v>
      </c>
      <c r="E29" s="1645">
        <v>134217.747</v>
      </c>
      <c r="F29" s="1645">
        <v>62846.194000000003</v>
      </c>
      <c r="G29" s="1645">
        <v>76316.055999999997</v>
      </c>
      <c r="H29" s="1645">
        <v>32608.251</v>
      </c>
      <c r="I29" s="1645">
        <v>213147.84</v>
      </c>
      <c r="J29" s="1645">
        <v>18809.455999999998</v>
      </c>
      <c r="K29" s="1645">
        <v>370309.12</v>
      </c>
      <c r="L29" s="1645">
        <v>11800.471</v>
      </c>
      <c r="M29" s="1645">
        <v>743878.89099999995</v>
      </c>
      <c r="N29" s="1645">
        <v>252922.739</v>
      </c>
      <c r="O29" s="1645">
        <v>105688.318</v>
      </c>
      <c r="P29" s="1645">
        <v>204069.25899999999</v>
      </c>
      <c r="Q29" s="1645">
        <v>458989.609</v>
      </c>
      <c r="R29" s="1645">
        <v>313550.86</v>
      </c>
      <c r="S29" s="1645">
        <v>884.19200000000001</v>
      </c>
      <c r="T29" s="2502" t="s">
        <v>133</v>
      </c>
      <c r="U29" s="1646">
        <v>3059754.5219999999</v>
      </c>
      <c r="W29" s="2494"/>
    </row>
    <row r="30" spans="1:23" s="349" customFormat="1" ht="20.100000000000001" customHeight="1">
      <c r="A30" s="2453"/>
      <c r="B30" s="2457" t="s">
        <v>1284</v>
      </c>
      <c r="C30" s="2501">
        <v>39738.714999999997</v>
      </c>
      <c r="D30" s="1645">
        <v>325138.90000000002</v>
      </c>
      <c r="E30" s="1645">
        <v>168316.71900000001</v>
      </c>
      <c r="F30" s="1645">
        <v>288398.25799999997</v>
      </c>
      <c r="G30" s="1645">
        <v>64219.133999999998</v>
      </c>
      <c r="H30" s="1645">
        <v>35601.862999999998</v>
      </c>
      <c r="I30" s="1645">
        <v>71419.713000000003</v>
      </c>
      <c r="J30" s="1645">
        <v>13442.802</v>
      </c>
      <c r="K30" s="1645">
        <v>1450927.669</v>
      </c>
      <c r="L30" s="1645">
        <v>19552.986000000001</v>
      </c>
      <c r="M30" s="1645">
        <v>171714.16699999999</v>
      </c>
      <c r="N30" s="1645">
        <v>321029.58500000002</v>
      </c>
      <c r="O30" s="1645">
        <v>52127.243000000002</v>
      </c>
      <c r="P30" s="1645">
        <v>26162.469000000001</v>
      </c>
      <c r="Q30" s="1645">
        <v>356805.58799999999</v>
      </c>
      <c r="R30" s="1645">
        <v>625635.63100000005</v>
      </c>
      <c r="S30" s="1645">
        <v>868.38499999999999</v>
      </c>
      <c r="T30" s="2502" t="s">
        <v>133</v>
      </c>
      <c r="U30" s="1646">
        <v>4031099.827</v>
      </c>
      <c r="W30" s="2494"/>
    </row>
    <row r="31" spans="1:23" s="349" customFormat="1" ht="20.100000000000001" customHeight="1">
      <c r="A31" s="2453"/>
      <c r="B31" s="2457" t="s">
        <v>1285</v>
      </c>
      <c r="C31" s="2501">
        <v>6501.5150000000003</v>
      </c>
      <c r="D31" s="1645">
        <v>381277.36200000002</v>
      </c>
      <c r="E31" s="1645">
        <v>491888.87599999999</v>
      </c>
      <c r="F31" s="1645">
        <v>169672.92800000001</v>
      </c>
      <c r="G31" s="1645">
        <v>188080.88399999999</v>
      </c>
      <c r="H31" s="1645">
        <v>59294.09</v>
      </c>
      <c r="I31" s="1645">
        <v>698195.92700000003</v>
      </c>
      <c r="J31" s="1645">
        <v>29643.437000000002</v>
      </c>
      <c r="K31" s="1645">
        <v>998782.33900000004</v>
      </c>
      <c r="L31" s="1645">
        <v>58375.093000000001</v>
      </c>
      <c r="M31" s="1645">
        <v>257258.70300000001</v>
      </c>
      <c r="N31" s="1645">
        <v>1005297.894</v>
      </c>
      <c r="O31" s="1645">
        <v>267600.75900000002</v>
      </c>
      <c r="P31" s="1645">
        <v>32000.223000000002</v>
      </c>
      <c r="Q31" s="1645">
        <v>900291.94299999997</v>
      </c>
      <c r="R31" s="1645">
        <v>820562.29099999997</v>
      </c>
      <c r="S31" s="1645">
        <v>188.49600000000001</v>
      </c>
      <c r="T31" s="2502" t="s">
        <v>133</v>
      </c>
      <c r="U31" s="1646">
        <v>6364912.7599999998</v>
      </c>
      <c r="W31" s="2494"/>
    </row>
    <row r="32" spans="1:23" s="349" customFormat="1" ht="20.100000000000001" customHeight="1">
      <c r="A32" s="2453"/>
      <c r="B32" s="2457" t="s">
        <v>1286</v>
      </c>
      <c r="C32" s="2501">
        <v>6168.7809999999999</v>
      </c>
      <c r="D32" s="1645">
        <v>84785.81</v>
      </c>
      <c r="E32" s="1645">
        <v>18492.153999999999</v>
      </c>
      <c r="F32" s="1645">
        <v>18237.63</v>
      </c>
      <c r="G32" s="1645">
        <v>840.12400000000002</v>
      </c>
      <c r="H32" s="1645">
        <v>5009.6559999999999</v>
      </c>
      <c r="I32" s="1645">
        <v>367131.66600000003</v>
      </c>
      <c r="J32" s="1645">
        <v>356.12</v>
      </c>
      <c r="K32" s="1645">
        <v>34307.446000000004</v>
      </c>
      <c r="L32" s="1645">
        <v>9903.2129999999997</v>
      </c>
      <c r="M32" s="1645">
        <v>8182.4780000000001</v>
      </c>
      <c r="N32" s="1645">
        <v>11689.795</v>
      </c>
      <c r="O32" s="1645">
        <v>25346.142</v>
      </c>
      <c r="P32" s="1645">
        <v>215722.16</v>
      </c>
      <c r="Q32" s="1645">
        <v>56006.502</v>
      </c>
      <c r="R32" s="1645">
        <v>683813.22699999996</v>
      </c>
      <c r="S32" s="1645">
        <v>1624.6369999999999</v>
      </c>
      <c r="T32" s="2502" t="s">
        <v>133</v>
      </c>
      <c r="U32" s="1646">
        <v>1547617.541</v>
      </c>
      <c r="W32" s="2494"/>
    </row>
    <row r="33" spans="1:23" s="349" customFormat="1" ht="20.100000000000001" customHeight="1">
      <c r="A33" s="2453"/>
      <c r="B33" s="2457" t="s">
        <v>1287</v>
      </c>
      <c r="C33" s="2501">
        <v>1067.6099999999999</v>
      </c>
      <c r="D33" s="1645">
        <v>2936.0369999999998</v>
      </c>
      <c r="E33" s="1645">
        <v>5635.3209999999999</v>
      </c>
      <c r="F33" s="1645">
        <v>28491.964</v>
      </c>
      <c r="G33" s="1645">
        <v>2017.2339999999999</v>
      </c>
      <c r="H33" s="1645">
        <v>1911.1489999999999</v>
      </c>
      <c r="I33" s="1645">
        <v>1556.002</v>
      </c>
      <c r="J33" s="1645">
        <v>145.172</v>
      </c>
      <c r="K33" s="1645">
        <v>167754.09899999999</v>
      </c>
      <c r="L33" s="1645">
        <v>2562.9450000000002</v>
      </c>
      <c r="M33" s="1645">
        <v>10479.843999999999</v>
      </c>
      <c r="N33" s="1645">
        <v>4418.2849999999999</v>
      </c>
      <c r="O33" s="1645">
        <v>2072.2170000000001</v>
      </c>
      <c r="P33" s="1645">
        <v>2221.6860000000001</v>
      </c>
      <c r="Q33" s="1645">
        <v>9564.9</v>
      </c>
      <c r="R33" s="1645">
        <v>8611.1460000000006</v>
      </c>
      <c r="S33" s="1645">
        <v>553.42200000000003</v>
      </c>
      <c r="T33" s="2502" t="s">
        <v>133</v>
      </c>
      <c r="U33" s="1646">
        <v>251999.033</v>
      </c>
      <c r="W33" s="2494"/>
    </row>
    <row r="34" spans="1:23" s="2422" customFormat="1" ht="20.100000000000001" customHeight="1">
      <c r="A34" s="2453"/>
      <c r="B34" s="2457" t="s">
        <v>1288</v>
      </c>
      <c r="C34" s="2501">
        <v>30871.321</v>
      </c>
      <c r="D34" s="1644">
        <v>11806.66</v>
      </c>
      <c r="E34" s="1644">
        <v>11132.446</v>
      </c>
      <c r="F34" s="1644">
        <v>109244.32799999999</v>
      </c>
      <c r="G34" s="1644">
        <v>903.40700000000004</v>
      </c>
      <c r="H34" s="1644">
        <v>4988.5770000000002</v>
      </c>
      <c r="I34" s="1644">
        <v>702.19799999999998</v>
      </c>
      <c r="J34" s="1645">
        <v>1356.83</v>
      </c>
      <c r="K34" s="1645">
        <v>403613.212</v>
      </c>
      <c r="L34" s="1645">
        <v>4024.317</v>
      </c>
      <c r="M34" s="1644">
        <v>162860.35200000001</v>
      </c>
      <c r="N34" s="1644">
        <v>24653.543000000001</v>
      </c>
      <c r="O34" s="1644">
        <v>6450.549</v>
      </c>
      <c r="P34" s="1644">
        <v>2222.5990000000002</v>
      </c>
      <c r="Q34" s="1644">
        <v>7346.6670000000004</v>
      </c>
      <c r="R34" s="1644">
        <v>84701.892999999996</v>
      </c>
      <c r="S34" s="1645">
        <v>501.93799999999999</v>
      </c>
      <c r="T34" s="2502" t="s">
        <v>133</v>
      </c>
      <c r="U34" s="1646">
        <v>867380.83700000006</v>
      </c>
      <c r="W34" s="2494"/>
    </row>
    <row r="35" spans="1:23" s="2422" customFormat="1" ht="20.100000000000001" customHeight="1">
      <c r="A35" s="2458" t="s">
        <v>862</v>
      </c>
      <c r="B35" s="2457" t="s">
        <v>1289</v>
      </c>
      <c r="C35" s="2497">
        <v>569.846</v>
      </c>
      <c r="D35" s="2451">
        <v>1314.8679999999999</v>
      </c>
      <c r="E35" s="2451">
        <v>581.19399999999996</v>
      </c>
      <c r="F35" s="2451">
        <v>1692.079</v>
      </c>
      <c r="G35" s="2451">
        <v>558.46100000000001</v>
      </c>
      <c r="H35" s="2451">
        <v>78.715000000000003</v>
      </c>
      <c r="I35" s="2451">
        <v>364.07299999999998</v>
      </c>
      <c r="J35" s="2451">
        <v>104.214</v>
      </c>
      <c r="K35" s="2451">
        <v>8747.5949999999993</v>
      </c>
      <c r="L35" s="2451">
        <v>1309.7260000000001</v>
      </c>
      <c r="M35" s="2451">
        <v>1920.3520000000001</v>
      </c>
      <c r="N35" s="2451">
        <v>2354.4690000000001</v>
      </c>
      <c r="O35" s="2451">
        <v>2077.1959999999999</v>
      </c>
      <c r="P35" s="2451">
        <v>5685.4470000000001</v>
      </c>
      <c r="Q35" s="2451">
        <v>2490.1289999999999</v>
      </c>
      <c r="R35" s="2451">
        <v>4120.1469999999999</v>
      </c>
      <c r="S35" s="2451">
        <v>421.38099999999997</v>
      </c>
      <c r="T35" s="2498" t="s">
        <v>133</v>
      </c>
      <c r="U35" s="2499">
        <v>34389.892</v>
      </c>
      <c r="W35" s="2494"/>
    </row>
    <row r="36" spans="1:23" s="2507" customFormat="1" ht="21.95" customHeight="1">
      <c r="A36" s="1777" t="s">
        <v>1290</v>
      </c>
      <c r="B36" s="2435"/>
      <c r="C36" s="2504">
        <v>16799311.327</v>
      </c>
      <c r="D36" s="2460">
        <v>7185976.8049999997</v>
      </c>
      <c r="E36" s="2460">
        <v>5539285.9800000004</v>
      </c>
      <c r="F36" s="2460">
        <v>8852932.0030000005</v>
      </c>
      <c r="G36" s="2460">
        <v>3024492.446</v>
      </c>
      <c r="H36" s="2460">
        <v>3436804.6869999999</v>
      </c>
      <c r="I36" s="2460">
        <v>9390517.591</v>
      </c>
      <c r="J36" s="2484">
        <v>1420028.4469999999</v>
      </c>
      <c r="K36" s="2460">
        <v>49235879.347000003</v>
      </c>
      <c r="L36" s="2460">
        <v>5857832.1169999996</v>
      </c>
      <c r="M36" s="2460">
        <v>9139449.6710000001</v>
      </c>
      <c r="N36" s="2460">
        <v>16684194.009</v>
      </c>
      <c r="O36" s="2460">
        <v>7387447.0010000002</v>
      </c>
      <c r="P36" s="2460">
        <v>10207889.721000001</v>
      </c>
      <c r="Q36" s="2460">
        <v>13809573.692</v>
      </c>
      <c r="R36" s="2460">
        <v>12417467.567</v>
      </c>
      <c r="S36" s="2460">
        <v>2081334.9779999999</v>
      </c>
      <c r="T36" s="2505" t="s">
        <v>133</v>
      </c>
      <c r="U36" s="2506">
        <v>182470417.389</v>
      </c>
      <c r="W36" s="2494"/>
    </row>
    <row r="37" spans="1:23" ht="7.5" customHeight="1"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</row>
    <row r="38" spans="1:23" ht="15" customHeight="1">
      <c r="A38" s="438" t="s">
        <v>1303</v>
      </c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282"/>
    </row>
    <row r="40" spans="1:23">
      <c r="C40" s="2508"/>
      <c r="D40" s="2508"/>
      <c r="E40" s="2508"/>
      <c r="F40" s="2508"/>
      <c r="G40" s="2508"/>
      <c r="H40" s="2508"/>
      <c r="I40" s="2508"/>
      <c r="J40" s="2508"/>
      <c r="K40" s="2508"/>
      <c r="L40" s="2508"/>
      <c r="M40" s="2508"/>
      <c r="N40" s="2508"/>
      <c r="O40" s="2508"/>
      <c r="P40" s="2508"/>
      <c r="Q40" s="2508"/>
      <c r="R40" s="2508"/>
      <c r="S40" s="2508"/>
      <c r="T40" s="2508"/>
      <c r="U40" s="2508"/>
    </row>
    <row r="41" spans="1:23">
      <c r="C41" s="2509"/>
      <c r="D41" s="2509"/>
      <c r="E41" s="2509"/>
      <c r="F41" s="2509"/>
      <c r="G41" s="2509"/>
      <c r="H41" s="2509"/>
      <c r="I41" s="2509"/>
      <c r="J41" s="2509"/>
      <c r="K41" s="2509"/>
      <c r="L41" s="2509"/>
      <c r="M41" s="2509"/>
      <c r="N41" s="2509"/>
      <c r="O41" s="2509"/>
      <c r="P41" s="2509"/>
      <c r="Q41" s="2509"/>
      <c r="R41" s="2509"/>
      <c r="S41" s="2509"/>
      <c r="T41" s="2509"/>
      <c r="U41" s="2509"/>
    </row>
    <row r="42" spans="1:23">
      <c r="C42" s="1380"/>
      <c r="D42" s="1380"/>
      <c r="E42" s="1380"/>
      <c r="F42" s="1380"/>
      <c r="G42" s="1380"/>
      <c r="H42" s="1380"/>
      <c r="I42" s="1380"/>
      <c r="J42" s="1380"/>
      <c r="K42" s="1380"/>
      <c r="L42" s="1380"/>
      <c r="M42" s="1380"/>
      <c r="N42" s="1380"/>
      <c r="O42" s="1380"/>
      <c r="P42" s="1380"/>
      <c r="Q42" s="1380"/>
      <c r="R42" s="1380"/>
      <c r="S42" s="1380"/>
      <c r="T42" s="1380"/>
      <c r="U42" s="1380"/>
    </row>
    <row r="43" spans="1:23">
      <c r="U43" s="2207"/>
    </row>
    <row r="46" spans="1:23">
      <c r="C46" s="2510"/>
      <c r="D46" s="2510"/>
      <c r="E46" s="2510"/>
      <c r="F46" s="2510"/>
      <c r="G46" s="2510"/>
      <c r="H46" s="2510"/>
      <c r="I46" s="2510"/>
      <c r="J46" s="2510"/>
      <c r="K46" s="2510"/>
      <c r="L46" s="2510"/>
      <c r="M46" s="2510"/>
      <c r="N46" s="2510"/>
      <c r="O46" s="2510"/>
      <c r="P46" s="2510"/>
      <c r="Q46" s="2510"/>
      <c r="R46" s="2510"/>
      <c r="S46" s="2510"/>
      <c r="T46" s="2510"/>
      <c r="U46" s="2510"/>
    </row>
    <row r="47" spans="1:23">
      <c r="C47" s="2510"/>
      <c r="D47" s="2510"/>
      <c r="E47" s="2510"/>
      <c r="F47" s="2510"/>
      <c r="G47" s="2510"/>
      <c r="H47" s="2510"/>
      <c r="I47" s="2510"/>
      <c r="J47" s="2510"/>
      <c r="K47" s="2510"/>
      <c r="L47" s="2510"/>
      <c r="M47" s="2510"/>
      <c r="N47" s="2510"/>
      <c r="O47" s="2510"/>
      <c r="P47" s="2510"/>
      <c r="Q47" s="2510"/>
      <c r="R47" s="2510"/>
      <c r="S47" s="2510"/>
      <c r="T47" s="2510"/>
      <c r="U47" s="2510"/>
    </row>
    <row r="48" spans="1:23">
      <c r="C48" s="2510"/>
      <c r="D48" s="2510"/>
      <c r="E48" s="2510"/>
      <c r="F48" s="2510"/>
      <c r="G48" s="2510"/>
      <c r="H48" s="2510"/>
      <c r="I48" s="2510"/>
      <c r="J48" s="2510"/>
      <c r="K48" s="2510"/>
      <c r="L48" s="2510"/>
      <c r="M48" s="2510"/>
      <c r="N48" s="2510"/>
      <c r="O48" s="2510"/>
      <c r="P48" s="2510"/>
      <c r="Q48" s="2510"/>
      <c r="R48" s="2510"/>
      <c r="S48" s="2510"/>
      <c r="T48" s="2510"/>
      <c r="U48" s="2510"/>
    </row>
    <row r="49" spans="3:21">
      <c r="C49" s="2510"/>
      <c r="D49" s="2510"/>
      <c r="E49" s="2510"/>
      <c r="F49" s="2510"/>
      <c r="G49" s="2510"/>
      <c r="H49" s="2510"/>
      <c r="I49" s="2510"/>
      <c r="J49" s="2510"/>
      <c r="K49" s="2510"/>
      <c r="L49" s="2510"/>
      <c r="M49" s="2510"/>
      <c r="N49" s="2510"/>
      <c r="O49" s="2510"/>
      <c r="P49" s="2510"/>
      <c r="Q49" s="2510"/>
      <c r="R49" s="2510"/>
      <c r="S49" s="2510"/>
      <c r="T49" s="2510"/>
      <c r="U49" s="2510"/>
    </row>
    <row r="50" spans="3:21">
      <c r="C50" s="2510"/>
      <c r="D50" s="2510"/>
      <c r="E50" s="2510"/>
      <c r="F50" s="2510"/>
      <c r="G50" s="2510"/>
      <c r="H50" s="2510"/>
      <c r="I50" s="2510"/>
      <c r="J50" s="2510"/>
      <c r="K50" s="2510"/>
      <c r="L50" s="2510"/>
      <c r="M50" s="2510"/>
      <c r="N50" s="2510"/>
      <c r="O50" s="2510"/>
      <c r="P50" s="2510"/>
      <c r="Q50" s="2510"/>
      <c r="R50" s="2510"/>
      <c r="S50" s="2510"/>
      <c r="T50" s="2510"/>
      <c r="U50" s="2510"/>
    </row>
    <row r="51" spans="3:21">
      <c r="C51" s="2510"/>
      <c r="D51" s="2510"/>
      <c r="E51" s="2510"/>
      <c r="F51" s="2510"/>
      <c r="G51" s="2510"/>
      <c r="H51" s="2510"/>
      <c r="I51" s="2510"/>
      <c r="J51" s="2510"/>
      <c r="K51" s="2510"/>
      <c r="L51" s="2510"/>
      <c r="M51" s="2510"/>
      <c r="N51" s="2510"/>
      <c r="O51" s="2510"/>
      <c r="P51" s="2510"/>
      <c r="Q51" s="2510"/>
      <c r="R51" s="2510"/>
      <c r="S51" s="2510"/>
      <c r="T51" s="2510"/>
      <c r="U51" s="2510"/>
    </row>
    <row r="52" spans="3:21">
      <c r="C52" s="2510"/>
      <c r="D52" s="2510"/>
      <c r="E52" s="2510"/>
      <c r="F52" s="2510"/>
      <c r="G52" s="2510"/>
      <c r="H52" s="2510"/>
      <c r="I52" s="2510"/>
      <c r="J52" s="2510"/>
      <c r="K52" s="2510"/>
      <c r="L52" s="2510"/>
      <c r="M52" s="2510"/>
      <c r="N52" s="2510"/>
      <c r="O52" s="2510"/>
      <c r="P52" s="2510"/>
      <c r="Q52" s="2510"/>
      <c r="R52" s="2510"/>
      <c r="S52" s="2510"/>
      <c r="T52" s="2510"/>
      <c r="U52" s="2510"/>
    </row>
    <row r="53" spans="3:21">
      <c r="C53" s="2510"/>
      <c r="D53" s="2510"/>
      <c r="E53" s="2510"/>
      <c r="F53" s="2510"/>
      <c r="G53" s="2510"/>
      <c r="H53" s="2510"/>
      <c r="I53" s="2510"/>
      <c r="J53" s="2510"/>
      <c r="K53" s="2510"/>
      <c r="L53" s="2510"/>
      <c r="M53" s="2510"/>
      <c r="N53" s="2510"/>
      <c r="O53" s="2510"/>
      <c r="P53" s="2510"/>
      <c r="Q53" s="2510"/>
      <c r="R53" s="2510"/>
      <c r="S53" s="2510"/>
      <c r="T53" s="2510"/>
      <c r="U53" s="2510"/>
    </row>
    <row r="54" spans="3:21">
      <c r="C54" s="2510"/>
      <c r="D54" s="2510"/>
      <c r="E54" s="2510"/>
      <c r="F54" s="2510"/>
      <c r="G54" s="2510"/>
      <c r="H54" s="2510"/>
      <c r="I54" s="2510"/>
      <c r="J54" s="2510"/>
      <c r="K54" s="2510"/>
      <c r="L54" s="2510"/>
      <c r="M54" s="2510"/>
      <c r="N54" s="2510"/>
      <c r="O54" s="2510"/>
      <c r="P54" s="2510"/>
      <c r="Q54" s="2510"/>
      <c r="R54" s="2510"/>
      <c r="S54" s="2510"/>
      <c r="T54" s="2510"/>
      <c r="U54" s="2510"/>
    </row>
    <row r="55" spans="3:21">
      <c r="C55" s="2510"/>
      <c r="D55" s="2510"/>
      <c r="E55" s="2510"/>
      <c r="F55" s="2510"/>
      <c r="G55" s="2510"/>
      <c r="H55" s="2510"/>
      <c r="I55" s="2510"/>
      <c r="J55" s="2510"/>
      <c r="K55" s="2510"/>
      <c r="L55" s="2510"/>
      <c r="M55" s="2510"/>
      <c r="N55" s="2510"/>
      <c r="O55" s="2510"/>
      <c r="P55" s="2510"/>
      <c r="Q55" s="2510"/>
      <c r="R55" s="2510"/>
      <c r="S55" s="2510"/>
      <c r="T55" s="2510"/>
      <c r="U55" s="2510"/>
    </row>
    <row r="56" spans="3:21">
      <c r="C56" s="2510"/>
      <c r="D56" s="2510"/>
      <c r="E56" s="2510"/>
      <c r="F56" s="2510"/>
      <c r="G56" s="2510"/>
      <c r="H56" s="2510"/>
      <c r="I56" s="2510"/>
      <c r="J56" s="2510"/>
      <c r="K56" s="2510"/>
      <c r="L56" s="2510"/>
      <c r="M56" s="2510"/>
      <c r="N56" s="2510"/>
      <c r="O56" s="2510"/>
      <c r="P56" s="2510"/>
      <c r="Q56" s="2510"/>
      <c r="R56" s="2510"/>
      <c r="S56" s="2510"/>
      <c r="T56" s="2510"/>
      <c r="U56" s="2510"/>
    </row>
    <row r="57" spans="3:21">
      <c r="C57" s="2510"/>
      <c r="D57" s="2510"/>
      <c r="E57" s="2510"/>
      <c r="F57" s="2510"/>
      <c r="G57" s="2510"/>
      <c r="H57" s="2510"/>
      <c r="I57" s="2510"/>
      <c r="J57" s="2510"/>
      <c r="K57" s="2510"/>
      <c r="L57" s="2510"/>
      <c r="M57" s="2510"/>
      <c r="N57" s="2510"/>
      <c r="O57" s="2510"/>
      <c r="P57" s="2510"/>
      <c r="Q57" s="2510"/>
      <c r="R57" s="2510"/>
      <c r="S57" s="2510"/>
      <c r="T57" s="2510"/>
      <c r="U57" s="2510"/>
    </row>
    <row r="58" spans="3:21">
      <c r="C58" s="2510"/>
      <c r="D58" s="2510"/>
      <c r="E58" s="2510"/>
      <c r="F58" s="2510"/>
      <c r="G58" s="2510"/>
      <c r="H58" s="2510"/>
      <c r="I58" s="2510"/>
      <c r="J58" s="2510"/>
      <c r="K58" s="2510"/>
      <c r="L58" s="2510"/>
      <c r="M58" s="2510"/>
      <c r="N58" s="2510"/>
      <c r="O58" s="2510"/>
      <c r="P58" s="2510"/>
      <c r="Q58" s="2510"/>
      <c r="R58" s="2510"/>
      <c r="S58" s="2510"/>
      <c r="T58" s="2510"/>
      <c r="U58" s="2510"/>
    </row>
    <row r="59" spans="3:21">
      <c r="C59" s="2510"/>
      <c r="D59" s="2510"/>
      <c r="E59" s="2510"/>
      <c r="F59" s="2510"/>
      <c r="G59" s="2510"/>
      <c r="H59" s="2510"/>
      <c r="I59" s="2510"/>
      <c r="J59" s="2510"/>
      <c r="K59" s="2510"/>
      <c r="L59" s="2510"/>
      <c r="M59" s="2510"/>
      <c r="N59" s="2510"/>
      <c r="O59" s="2510"/>
      <c r="P59" s="2510"/>
      <c r="Q59" s="2510"/>
      <c r="R59" s="2510"/>
      <c r="S59" s="2510"/>
      <c r="T59" s="2510"/>
      <c r="U59" s="2510"/>
    </row>
    <row r="60" spans="3:21">
      <c r="C60" s="2510"/>
      <c r="D60" s="2510"/>
      <c r="E60" s="2510"/>
      <c r="F60" s="2510"/>
      <c r="G60" s="2510"/>
      <c r="H60" s="2510"/>
      <c r="I60" s="2510"/>
      <c r="J60" s="2510"/>
      <c r="K60" s="2510"/>
      <c r="L60" s="2510"/>
      <c r="M60" s="2510"/>
      <c r="N60" s="2510"/>
      <c r="O60" s="2510"/>
      <c r="P60" s="2510"/>
      <c r="Q60" s="2510"/>
      <c r="R60" s="2510"/>
      <c r="S60" s="2510"/>
      <c r="T60" s="2510"/>
      <c r="U60" s="2510"/>
    </row>
    <row r="61" spans="3:21">
      <c r="C61" s="2510"/>
      <c r="D61" s="2510"/>
      <c r="E61" s="2510"/>
      <c r="F61" s="2510"/>
      <c r="G61" s="2510"/>
      <c r="H61" s="2510"/>
      <c r="I61" s="2510"/>
      <c r="J61" s="2510"/>
      <c r="K61" s="2510"/>
      <c r="L61" s="2510"/>
      <c r="M61" s="2510"/>
      <c r="N61" s="2510"/>
      <c r="O61" s="2510"/>
      <c r="P61" s="2510"/>
      <c r="Q61" s="2510"/>
      <c r="R61" s="2510"/>
      <c r="S61" s="2510"/>
      <c r="T61" s="2510"/>
      <c r="U61" s="2510"/>
    </row>
    <row r="62" spans="3:21">
      <c r="C62" s="2510"/>
      <c r="D62" s="2510"/>
      <c r="E62" s="2510"/>
      <c r="F62" s="2510"/>
      <c r="G62" s="2510"/>
      <c r="H62" s="2510"/>
      <c r="I62" s="2510"/>
      <c r="J62" s="2510"/>
      <c r="K62" s="2510"/>
      <c r="L62" s="2510"/>
      <c r="M62" s="2510"/>
      <c r="N62" s="2510"/>
      <c r="O62" s="2510"/>
      <c r="P62" s="2510"/>
      <c r="Q62" s="2510"/>
      <c r="R62" s="2510"/>
      <c r="S62" s="2510"/>
      <c r="T62" s="2510"/>
      <c r="U62" s="2510"/>
    </row>
    <row r="63" spans="3:21">
      <c r="C63" s="2510"/>
      <c r="D63" s="2510"/>
      <c r="E63" s="2510"/>
      <c r="F63" s="2510"/>
      <c r="G63" s="2510"/>
      <c r="H63" s="2510"/>
      <c r="I63" s="2510"/>
      <c r="J63" s="2510"/>
      <c r="K63" s="2510"/>
      <c r="L63" s="2510"/>
      <c r="M63" s="2510"/>
      <c r="N63" s="2510"/>
      <c r="O63" s="2510"/>
      <c r="P63" s="2510"/>
      <c r="Q63" s="2510"/>
      <c r="R63" s="2510"/>
      <c r="S63" s="2510"/>
      <c r="T63" s="2510"/>
      <c r="U63" s="2510"/>
    </row>
    <row r="64" spans="3:21">
      <c r="C64" s="2510"/>
      <c r="D64" s="2510"/>
      <c r="E64" s="2510"/>
      <c r="F64" s="2510"/>
      <c r="G64" s="2510"/>
      <c r="H64" s="2510"/>
      <c r="I64" s="2510"/>
      <c r="J64" s="2510"/>
      <c r="K64" s="2510"/>
      <c r="L64" s="2510"/>
      <c r="M64" s="2510"/>
      <c r="N64" s="2510"/>
      <c r="O64" s="2510"/>
      <c r="P64" s="2510"/>
      <c r="Q64" s="2510"/>
      <c r="R64" s="2510"/>
      <c r="S64" s="2510"/>
      <c r="T64" s="2510"/>
      <c r="U64" s="2510"/>
    </row>
    <row r="65" spans="3:21">
      <c r="C65" s="2510"/>
      <c r="D65" s="2510"/>
      <c r="E65" s="2510"/>
      <c r="F65" s="2510"/>
      <c r="G65" s="2510"/>
      <c r="H65" s="2510"/>
      <c r="I65" s="2510"/>
      <c r="J65" s="2510"/>
      <c r="K65" s="2510"/>
      <c r="L65" s="2510"/>
      <c r="M65" s="2510"/>
      <c r="N65" s="2510"/>
      <c r="O65" s="2510"/>
      <c r="P65" s="2510"/>
      <c r="Q65" s="2510"/>
      <c r="R65" s="2510"/>
      <c r="S65" s="2510"/>
      <c r="T65" s="2510"/>
      <c r="U65" s="2510"/>
    </row>
    <row r="66" spans="3:21">
      <c r="C66" s="2510"/>
      <c r="D66" s="2510"/>
      <c r="E66" s="2510"/>
      <c r="F66" s="2510"/>
      <c r="G66" s="2510"/>
      <c r="H66" s="2510"/>
      <c r="I66" s="2510"/>
      <c r="J66" s="2510"/>
      <c r="K66" s="2510"/>
      <c r="L66" s="2510"/>
      <c r="M66" s="2510"/>
      <c r="N66" s="2510"/>
      <c r="O66" s="2510"/>
      <c r="P66" s="2510"/>
      <c r="Q66" s="2510"/>
      <c r="R66" s="2510"/>
      <c r="S66" s="2510"/>
      <c r="T66" s="2510"/>
      <c r="U66" s="2510"/>
    </row>
    <row r="67" spans="3:21">
      <c r="C67" s="2510"/>
      <c r="D67" s="2510"/>
      <c r="E67" s="2510"/>
      <c r="F67" s="2510"/>
      <c r="G67" s="2510"/>
      <c r="H67" s="2510"/>
      <c r="I67" s="2510"/>
      <c r="J67" s="2510"/>
      <c r="K67" s="2510"/>
      <c r="L67" s="2510"/>
      <c r="M67" s="2510"/>
      <c r="N67" s="2510"/>
      <c r="O67" s="2510"/>
      <c r="P67" s="2510"/>
      <c r="Q67" s="2510"/>
      <c r="R67" s="2510"/>
      <c r="S67" s="2510"/>
      <c r="T67" s="2510"/>
      <c r="U67" s="2510"/>
    </row>
    <row r="68" spans="3:21">
      <c r="C68" s="2510"/>
      <c r="D68" s="2510"/>
      <c r="E68" s="2510"/>
      <c r="F68" s="2510"/>
      <c r="G68" s="2510"/>
      <c r="H68" s="2510"/>
      <c r="I68" s="2510"/>
      <c r="J68" s="2510"/>
      <c r="K68" s="2510"/>
      <c r="L68" s="2510"/>
      <c r="M68" s="2510"/>
      <c r="N68" s="2510"/>
      <c r="O68" s="2510"/>
      <c r="P68" s="2510"/>
      <c r="Q68" s="2510"/>
      <c r="R68" s="2510"/>
      <c r="S68" s="2510"/>
      <c r="T68" s="2510"/>
      <c r="U68" s="2510"/>
    </row>
    <row r="69" spans="3:21">
      <c r="C69" s="2510"/>
      <c r="D69" s="2510"/>
      <c r="E69" s="2510"/>
      <c r="F69" s="2510"/>
      <c r="G69" s="2510"/>
      <c r="H69" s="2510"/>
      <c r="I69" s="2510"/>
      <c r="J69" s="2510"/>
      <c r="K69" s="2510"/>
      <c r="L69" s="2510"/>
      <c r="M69" s="2510"/>
      <c r="N69" s="2510"/>
      <c r="O69" s="2510"/>
      <c r="P69" s="2510"/>
      <c r="Q69" s="2510"/>
      <c r="R69" s="2510"/>
      <c r="S69" s="2510"/>
      <c r="T69" s="2510"/>
      <c r="U69" s="2510"/>
    </row>
    <row r="70" spans="3:21">
      <c r="C70" s="2510"/>
      <c r="D70" s="2510"/>
      <c r="E70" s="2510"/>
      <c r="F70" s="2510"/>
      <c r="G70" s="2510"/>
      <c r="H70" s="2510"/>
      <c r="I70" s="2510"/>
      <c r="J70" s="2510"/>
      <c r="K70" s="2510"/>
      <c r="L70" s="2510"/>
      <c r="M70" s="2510"/>
      <c r="N70" s="2510"/>
      <c r="O70" s="2510"/>
      <c r="P70" s="2510"/>
      <c r="Q70" s="2510"/>
      <c r="R70" s="2510"/>
      <c r="S70" s="2510"/>
      <c r="T70" s="2510"/>
      <c r="U70" s="2510"/>
    </row>
    <row r="71" spans="3:21">
      <c r="C71" s="2510"/>
      <c r="D71" s="2510"/>
      <c r="E71" s="2510"/>
      <c r="F71" s="2510"/>
      <c r="G71" s="2510"/>
      <c r="H71" s="2510"/>
      <c r="I71" s="2510"/>
      <c r="J71" s="2510"/>
      <c r="K71" s="2510"/>
      <c r="L71" s="2510"/>
      <c r="M71" s="2510"/>
      <c r="N71" s="2510"/>
      <c r="O71" s="2510"/>
      <c r="P71" s="2510"/>
      <c r="Q71" s="2510"/>
      <c r="R71" s="2510"/>
      <c r="S71" s="2510"/>
      <c r="T71" s="2510"/>
      <c r="U71" s="2510"/>
    </row>
    <row r="72" spans="3:21">
      <c r="C72" s="2510"/>
      <c r="D72" s="2510"/>
      <c r="E72" s="2510"/>
      <c r="F72" s="2510"/>
      <c r="G72" s="2510"/>
      <c r="H72" s="2510"/>
      <c r="I72" s="2510"/>
      <c r="J72" s="2510"/>
      <c r="K72" s="2510"/>
      <c r="L72" s="2510"/>
      <c r="M72" s="2510"/>
      <c r="N72" s="2510"/>
      <c r="O72" s="2510"/>
      <c r="P72" s="2510"/>
      <c r="Q72" s="2510"/>
      <c r="R72" s="2510"/>
      <c r="S72" s="2510"/>
      <c r="T72" s="2510"/>
      <c r="U72" s="2510"/>
    </row>
    <row r="73" spans="3:21">
      <c r="C73" s="2510"/>
      <c r="D73" s="2510"/>
      <c r="E73" s="2510"/>
      <c r="F73" s="2510"/>
      <c r="G73" s="2510"/>
      <c r="H73" s="2510"/>
      <c r="I73" s="2510"/>
      <c r="J73" s="2510"/>
      <c r="K73" s="2510"/>
      <c r="L73" s="2510"/>
      <c r="M73" s="2510"/>
      <c r="N73" s="2510"/>
      <c r="O73" s="2510"/>
      <c r="P73" s="2510"/>
      <c r="Q73" s="2510"/>
      <c r="R73" s="2510"/>
      <c r="S73" s="2510"/>
      <c r="T73" s="2510"/>
      <c r="U73" s="2510"/>
    </row>
    <row r="74" spans="3:21">
      <c r="C74" s="2510"/>
      <c r="D74" s="2510"/>
      <c r="E74" s="2510"/>
      <c r="F74" s="2510"/>
      <c r="G74" s="2510"/>
      <c r="H74" s="2510"/>
      <c r="I74" s="2510"/>
      <c r="J74" s="2510"/>
      <c r="K74" s="2510"/>
      <c r="L74" s="2510"/>
      <c r="M74" s="2510"/>
      <c r="N74" s="2510"/>
      <c r="O74" s="2510"/>
      <c r="P74" s="2510"/>
      <c r="Q74" s="2510"/>
      <c r="R74" s="2510"/>
      <c r="S74" s="2510"/>
      <c r="T74" s="2510"/>
      <c r="U74" s="2510"/>
    </row>
    <row r="75" spans="3:21">
      <c r="C75" s="2510"/>
      <c r="D75" s="2510"/>
      <c r="E75" s="2510"/>
      <c r="F75" s="2510"/>
      <c r="G75" s="2510"/>
      <c r="H75" s="2510"/>
      <c r="I75" s="2510"/>
      <c r="J75" s="2510"/>
      <c r="K75" s="2510"/>
      <c r="L75" s="2510"/>
      <c r="M75" s="2510"/>
      <c r="N75" s="2510"/>
      <c r="O75" s="2510"/>
      <c r="P75" s="2510"/>
      <c r="Q75" s="2510"/>
      <c r="R75" s="2510"/>
      <c r="S75" s="2510"/>
      <c r="T75" s="2510"/>
      <c r="U75" s="2510"/>
    </row>
    <row r="76" spans="3:21">
      <c r="C76" s="2510"/>
      <c r="D76" s="2510"/>
      <c r="E76" s="2510"/>
      <c r="F76" s="2510"/>
      <c r="G76" s="2510"/>
      <c r="H76" s="2510"/>
      <c r="I76" s="2510"/>
      <c r="J76" s="2510"/>
      <c r="K76" s="2510"/>
      <c r="L76" s="2510"/>
      <c r="M76" s="2510"/>
      <c r="N76" s="2510"/>
      <c r="O76" s="2510"/>
      <c r="P76" s="2510"/>
      <c r="Q76" s="2510"/>
      <c r="R76" s="2510"/>
      <c r="S76" s="2510"/>
      <c r="T76" s="2510"/>
      <c r="U76" s="2510"/>
    </row>
    <row r="77" spans="3:21">
      <c r="C77" s="2510"/>
      <c r="D77" s="2510"/>
      <c r="E77" s="2510"/>
      <c r="F77" s="2510"/>
      <c r="G77" s="2510"/>
      <c r="H77" s="2510"/>
      <c r="I77" s="2510"/>
      <c r="J77" s="2510"/>
      <c r="K77" s="2510"/>
      <c r="L77" s="2510"/>
      <c r="M77" s="2510"/>
      <c r="N77" s="2510"/>
      <c r="O77" s="2510"/>
      <c r="P77" s="2510"/>
      <c r="Q77" s="2510"/>
      <c r="R77" s="2510"/>
      <c r="S77" s="2510"/>
      <c r="T77" s="2510"/>
      <c r="U77" s="2510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3" firstPageNumber="74" fitToWidth="0" fitToHeight="0" orientation="portrait" useFirstPageNumber="1" r:id="rId1"/>
  <headerFooter differentOddEven="1" scaleWithDoc="0" alignWithMargins="0"/>
  <colBreaks count="1" manualBreakCount="1">
    <brk id="11" max="37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1116-146B-4D3A-9F39-720434DD7ADA}">
  <sheetPr>
    <tabColor rgb="FF00B050"/>
  </sheetPr>
  <dimension ref="B4"/>
  <sheetViews>
    <sheetView view="pageBreakPreview" zoomScale="85" zoomScaleNormal="100" zoomScaleSheetLayoutView="85" workbookViewId="0"/>
  </sheetViews>
  <sheetFormatPr defaultColWidth="10" defaultRowHeight="13.5"/>
  <cols>
    <col min="1" max="16384" width="10" style="2123"/>
  </cols>
  <sheetData>
    <row r="4" spans="2:2" ht="27">
      <c r="B4" s="2122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r:id="rId1"/>
  <headerFooter differentOddEven="1" scaleWithDoc="0"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D583-E223-4F92-962E-0B5F4EB5B5F0}">
  <sheetPr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263"/>
    <col min="3" max="3" width="6" style="263" customWidth="1"/>
    <col min="4" max="4" width="7.125" style="263" customWidth="1"/>
    <col min="5" max="5" width="19" style="263" customWidth="1"/>
    <col min="6" max="6" width="33.75" style="263" customWidth="1"/>
    <col min="7" max="16384" width="10" style="263"/>
  </cols>
  <sheetData>
    <row r="1" spans="3:6" ht="206.25" customHeight="1"/>
    <row r="2" spans="3:6" ht="7.5" customHeight="1">
      <c r="C2" s="264" t="s">
        <v>0</v>
      </c>
      <c r="D2" s="264" t="s">
        <v>0</v>
      </c>
      <c r="E2" s="265" t="s">
        <v>0</v>
      </c>
      <c r="F2" s="266" t="s">
        <v>0</v>
      </c>
    </row>
    <row r="3" spans="3:6" ht="8.25" customHeight="1"/>
    <row r="4" spans="3:6" ht="39">
      <c r="D4" s="267" t="s">
        <v>1307</v>
      </c>
    </row>
    <row r="6" spans="3:6" ht="30" customHeight="1">
      <c r="E6" s="268" t="s">
        <v>1308</v>
      </c>
    </row>
    <row r="7" spans="3:6" ht="9.9499999999999993" customHeight="1">
      <c r="E7" s="268"/>
    </row>
    <row r="8" spans="3:6" ht="30" customHeight="1">
      <c r="E8" s="268" t="s">
        <v>1309</v>
      </c>
    </row>
    <row r="9" spans="3:6" ht="9.9499999999999993" customHeight="1"/>
    <row r="10" spans="3:6" ht="30" customHeight="1">
      <c r="E10" s="2124"/>
    </row>
    <row r="11" spans="3:6" ht="9.9499999999999993" customHeight="1"/>
    <row r="12" spans="3:6" ht="30" customHeight="1">
      <c r="E12" s="2124"/>
    </row>
    <row r="13" spans="3:6" ht="9.9499999999999993" customHeight="1"/>
    <row r="14" spans="3:6" ht="30" customHeight="1">
      <c r="E14" s="2124"/>
    </row>
    <row r="15" spans="3:6" ht="9.9499999999999993" customHeight="1"/>
    <row r="16" spans="3:6" ht="30" customHeight="1">
      <c r="E16" s="2124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74" firstPageNumber="38" orientation="portrait" r:id="rId1"/>
  <headerFooter differentOddEven="1"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E1C4-733F-4002-9ED3-E02593A42E86}">
  <sheetPr>
    <tabColor rgb="FF00B0F0"/>
  </sheetPr>
  <dimension ref="A1:S650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 activeCell="B4" sqref="B4:B5"/>
    </sheetView>
  </sheetViews>
  <sheetFormatPr defaultColWidth="0" defaultRowHeight="13.5"/>
  <cols>
    <col min="1" max="1" width="9.375" style="272" customWidth="1"/>
    <col min="2" max="4" width="7.875" style="272" customWidth="1"/>
    <col min="5" max="5" width="8.875" style="272" customWidth="1"/>
    <col min="6" max="6" width="5.25" style="272" customWidth="1"/>
    <col min="7" max="7" width="7.875" style="272" customWidth="1"/>
    <col min="8" max="8" width="6.5" style="272" customWidth="1"/>
    <col min="9" max="9" width="6.375" style="272" customWidth="1"/>
    <col min="10" max="10" width="6.5" style="272" customWidth="1"/>
    <col min="11" max="13" width="6.375" style="272" customWidth="1"/>
    <col min="14" max="14" width="12" style="272" bestFit="1" customWidth="1"/>
    <col min="15" max="15" width="7.875" style="272" customWidth="1"/>
    <col min="16" max="16" width="10.625" style="1387" bestFit="1" customWidth="1"/>
    <col min="17" max="17" width="12.875" style="2511" bestFit="1" customWidth="1"/>
    <col min="18" max="18" width="9.625" style="272" bestFit="1" customWidth="1"/>
    <col min="19" max="19" width="6.375" style="272" bestFit="1" customWidth="1"/>
    <col min="20" max="20" width="7.875" style="272" customWidth="1"/>
    <col min="21" max="21" width="6.25" style="272" bestFit="1" customWidth="1"/>
    <col min="22" max="23" width="15" style="272" bestFit="1" customWidth="1"/>
    <col min="24" max="24" width="14.875" style="272" customWidth="1"/>
    <col min="25" max="25" width="7.375" style="272" bestFit="1" customWidth="1"/>
    <col min="26" max="27" width="7.875" style="272" customWidth="1"/>
    <col min="28" max="28" width="1.125" style="272" customWidth="1"/>
    <col min="29" max="35" width="7.875" style="272" customWidth="1"/>
    <col min="36" max="36" width="7.75" style="272" customWidth="1"/>
    <col min="37" max="48" width="7.875" style="272" customWidth="1"/>
    <col min="49" max="49" width="4.75" style="272" customWidth="1"/>
    <col min="50" max="57" width="7.875" style="272" customWidth="1"/>
    <col min="58" max="58" width="5.75" style="272" customWidth="1"/>
    <col min="59" max="65" width="7.875" style="272" customWidth="1"/>
    <col min="66" max="66" width="4.125" style="272" customWidth="1"/>
    <col min="67" max="81" width="7.875" style="272" customWidth="1"/>
    <col min="82" max="82" width="6" style="272" customWidth="1"/>
    <col min="83" max="84" width="7.875" style="272" customWidth="1"/>
    <col min="85" max="85" width="6" style="272" customWidth="1"/>
    <col min="86" max="93" width="7.875" style="272" customWidth="1"/>
    <col min="94" max="94" width="2.875" style="272" customWidth="1"/>
    <col min="95" max="98" width="7.875" style="272" customWidth="1"/>
    <col min="99" max="99" width="2" style="272" customWidth="1"/>
    <col min="100" max="112" width="7.875" style="272" customWidth="1"/>
    <col min="113" max="113" width="2" style="272" customWidth="1"/>
    <col min="114" max="114" width="7.875" style="272" customWidth="1"/>
    <col min="115" max="115" width="3.625" style="272" customWidth="1"/>
    <col min="116" max="125" width="7.875" style="272" customWidth="1"/>
    <col min="126" max="126" width="5.5" style="272" customWidth="1"/>
    <col min="127" max="129" width="7.875" style="272" customWidth="1"/>
    <col min="130" max="130" width="7.125" style="272" customWidth="1"/>
    <col min="131" max="139" width="7.875" style="272" customWidth="1"/>
    <col min="140" max="140" width="6.375" style="272" customWidth="1"/>
    <col min="141" max="143" width="7.875" style="272" customWidth="1"/>
    <col min="144" max="144" width="1.875" style="272" customWidth="1"/>
    <col min="145" max="154" width="7.875" style="272" customWidth="1"/>
    <col min="155" max="155" width="1.125" style="272" customWidth="1"/>
    <col min="156" max="213" width="7.875" style="272" customWidth="1"/>
    <col min="214" max="246" width="10" style="272" customWidth="1"/>
    <col min="247" max="16375" width="7.875" style="272" customWidth="1"/>
    <col min="16376" max="16384" width="3.125" style="272" customWidth="1"/>
  </cols>
  <sheetData>
    <row r="1" spans="1:19" ht="20.25">
      <c r="A1" s="270" t="s">
        <v>1310</v>
      </c>
    </row>
    <row r="2" spans="1:19" s="274" customFormat="1" ht="17.25">
      <c r="A2" s="274" t="s">
        <v>1311</v>
      </c>
      <c r="P2" s="1384"/>
      <c r="Q2" s="2512"/>
    </row>
    <row r="3" spans="1:19" ht="15" customHeight="1">
      <c r="M3" s="282" t="s">
        <v>1312</v>
      </c>
      <c r="O3" s="2513"/>
      <c r="P3" s="2511"/>
      <c r="Q3" s="272"/>
    </row>
    <row r="4" spans="1:19" ht="18" customHeight="1">
      <c r="A4" s="250" t="s">
        <v>56</v>
      </c>
      <c r="B4" s="235" t="s">
        <v>1313</v>
      </c>
      <c r="C4" s="237" t="s">
        <v>1314</v>
      </c>
      <c r="D4" s="237" t="s">
        <v>1315</v>
      </c>
      <c r="E4" s="241" t="s">
        <v>57</v>
      </c>
      <c r="F4" s="241"/>
      <c r="G4" s="239" t="s">
        <v>1316</v>
      </c>
      <c r="H4" s="2514" t="s">
        <v>58</v>
      </c>
      <c r="I4" s="2514" t="s">
        <v>59</v>
      </c>
      <c r="J4" s="230" t="s">
        <v>60</v>
      </c>
      <c r="K4" s="230" t="s">
        <v>60</v>
      </c>
      <c r="L4" s="239" t="s">
        <v>1317</v>
      </c>
      <c r="M4" s="2515" t="s">
        <v>1318</v>
      </c>
      <c r="N4" s="627"/>
      <c r="O4" s="2232"/>
      <c r="P4" s="12"/>
      <c r="Q4" s="12"/>
      <c r="R4" s="12"/>
      <c r="S4" s="12"/>
    </row>
    <row r="5" spans="1:19" ht="16.5" customHeight="1">
      <c r="A5" s="251"/>
      <c r="B5" s="236"/>
      <c r="C5" s="238"/>
      <c r="D5" s="238"/>
      <c r="E5" s="238"/>
      <c r="F5" s="238"/>
      <c r="G5" s="240"/>
      <c r="H5" s="2516" t="s">
        <v>63</v>
      </c>
      <c r="I5" s="2516" t="s">
        <v>64</v>
      </c>
      <c r="J5" s="231" t="s">
        <v>63</v>
      </c>
      <c r="K5" s="231" t="s">
        <v>64</v>
      </c>
      <c r="L5" s="240"/>
      <c r="M5" s="2517"/>
      <c r="N5" s="627"/>
      <c r="O5" s="2232"/>
      <c r="P5" s="12"/>
      <c r="Q5" s="12"/>
      <c r="R5" s="12"/>
      <c r="S5" s="12"/>
    </row>
    <row r="6" spans="1:19" ht="21.95" customHeight="1">
      <c r="A6" s="2518">
        <v>2014</v>
      </c>
      <c r="B6" s="2519">
        <v>93216</v>
      </c>
      <c r="C6" s="2520">
        <v>89357</v>
      </c>
      <c r="D6" s="2520">
        <v>80154</v>
      </c>
      <c r="E6" s="508" t="s">
        <v>1319</v>
      </c>
      <c r="F6" s="2521">
        <v>0.45833333333333331</v>
      </c>
      <c r="G6" s="2522">
        <v>59585.719531621005</v>
      </c>
      <c r="H6" s="2522">
        <v>13062</v>
      </c>
      <c r="I6" s="2523">
        <v>16.296129949846545</v>
      </c>
      <c r="J6" s="2522">
        <v>9203</v>
      </c>
      <c r="K6" s="2524">
        <v>11.481647827931232</v>
      </c>
      <c r="L6" s="2524">
        <v>74.339046749533395</v>
      </c>
      <c r="M6" s="2525">
        <v>63.922369655507545</v>
      </c>
      <c r="N6" s="2526"/>
      <c r="O6" s="2232"/>
      <c r="P6" s="12"/>
      <c r="Q6" s="12"/>
      <c r="R6" s="12"/>
      <c r="S6" s="12"/>
    </row>
    <row r="7" spans="1:19" ht="21.95" customHeight="1">
      <c r="A7" s="2518">
        <v>2015</v>
      </c>
      <c r="B7" s="2519">
        <v>94102</v>
      </c>
      <c r="C7" s="2520">
        <v>87926</v>
      </c>
      <c r="D7" s="2520">
        <v>78790</v>
      </c>
      <c r="E7" s="508" t="s">
        <v>1320</v>
      </c>
      <c r="F7" s="2527">
        <v>0.45833333333333331</v>
      </c>
      <c r="G7" s="2528">
        <v>60284.382725246578</v>
      </c>
      <c r="H7" s="2528">
        <v>15312</v>
      </c>
      <c r="I7" s="2529">
        <v>19.43393831704531</v>
      </c>
      <c r="J7" s="2528">
        <v>9136</v>
      </c>
      <c r="K7" s="2530">
        <v>11.595380124381267</v>
      </c>
      <c r="L7" s="2530">
        <v>76.512733500757179</v>
      </c>
      <c r="M7" s="2531">
        <v>61.735942005226285</v>
      </c>
      <c r="N7" s="2532"/>
      <c r="O7" s="2232"/>
      <c r="P7" s="12"/>
      <c r="Q7" s="12"/>
      <c r="R7" s="12"/>
      <c r="S7" s="12"/>
    </row>
    <row r="8" spans="1:19" s="12" customFormat="1" ht="21.95" customHeight="1">
      <c r="A8" s="2518">
        <v>2016</v>
      </c>
      <c r="B8" s="2519">
        <v>100179.5</v>
      </c>
      <c r="C8" s="2520">
        <v>92395</v>
      </c>
      <c r="D8" s="2520">
        <v>85183</v>
      </c>
      <c r="E8" s="508" t="s">
        <v>1321</v>
      </c>
      <c r="F8" s="2527">
        <v>0.70833333333333337</v>
      </c>
      <c r="G8" s="2528">
        <v>61694.251078169298</v>
      </c>
      <c r="H8" s="2528">
        <v>14996.5</v>
      </c>
      <c r="I8" s="2529">
        <v>17.605038564032728</v>
      </c>
      <c r="J8" s="2528">
        <v>7142</v>
      </c>
      <c r="K8" s="2530">
        <v>8.3843020320956061</v>
      </c>
      <c r="L8" s="2530">
        <v>72.425543920934103</v>
      </c>
      <c r="M8" s="2531">
        <v>58.27603686325201</v>
      </c>
      <c r="O8" s="2533"/>
      <c r="P8" s="1465"/>
      <c r="Q8" s="1465"/>
      <c r="R8" s="1465"/>
      <c r="S8" s="1465"/>
    </row>
    <row r="9" spans="1:19" s="12" customFormat="1" ht="21.95" customHeight="1">
      <c r="A9" s="2518">
        <v>2017</v>
      </c>
      <c r="B9" s="2519">
        <v>116657</v>
      </c>
      <c r="C9" s="2520">
        <v>96095</v>
      </c>
      <c r="D9" s="2520">
        <v>85133</v>
      </c>
      <c r="E9" s="508" t="s">
        <v>1322</v>
      </c>
      <c r="F9" s="2527">
        <v>0.41666666666666669</v>
      </c>
      <c r="G9" s="2528">
        <v>63188.368492713475</v>
      </c>
      <c r="H9" s="2528">
        <v>31524</v>
      </c>
      <c r="I9" s="2529">
        <v>37.02911914298803</v>
      </c>
      <c r="J9" s="2528">
        <v>10962</v>
      </c>
      <c r="K9" s="2530">
        <v>12.876322930003642</v>
      </c>
      <c r="L9" s="2530">
        <v>74.223119698252702</v>
      </c>
      <c r="M9" s="2531">
        <v>54.049819115513145</v>
      </c>
      <c r="O9" s="2533"/>
      <c r="P9" s="1465"/>
      <c r="Q9" s="1465"/>
      <c r="R9" s="1465"/>
      <c r="S9" s="1465"/>
    </row>
    <row r="10" spans="1:19" s="12" customFormat="1" ht="21.95" customHeight="1">
      <c r="A10" s="2518">
        <v>2018</v>
      </c>
      <c r="B10" s="2534">
        <v>117205</v>
      </c>
      <c r="C10" s="2522">
        <v>99570</v>
      </c>
      <c r="D10" s="2522">
        <v>92478</v>
      </c>
      <c r="E10" s="508" t="s">
        <v>1323</v>
      </c>
      <c r="F10" s="2535">
        <v>0.70833333333333337</v>
      </c>
      <c r="G10" s="2522">
        <v>65142.295274399556</v>
      </c>
      <c r="H10" s="2522">
        <v>24727</v>
      </c>
      <c r="I10" s="2523">
        <v>26.738251259759078</v>
      </c>
      <c r="J10" s="2522">
        <v>7092</v>
      </c>
      <c r="K10" s="2524">
        <v>7.6688509699604221</v>
      </c>
      <c r="L10" s="2524">
        <v>70.440856500356361</v>
      </c>
      <c r="M10" s="2525">
        <v>54.699292355484467</v>
      </c>
      <c r="O10" s="2533"/>
      <c r="P10" s="1465"/>
      <c r="Q10" s="1465"/>
      <c r="R10" s="1465"/>
      <c r="S10" s="1465"/>
    </row>
    <row r="11" spans="1:19" s="12" customFormat="1" ht="21.95" customHeight="1">
      <c r="A11" s="2518">
        <v>2019</v>
      </c>
      <c r="B11" s="2534">
        <v>122973</v>
      </c>
      <c r="C11" s="2522">
        <v>96389</v>
      </c>
      <c r="D11" s="2522">
        <v>90314</v>
      </c>
      <c r="E11" s="508" t="s">
        <v>1324</v>
      </c>
      <c r="F11" s="2535">
        <v>0.70833333333333337</v>
      </c>
      <c r="G11" s="2522">
        <v>64274.007534246579</v>
      </c>
      <c r="H11" s="2522">
        <v>32659</v>
      </c>
      <c r="I11" s="2523">
        <v>36.161613924751421</v>
      </c>
      <c r="J11" s="2522">
        <v>6075</v>
      </c>
      <c r="K11" s="2524">
        <v>6.7265318776712366</v>
      </c>
      <c r="L11" s="2524">
        <v>71.154054681672278</v>
      </c>
      <c r="M11" s="2525">
        <v>51.271156913892739</v>
      </c>
      <c r="O11" s="2533"/>
      <c r="P11" s="1465"/>
      <c r="Q11" s="1465"/>
      <c r="R11" s="1465"/>
      <c r="S11" s="1465"/>
    </row>
    <row r="12" spans="1:19" s="12" customFormat="1" ht="21.95" customHeight="1">
      <c r="A12" s="2536">
        <v>2020</v>
      </c>
      <c r="B12" s="2519">
        <v>127819</v>
      </c>
      <c r="C12" s="2520">
        <v>97951</v>
      </c>
      <c r="D12" s="2520">
        <v>89091</v>
      </c>
      <c r="E12" s="471" t="s">
        <v>1325</v>
      </c>
      <c r="F12" s="2527">
        <v>0.625</v>
      </c>
      <c r="G12" s="2528">
        <v>62859.990892531874</v>
      </c>
      <c r="H12" s="2528">
        <v>38728</v>
      </c>
      <c r="I12" s="2529">
        <v>43.470159724326813</v>
      </c>
      <c r="J12" s="2528">
        <v>8860</v>
      </c>
      <c r="K12" s="2530">
        <v>9.9448878113389672</v>
      </c>
      <c r="L12" s="2530">
        <v>70.55018820015367</v>
      </c>
      <c r="M12" s="2531">
        <v>48.651791030342203</v>
      </c>
      <c r="O12" s="2533"/>
      <c r="P12" s="1465"/>
      <c r="Q12" s="1465"/>
      <c r="R12" s="1465"/>
      <c r="S12" s="1465"/>
    </row>
    <row r="13" spans="1:19" s="1465" customFormat="1" ht="21.95" customHeight="1">
      <c r="A13" s="2536">
        <v>2021</v>
      </c>
      <c r="B13" s="2537">
        <v>131330</v>
      </c>
      <c r="C13" s="2520">
        <v>100739</v>
      </c>
      <c r="D13" s="2519">
        <v>91141</v>
      </c>
      <c r="E13" s="471" t="s">
        <v>1326</v>
      </c>
      <c r="F13" s="2527">
        <v>0.75</v>
      </c>
      <c r="G13" s="2528">
        <v>65845.83222576484</v>
      </c>
      <c r="H13" s="2528">
        <v>40189</v>
      </c>
      <c r="I13" s="2529">
        <v>44.095412602451148</v>
      </c>
      <c r="J13" s="2528">
        <v>9598</v>
      </c>
      <c r="K13" s="2530">
        <v>10.530935583326933</v>
      </c>
      <c r="L13" s="2530">
        <v>72.234643180953157</v>
      </c>
      <c r="M13" s="2531">
        <v>49.123628316457413</v>
      </c>
      <c r="O13" s="2533"/>
    </row>
    <row r="14" spans="1:19" s="1465" customFormat="1" ht="21.95" customHeight="1">
      <c r="A14" s="2536">
        <v>2022</v>
      </c>
      <c r="B14" s="2519">
        <v>137938</v>
      </c>
      <c r="C14" s="2520">
        <v>105628</v>
      </c>
      <c r="D14" s="2520">
        <v>94509</v>
      </c>
      <c r="E14" s="471" t="s">
        <v>1345</v>
      </c>
      <c r="F14" s="2521">
        <v>0.45833333333333331</v>
      </c>
      <c r="G14" s="2520">
        <v>67853.922921921694</v>
      </c>
      <c r="H14" s="2520">
        <v>43429</v>
      </c>
      <c r="I14" s="2538">
        <v>45.952237353056326</v>
      </c>
      <c r="J14" s="2520">
        <v>11119</v>
      </c>
      <c r="K14" s="2538">
        <v>11.765017088319631</v>
      </c>
      <c r="L14" s="2538">
        <v>71.796255300470534</v>
      </c>
      <c r="M14" s="2539">
        <v>49.100215933240406</v>
      </c>
      <c r="O14" s="2533"/>
    </row>
    <row r="15" spans="1:19" s="1465" customFormat="1" ht="21.95" customHeight="1">
      <c r="A15" s="2536">
        <v>2023</v>
      </c>
      <c r="B15" s="2540">
        <v>142567</v>
      </c>
      <c r="C15" s="2520">
        <v>104297</v>
      </c>
      <c r="D15" s="2520">
        <v>93615</v>
      </c>
      <c r="E15" s="471" t="s">
        <v>1344</v>
      </c>
      <c r="F15" s="2541">
        <v>0.70833333333333337</v>
      </c>
      <c r="G15" s="2520">
        <v>67128.596290934816</v>
      </c>
      <c r="H15" s="2520">
        <v>48952</v>
      </c>
      <c r="I15" s="2542">
        <v>52.290765368797729</v>
      </c>
      <c r="J15" s="2520">
        <v>10682</v>
      </c>
      <c r="K15" s="2542">
        <v>11.410564546279977</v>
      </c>
      <c r="L15" s="2542">
        <v>71.707094259397337</v>
      </c>
      <c r="M15" s="2543">
        <v>46.481217447878898</v>
      </c>
      <c r="O15" s="2533"/>
    </row>
    <row r="16" spans="1:19" s="1465" customFormat="1" ht="21.95" customHeight="1">
      <c r="A16" s="2536">
        <v>2024</v>
      </c>
      <c r="B16" s="2540">
        <v>149179</v>
      </c>
      <c r="C16" s="2520">
        <v>105360</v>
      </c>
      <c r="D16" s="2520">
        <v>97115</v>
      </c>
      <c r="E16" s="471" t="s">
        <v>1343</v>
      </c>
      <c r="F16" s="2541">
        <v>0.70833333333333337</v>
      </c>
      <c r="G16" s="2520">
        <v>67805.177996699902</v>
      </c>
      <c r="H16" s="2520">
        <v>52064</v>
      </c>
      <c r="I16" s="2542">
        <v>53.61066776502085</v>
      </c>
      <c r="J16" s="2520">
        <v>8245</v>
      </c>
      <c r="K16" s="2542">
        <v>8.489934613602431</v>
      </c>
      <c r="L16" s="2542">
        <v>69.819469697471973</v>
      </c>
      <c r="M16" s="2543">
        <v>44.296494035964812</v>
      </c>
      <c r="O16" s="2533"/>
    </row>
    <row r="17" spans="1:19" s="1465" customFormat="1" ht="21.95" customHeight="1">
      <c r="A17" s="2544">
        <v>2025</v>
      </c>
      <c r="B17" s="2545">
        <v>155385</v>
      </c>
      <c r="C17" s="2545">
        <v>105011</v>
      </c>
      <c r="D17" s="2545">
        <v>95951</v>
      </c>
      <c r="E17" s="2546" t="s">
        <v>1468</v>
      </c>
      <c r="F17" s="2547">
        <v>0.75</v>
      </c>
      <c r="G17" s="2548">
        <v>67996.465683534829</v>
      </c>
      <c r="H17" s="2548">
        <v>59434</v>
      </c>
      <c r="I17" s="2549">
        <v>61.942032912632492</v>
      </c>
      <c r="J17" s="2550">
        <v>9060</v>
      </c>
      <c r="K17" s="2549">
        <v>9.4423195172535994</v>
      </c>
      <c r="L17" s="2549">
        <v>70.8658228507622</v>
      </c>
      <c r="M17" s="2551">
        <v>43.43080778093325</v>
      </c>
      <c r="O17" s="2533"/>
    </row>
    <row r="18" spans="1:19" s="1465" customFormat="1" ht="23.1" customHeight="1">
      <c r="A18" s="2552" t="s">
        <v>1469</v>
      </c>
      <c r="B18" s="2553">
        <v>152827</v>
      </c>
      <c r="C18" s="2553">
        <v>111539</v>
      </c>
      <c r="D18" s="2553">
        <v>90705</v>
      </c>
      <c r="E18" s="2554" t="s">
        <v>129</v>
      </c>
      <c r="F18" s="2555">
        <v>0.70833333333333337</v>
      </c>
      <c r="G18" s="2556">
        <v>67575.092606689577</v>
      </c>
      <c r="H18" s="2556">
        <v>62122</v>
      </c>
      <c r="I18" s="2557">
        <v>68.487955460007726</v>
      </c>
      <c r="J18" s="2558">
        <v>20834</v>
      </c>
      <c r="K18" s="2557">
        <v>22.968965327159474</v>
      </c>
      <c r="L18" s="2557">
        <v>74.499854039677615</v>
      </c>
      <c r="M18" s="2559">
        <v>43.793903797884077</v>
      </c>
      <c r="O18" s="349"/>
      <c r="R18" s="349"/>
      <c r="S18" s="349"/>
    </row>
    <row r="19" spans="1:19" s="1465" customFormat="1" ht="23.1" customHeight="1">
      <c r="A19" s="2560" t="s">
        <v>137</v>
      </c>
      <c r="B19" s="2561">
        <v>153931</v>
      </c>
      <c r="C19" s="2561">
        <v>86002</v>
      </c>
      <c r="D19" s="2561">
        <v>71667</v>
      </c>
      <c r="E19" s="2562" t="s">
        <v>1470</v>
      </c>
      <c r="F19" s="2563">
        <v>0.70833333333333337</v>
      </c>
      <c r="G19" s="2564">
        <v>61863.04209835278</v>
      </c>
      <c r="H19" s="2564">
        <v>82264</v>
      </c>
      <c r="I19" s="2565">
        <v>114.78644285375417</v>
      </c>
      <c r="J19" s="2566">
        <v>14335</v>
      </c>
      <c r="K19" s="2565">
        <v>20.00223254775559</v>
      </c>
      <c r="L19" s="2565">
        <v>86.320122369225416</v>
      </c>
      <c r="M19" s="2567">
        <v>40.092051816611431</v>
      </c>
      <c r="O19" s="349"/>
      <c r="R19" s="349"/>
      <c r="S19" s="349"/>
    </row>
    <row r="20" spans="1:19" s="1465" customFormat="1" ht="23.1" customHeight="1">
      <c r="A20" s="2560" t="s">
        <v>1335</v>
      </c>
      <c r="B20" s="2561">
        <v>154557</v>
      </c>
      <c r="C20" s="2561">
        <v>82818</v>
      </c>
      <c r="D20" s="2561">
        <v>74239</v>
      </c>
      <c r="E20" s="2562" t="s">
        <v>1471</v>
      </c>
      <c r="F20" s="2563">
        <v>0.70833333333333337</v>
      </c>
      <c r="G20" s="2564">
        <v>61031.769324697583</v>
      </c>
      <c r="H20" s="2564">
        <v>80318</v>
      </c>
      <c r="I20" s="2565">
        <v>108.18841848624039</v>
      </c>
      <c r="J20" s="2566">
        <v>8579</v>
      </c>
      <c r="K20" s="2565">
        <v>11.555920742466897</v>
      </c>
      <c r="L20" s="2565">
        <v>82.209848360966049</v>
      </c>
      <c r="M20" s="2567">
        <v>39.458646490923428</v>
      </c>
      <c r="O20" s="349"/>
      <c r="R20" s="349"/>
      <c r="S20" s="349"/>
    </row>
    <row r="21" spans="1:19" s="1465" customFormat="1" ht="23.1" customHeight="1">
      <c r="A21" s="2560" t="s">
        <v>1336</v>
      </c>
      <c r="B21" s="2561">
        <v>154917</v>
      </c>
      <c r="C21" s="2561">
        <v>99615</v>
      </c>
      <c r="D21" s="2561">
        <v>85599</v>
      </c>
      <c r="E21" s="2562" t="s">
        <v>1472</v>
      </c>
      <c r="F21" s="2563">
        <v>0.79166666666666663</v>
      </c>
      <c r="G21" s="2564">
        <v>65986.921445144442</v>
      </c>
      <c r="H21" s="2564">
        <v>69318</v>
      </c>
      <c r="I21" s="2565">
        <v>80.979917989696133</v>
      </c>
      <c r="J21" s="2566">
        <v>14016</v>
      </c>
      <c r="K21" s="2565">
        <v>16.374023061017066</v>
      </c>
      <c r="L21" s="2565">
        <v>77.088425618458672</v>
      </c>
      <c r="M21" s="2567">
        <v>42.5846918476837</v>
      </c>
      <c r="O21" s="349"/>
      <c r="R21" s="349"/>
      <c r="S21" s="349"/>
    </row>
    <row r="22" spans="1:19" s="1465" customFormat="1" ht="23.1" customHeight="1">
      <c r="A22" s="2560" t="s">
        <v>1337</v>
      </c>
      <c r="B22" s="2561">
        <v>154955</v>
      </c>
      <c r="C22" s="2561">
        <v>105151</v>
      </c>
      <c r="D22" s="2561">
        <v>95675</v>
      </c>
      <c r="E22" s="2562" t="s">
        <v>1473</v>
      </c>
      <c r="F22" s="2563">
        <v>0.75</v>
      </c>
      <c r="G22" s="2564">
        <v>76805.329760712368</v>
      </c>
      <c r="H22" s="2564">
        <v>59280</v>
      </c>
      <c r="I22" s="2565">
        <v>61.959759602822054</v>
      </c>
      <c r="J22" s="2566">
        <v>9476</v>
      </c>
      <c r="K22" s="2565">
        <v>9.9043637313822828</v>
      </c>
      <c r="L22" s="2565">
        <v>80.277324024784292</v>
      </c>
      <c r="M22" s="2567">
        <v>49.453455999547892</v>
      </c>
      <c r="O22" s="349"/>
      <c r="R22" s="349"/>
      <c r="S22" s="349"/>
    </row>
    <row r="23" spans="1:19" s="1465" customFormat="1" ht="23.1" customHeight="1">
      <c r="A23" s="2560" t="s">
        <v>1338</v>
      </c>
      <c r="B23" s="2561">
        <v>155385</v>
      </c>
      <c r="C23" s="2561">
        <v>105011</v>
      </c>
      <c r="D23" s="2561">
        <v>95951</v>
      </c>
      <c r="E23" s="2562" t="s">
        <v>1468</v>
      </c>
      <c r="F23" s="2563">
        <v>0.75</v>
      </c>
      <c r="G23" s="2564">
        <v>76831.020389818543</v>
      </c>
      <c r="H23" s="2564">
        <v>59434</v>
      </c>
      <c r="I23" s="2565">
        <v>61.942032912632492</v>
      </c>
      <c r="J23" s="2566">
        <v>9060</v>
      </c>
      <c r="K23" s="2565">
        <v>9.4423195172535994</v>
      </c>
      <c r="L23" s="2565">
        <v>80.07318359352017</v>
      </c>
      <c r="M23" s="2567">
        <v>49.356215366062287</v>
      </c>
      <c r="O23" s="349"/>
      <c r="R23" s="349"/>
      <c r="S23" s="349"/>
    </row>
    <row r="24" spans="1:19" s="1465" customFormat="1" ht="23.1" customHeight="1">
      <c r="A24" s="2560" t="s">
        <v>1339</v>
      </c>
      <c r="B24" s="2561">
        <v>155655</v>
      </c>
      <c r="C24" s="2561">
        <v>100937</v>
      </c>
      <c r="D24" s="2561">
        <v>89532</v>
      </c>
      <c r="E24" s="2562" t="s">
        <v>1474</v>
      </c>
      <c r="F24" s="2563">
        <v>0.70833333333333337</v>
      </c>
      <c r="G24" s="2564">
        <v>70457.425086701391</v>
      </c>
      <c r="H24" s="2564">
        <v>66123</v>
      </c>
      <c r="I24" s="2565">
        <v>73.854041013268997</v>
      </c>
      <c r="J24" s="2566">
        <v>11405</v>
      </c>
      <c r="K24" s="2565">
        <v>12.738462225796363</v>
      </c>
      <c r="L24" s="2565">
        <v>78.695243138432502</v>
      </c>
      <c r="M24" s="2567">
        <v>45.189826518710042</v>
      </c>
      <c r="O24" s="349"/>
      <c r="R24" s="349"/>
      <c r="S24" s="349"/>
    </row>
    <row r="25" spans="1:19" s="1465" customFormat="1" ht="23.1" customHeight="1">
      <c r="A25" s="2560" t="s">
        <v>1340</v>
      </c>
      <c r="B25" s="2561">
        <v>155960</v>
      </c>
      <c r="C25" s="2561">
        <v>86525</v>
      </c>
      <c r="D25" s="2561">
        <v>73212</v>
      </c>
      <c r="E25" s="2562" t="s">
        <v>1475</v>
      </c>
      <c r="F25" s="2563">
        <v>0.70833333333333337</v>
      </c>
      <c r="G25" s="2564">
        <v>60836.255979838708</v>
      </c>
      <c r="H25" s="2564">
        <v>82748</v>
      </c>
      <c r="I25" s="2565">
        <v>113.02518712779326</v>
      </c>
      <c r="J25" s="2566">
        <v>13313</v>
      </c>
      <c r="K25" s="2565">
        <v>18.184177457247447</v>
      </c>
      <c r="L25" s="2565">
        <v>83.096017018847604</v>
      </c>
      <c r="M25" s="2567">
        <v>38.929403839736345</v>
      </c>
      <c r="O25" s="349"/>
      <c r="R25" s="349"/>
      <c r="S25" s="349"/>
    </row>
    <row r="26" spans="1:19" s="1465" customFormat="1" ht="23.1" customHeight="1">
      <c r="A26" s="2560" t="s">
        <v>1341</v>
      </c>
      <c r="B26" s="2561">
        <v>156253</v>
      </c>
      <c r="C26" s="2561">
        <v>95666</v>
      </c>
      <c r="D26" s="2561">
        <v>76163</v>
      </c>
      <c r="E26" s="2562" t="s">
        <v>1476</v>
      </c>
      <c r="F26" s="2563">
        <v>0.75</v>
      </c>
      <c r="G26" s="2564">
        <v>63448.074847222226</v>
      </c>
      <c r="H26" s="2564">
        <v>80090</v>
      </c>
      <c r="I26" s="2565">
        <v>105.1560468994131</v>
      </c>
      <c r="J26" s="2566">
        <v>19503</v>
      </c>
      <c r="K26" s="2565">
        <v>25.606921996244896</v>
      </c>
      <c r="L26" s="2565">
        <v>83.305640333524451</v>
      </c>
      <c r="M26" s="2567">
        <v>40.543904392154836</v>
      </c>
      <c r="O26" s="349"/>
      <c r="R26" s="349"/>
      <c r="S26" s="349"/>
    </row>
    <row r="27" spans="1:19" s="1465" customFormat="1" ht="23.1" customHeight="1">
      <c r="A27" s="2560" t="s">
        <v>1342</v>
      </c>
      <c r="B27" s="2561">
        <v>156637</v>
      </c>
      <c r="C27" s="2561">
        <v>102715</v>
      </c>
      <c r="D27" s="2561">
        <v>82812</v>
      </c>
      <c r="E27" s="2562" t="s">
        <v>1477</v>
      </c>
      <c r="F27" s="2563">
        <v>0.41666666666666669</v>
      </c>
      <c r="G27" s="2564">
        <v>70073.889716397854</v>
      </c>
      <c r="H27" s="2564">
        <v>73825</v>
      </c>
      <c r="I27" s="2565">
        <v>89.14770806163358</v>
      </c>
      <c r="J27" s="2566">
        <v>19903</v>
      </c>
      <c r="K27" s="2565">
        <v>24.033956431435058</v>
      </c>
      <c r="L27" s="2565">
        <v>84.618038106068994</v>
      </c>
      <c r="M27" s="2567">
        <v>44.757703273864912</v>
      </c>
      <c r="O27" s="349"/>
      <c r="R27" s="349"/>
      <c r="S27" s="349"/>
    </row>
    <row r="28" spans="1:19" s="1465" customFormat="1" ht="23.1" customHeight="1">
      <c r="A28" s="2568" t="s">
        <v>1334</v>
      </c>
      <c r="B28" s="2569">
        <v>157285</v>
      </c>
      <c r="C28" s="2553">
        <v>100026</v>
      </c>
      <c r="D28" s="2553">
        <v>88950</v>
      </c>
      <c r="E28" s="2570" t="s">
        <v>130</v>
      </c>
      <c r="F28" s="2555">
        <v>0.41666666666666669</v>
      </c>
      <c r="G28" s="2571">
        <v>67167.819819201395</v>
      </c>
      <c r="H28" s="2553">
        <v>68335</v>
      </c>
      <c r="I28" s="2572">
        <v>76.824058459808882</v>
      </c>
      <c r="J28" s="2553">
        <v>11076</v>
      </c>
      <c r="K28" s="2572">
        <v>12.451939291736931</v>
      </c>
      <c r="L28" s="2573">
        <v>75.511882877123554</v>
      </c>
      <c r="M28" s="2574">
        <v>42.32040423655387</v>
      </c>
      <c r="O28" s="349"/>
      <c r="R28" s="349"/>
      <c r="S28" s="349"/>
    </row>
    <row r="29" spans="1:19" s="1465" customFormat="1" ht="23.1" customHeight="1">
      <c r="A29" s="2575" t="s">
        <v>135</v>
      </c>
      <c r="B29" s="2576">
        <v>157113</v>
      </c>
      <c r="C29" s="2576">
        <v>104185</v>
      </c>
      <c r="D29" s="2576">
        <v>88548</v>
      </c>
      <c r="E29" s="2577" t="s">
        <v>134</v>
      </c>
      <c r="F29" s="2578">
        <v>0.375</v>
      </c>
      <c r="G29" s="2576">
        <v>74125.561267204306</v>
      </c>
      <c r="H29" s="2576">
        <v>68565</v>
      </c>
      <c r="I29" s="2579">
        <v>77.432578940235814</v>
      </c>
      <c r="J29" s="2576">
        <v>15637</v>
      </c>
      <c r="K29" s="2579">
        <v>17.65934860188824</v>
      </c>
      <c r="L29" s="2579">
        <v>83.712293069526481</v>
      </c>
      <c r="M29" s="2579">
        <v>47.128178011676873</v>
      </c>
      <c r="O29" s="349"/>
      <c r="R29" s="349"/>
      <c r="S29" s="349"/>
    </row>
    <row r="30" spans="1:19" s="1465" customFormat="1" ht="23.1" customHeight="1">
      <c r="A30" s="2560" t="s">
        <v>136</v>
      </c>
      <c r="B30" s="2580">
        <v>157285</v>
      </c>
      <c r="C30" s="2580">
        <v>100026</v>
      </c>
      <c r="D30" s="2580">
        <v>88950</v>
      </c>
      <c r="E30" s="2581" t="s">
        <v>130</v>
      </c>
      <c r="F30" s="2582">
        <v>0.41666666666666669</v>
      </c>
      <c r="G30" s="2580">
        <v>68365.487112053568</v>
      </c>
      <c r="H30" s="2580">
        <v>68335</v>
      </c>
      <c r="I30" s="2583">
        <v>76.824058459808882</v>
      </c>
      <c r="J30" s="2580">
        <v>11076</v>
      </c>
      <c r="K30" s="2583">
        <v>12.451939291736931</v>
      </c>
      <c r="L30" s="2583">
        <v>76.858332897193449</v>
      </c>
      <c r="M30" s="2583">
        <v>43.228971998829095</v>
      </c>
      <c r="O30" s="349"/>
      <c r="R30" s="349"/>
      <c r="S30" s="349"/>
    </row>
    <row r="31" spans="1:19" s="1465" customFormat="1" ht="23.1" customHeight="1">
      <c r="A31" s="2560" t="s">
        <v>131</v>
      </c>
      <c r="B31" s="2580">
        <v>158244</v>
      </c>
      <c r="C31" s="2580">
        <v>88072</v>
      </c>
      <c r="D31" s="2580">
        <v>78424</v>
      </c>
      <c r="E31" s="2581" t="s">
        <v>132</v>
      </c>
      <c r="F31" s="2582">
        <v>0.45833333333333331</v>
      </c>
      <c r="G31" s="2580">
        <v>64481.383346370974</v>
      </c>
      <c r="H31" s="2580">
        <v>79820</v>
      </c>
      <c r="I31" s="2583">
        <v>101.78006732632868</v>
      </c>
      <c r="J31" s="2580">
        <v>9648</v>
      </c>
      <c r="K31" s="2583">
        <v>12.302356421503621</v>
      </c>
      <c r="L31" s="2583">
        <v>82.221492586926161</v>
      </c>
      <c r="M31" s="2583">
        <v>40.737382448588747</v>
      </c>
      <c r="O31" s="349"/>
      <c r="R31" s="349"/>
      <c r="S31" s="349"/>
    </row>
    <row r="32" spans="1:19" s="1465" customFormat="1" ht="23.1" customHeight="1">
      <c r="A32" s="2584" t="s">
        <v>137</v>
      </c>
      <c r="B32" s="2585">
        <v>158337</v>
      </c>
      <c r="C32" s="2585">
        <v>80768</v>
      </c>
      <c r="D32" s="2585">
        <v>73633</v>
      </c>
      <c r="E32" s="2586" t="s">
        <v>138</v>
      </c>
      <c r="F32" s="2587">
        <v>0.625</v>
      </c>
      <c r="G32" s="2588">
        <v>61636.315204861108</v>
      </c>
      <c r="H32" s="2585">
        <v>84704</v>
      </c>
      <c r="I32" s="2589">
        <v>115.03537815924925</v>
      </c>
      <c r="J32" s="2585">
        <v>7135</v>
      </c>
      <c r="K32" s="2589">
        <v>9.6899488001303773</v>
      </c>
      <c r="L32" s="2590">
        <v>83.707461606699582</v>
      </c>
      <c r="M32" s="2590">
        <v>38.835171100427537</v>
      </c>
      <c r="O32" s="349"/>
      <c r="R32" s="349"/>
      <c r="S32" s="349"/>
    </row>
    <row r="33" spans="1:19" ht="12.75" customHeight="1">
      <c r="A33" s="2537" t="s">
        <v>1327</v>
      </c>
      <c r="B33" s="2537"/>
      <c r="C33" s="2537"/>
      <c r="D33" s="2537"/>
      <c r="E33" s="2537"/>
      <c r="F33" s="2537"/>
      <c r="G33" s="2591"/>
      <c r="H33" s="2591"/>
      <c r="I33" s="2591"/>
      <c r="J33" s="2591"/>
      <c r="K33" s="2591"/>
      <c r="L33" s="2591"/>
      <c r="M33" s="2591"/>
      <c r="N33" s="2592"/>
      <c r="O33" s="349"/>
      <c r="P33" s="2207"/>
      <c r="Q33" s="2206"/>
      <c r="R33" s="349"/>
      <c r="S33" s="349"/>
    </row>
    <row r="34" spans="1:19" ht="14.25" customHeight="1">
      <c r="A34" s="2593" t="s">
        <v>1328</v>
      </c>
      <c r="B34" s="2537"/>
      <c r="C34" s="2537"/>
      <c r="D34" s="2537"/>
      <c r="E34" s="2537"/>
      <c r="F34" s="2537"/>
      <c r="G34" s="2591"/>
      <c r="H34" s="2591"/>
      <c r="I34" s="2591"/>
      <c r="J34" s="2591"/>
      <c r="K34" s="2591"/>
      <c r="L34" s="2591"/>
      <c r="M34" s="2591"/>
      <c r="O34" s="349"/>
      <c r="P34" s="2207"/>
      <c r="Q34" s="2206"/>
      <c r="R34" s="349"/>
      <c r="S34" s="349"/>
    </row>
    <row r="35" spans="1:19" s="349" customFormat="1" ht="12" customHeight="1">
      <c r="A35" s="2537" t="s">
        <v>1329</v>
      </c>
      <c r="B35" s="2537"/>
      <c r="C35" s="2537"/>
      <c r="D35" s="2537"/>
      <c r="E35" s="2537"/>
      <c r="F35" s="2537"/>
      <c r="G35" s="2591"/>
      <c r="H35" s="2591"/>
      <c r="I35" s="2591"/>
      <c r="J35" s="2591"/>
      <c r="K35" s="2591"/>
      <c r="L35" s="2591"/>
      <c r="M35" s="2591"/>
      <c r="O35" s="272"/>
      <c r="P35" s="2207"/>
      <c r="Q35" s="2206"/>
    </row>
    <row r="36" spans="1:19" s="349" customFormat="1" ht="12" customHeight="1">
      <c r="A36" s="2537" t="s">
        <v>1330</v>
      </c>
      <c r="B36" s="2537"/>
      <c r="C36" s="2537"/>
      <c r="D36" s="2537"/>
      <c r="E36" s="2537"/>
      <c r="F36" s="2537"/>
      <c r="G36" s="2591"/>
      <c r="H36" s="2591"/>
      <c r="I36" s="2591"/>
      <c r="J36" s="2591"/>
      <c r="K36" s="2591"/>
      <c r="L36" s="2591"/>
      <c r="M36" s="2591"/>
      <c r="O36" s="272"/>
      <c r="P36" s="2594"/>
      <c r="Q36" s="2206"/>
      <c r="R36" s="272"/>
      <c r="S36" s="272"/>
    </row>
    <row r="37" spans="1:19" s="349" customFormat="1" ht="12" customHeight="1">
      <c r="A37" s="2537" t="s">
        <v>1331</v>
      </c>
      <c r="B37" s="2537"/>
      <c r="C37" s="2537"/>
      <c r="D37" s="2537"/>
      <c r="E37" s="2537"/>
      <c r="F37" s="2537"/>
      <c r="G37" s="2591"/>
      <c r="H37" s="2591"/>
      <c r="I37" s="2591"/>
      <c r="J37" s="2591"/>
      <c r="K37" s="2591"/>
      <c r="L37" s="2591"/>
      <c r="M37" s="2591"/>
      <c r="O37" s="272"/>
      <c r="P37" s="2207"/>
      <c r="Q37" s="2206"/>
      <c r="R37" s="271"/>
      <c r="S37" s="271"/>
    </row>
    <row r="38" spans="1:19" s="349" customFormat="1" ht="12" customHeight="1">
      <c r="A38" s="2537" t="s">
        <v>1332</v>
      </c>
      <c r="B38" s="2537"/>
      <c r="C38" s="2537"/>
      <c r="D38" s="2537"/>
      <c r="E38" s="2537"/>
      <c r="F38" s="2537"/>
      <c r="G38" s="2591"/>
      <c r="H38" s="2591"/>
      <c r="I38" s="2591"/>
      <c r="J38" s="2591"/>
      <c r="K38" s="2591"/>
      <c r="L38" s="2591"/>
      <c r="M38" s="2591"/>
      <c r="O38" s="272"/>
      <c r="P38" s="2207"/>
      <c r="Q38" s="2206"/>
      <c r="R38" s="271"/>
      <c r="S38" s="271"/>
    </row>
    <row r="39" spans="1:19" s="349" customFormat="1" ht="12" customHeight="1">
      <c r="A39" s="271"/>
    </row>
    <row r="40" spans="1:19" s="349" customFormat="1" ht="12" customHeight="1">
      <c r="A40" s="271"/>
    </row>
    <row r="41" spans="1:19" s="349" customFormat="1" ht="12" customHeight="1">
      <c r="A41" s="271"/>
    </row>
    <row r="42" spans="1:19" ht="12.75" customHeight="1">
      <c r="A42" s="271"/>
      <c r="P42" s="272"/>
      <c r="Q42" s="272"/>
    </row>
    <row r="43" spans="1:19" s="271" customFormat="1" ht="12" customHeight="1">
      <c r="D43" s="2595"/>
      <c r="E43" s="2595"/>
      <c r="G43" s="2596"/>
    </row>
    <row r="44" spans="1:19" s="271" customFormat="1" ht="12" customHeight="1">
      <c r="D44" s="2595"/>
      <c r="E44" s="2595"/>
      <c r="G44" s="2596"/>
    </row>
    <row r="45" spans="1:19" s="271" customFormat="1" ht="12" customHeight="1">
      <c r="D45" s="2595"/>
      <c r="E45" s="2595"/>
      <c r="G45" s="2596"/>
    </row>
    <row r="46" spans="1:19" s="271" customFormat="1" ht="11.25" customHeight="1">
      <c r="D46" s="2595"/>
      <c r="E46" s="2595"/>
      <c r="G46" s="2596"/>
    </row>
    <row r="47" spans="1:19" s="271" customFormat="1" ht="12" customHeight="1">
      <c r="D47" s="2595"/>
      <c r="E47" s="2595"/>
      <c r="G47" s="2596"/>
    </row>
    <row r="48" spans="1:19" s="271" customFormat="1" ht="12" customHeight="1">
      <c r="D48" s="2595"/>
      <c r="E48" s="2595"/>
      <c r="G48" s="2596"/>
    </row>
    <row r="49" spans="4:7" s="271" customFormat="1" ht="12" customHeight="1">
      <c r="D49" s="2595"/>
      <c r="E49" s="2595"/>
      <c r="G49" s="2596"/>
    </row>
    <row r="50" spans="4:7" s="271" customFormat="1" ht="12" customHeight="1">
      <c r="D50" s="2595"/>
      <c r="E50" s="2595"/>
      <c r="G50" s="2596"/>
    </row>
    <row r="51" spans="4:7" s="271" customFormat="1" ht="12" customHeight="1">
      <c r="D51" s="2595"/>
      <c r="E51" s="2595"/>
      <c r="G51" s="2596"/>
    </row>
    <row r="52" spans="4:7" s="271" customFormat="1" ht="12" customHeight="1">
      <c r="D52" s="2595"/>
      <c r="E52" s="2595"/>
      <c r="G52" s="2596"/>
    </row>
    <row r="53" spans="4:7" s="271" customFormat="1" ht="12" customHeight="1">
      <c r="D53" s="2595"/>
      <c r="E53" s="2595"/>
      <c r="G53" s="2596"/>
    </row>
    <row r="54" spans="4:7" s="271" customFormat="1" ht="12" customHeight="1">
      <c r="D54" s="2595"/>
      <c r="E54" s="2595"/>
      <c r="G54" s="2596"/>
    </row>
    <row r="55" spans="4:7" s="271" customFormat="1" ht="12" customHeight="1">
      <c r="D55" s="2595"/>
      <c r="E55" s="2595"/>
      <c r="G55" s="2596"/>
    </row>
    <row r="56" spans="4:7" s="271" customFormat="1" ht="12" customHeight="1">
      <c r="D56" s="2595"/>
      <c r="E56" s="2595"/>
      <c r="G56" s="2596"/>
    </row>
    <row r="57" spans="4:7" s="271" customFormat="1" ht="12" customHeight="1">
      <c r="D57" s="2595"/>
      <c r="E57" s="2595"/>
      <c r="G57" s="2596"/>
    </row>
    <row r="58" spans="4:7" s="271" customFormat="1" ht="12" customHeight="1">
      <c r="D58" s="2595"/>
      <c r="E58" s="2595"/>
      <c r="G58" s="2596"/>
    </row>
    <row r="59" spans="4:7" s="271" customFormat="1" ht="12" customHeight="1">
      <c r="D59" s="2595"/>
      <c r="E59" s="2595"/>
      <c r="G59" s="2596"/>
    </row>
    <row r="60" spans="4:7" s="271" customFormat="1" ht="12" customHeight="1">
      <c r="D60" s="2595"/>
      <c r="E60" s="2595"/>
      <c r="G60" s="2596"/>
    </row>
    <row r="61" spans="4:7" s="271" customFormat="1" ht="12" customHeight="1">
      <c r="D61" s="2595"/>
      <c r="E61" s="2595"/>
      <c r="G61" s="2596"/>
    </row>
    <row r="62" spans="4:7" s="271" customFormat="1" ht="12" customHeight="1">
      <c r="D62" s="2595"/>
      <c r="E62" s="2595"/>
      <c r="G62" s="2596"/>
    </row>
    <row r="63" spans="4:7" s="271" customFormat="1" ht="12" customHeight="1">
      <c r="D63" s="2595"/>
      <c r="E63" s="2595"/>
      <c r="G63" s="2596"/>
    </row>
    <row r="64" spans="4:7" s="271" customFormat="1" ht="12" customHeight="1">
      <c r="D64" s="2595"/>
      <c r="E64" s="2595"/>
      <c r="G64" s="2596"/>
    </row>
    <row r="65" spans="4:7" s="271" customFormat="1" ht="12" customHeight="1">
      <c r="D65" s="2595"/>
      <c r="E65" s="2595"/>
      <c r="G65" s="2596"/>
    </row>
    <row r="66" spans="4:7" s="271" customFormat="1" ht="12" customHeight="1"/>
    <row r="67" spans="4:7" s="271" customFormat="1" ht="12" customHeight="1">
      <c r="D67" s="2595"/>
      <c r="E67" s="2595"/>
      <c r="G67" s="2596"/>
    </row>
    <row r="68" spans="4:7" s="271" customFormat="1" ht="12" customHeight="1">
      <c r="D68" s="2595"/>
      <c r="E68" s="2595"/>
      <c r="G68" s="2596"/>
    </row>
    <row r="69" spans="4:7" s="271" customFormat="1" ht="12" customHeight="1">
      <c r="D69" s="2595"/>
      <c r="E69" s="2595"/>
      <c r="G69" s="2596"/>
    </row>
    <row r="70" spans="4:7" s="271" customFormat="1" ht="12" customHeight="1">
      <c r="D70" s="2595"/>
      <c r="E70" s="2595"/>
      <c r="G70" s="2596"/>
    </row>
    <row r="71" spans="4:7" s="271" customFormat="1" ht="12" customHeight="1">
      <c r="D71" s="2595"/>
      <c r="E71" s="2595"/>
      <c r="G71" s="2596"/>
    </row>
    <row r="72" spans="4:7" s="271" customFormat="1" ht="12" customHeight="1">
      <c r="D72" s="2595"/>
      <c r="E72" s="2595"/>
      <c r="G72" s="2596"/>
    </row>
    <row r="73" spans="4:7" s="271" customFormat="1" ht="12" customHeight="1">
      <c r="D73" s="2595"/>
      <c r="E73" s="2595"/>
      <c r="G73" s="2596"/>
    </row>
    <row r="74" spans="4:7" s="271" customFormat="1" ht="12" customHeight="1">
      <c r="D74" s="2595"/>
      <c r="E74" s="2595"/>
      <c r="G74" s="2596"/>
    </row>
    <row r="75" spans="4:7" s="271" customFormat="1" ht="12" customHeight="1">
      <c r="D75" s="2595"/>
      <c r="E75" s="2595"/>
      <c r="G75" s="2596"/>
    </row>
    <row r="76" spans="4:7" s="271" customFormat="1" ht="11.25" customHeight="1">
      <c r="D76" s="2595"/>
      <c r="E76" s="2595"/>
      <c r="G76" s="2596"/>
    </row>
    <row r="77" spans="4:7" s="271" customFormat="1" ht="12" customHeight="1">
      <c r="D77" s="2595"/>
      <c r="E77" s="2595"/>
      <c r="G77" s="2596"/>
    </row>
    <row r="78" spans="4:7" s="271" customFormat="1" ht="12" customHeight="1">
      <c r="D78" s="2595"/>
      <c r="E78" s="2595"/>
      <c r="G78" s="2596"/>
    </row>
    <row r="79" spans="4:7" s="271" customFormat="1" ht="12" customHeight="1">
      <c r="D79" s="2595"/>
      <c r="E79" s="2595"/>
      <c r="G79" s="2596"/>
    </row>
    <row r="80" spans="4:7" s="271" customFormat="1" ht="12" customHeight="1">
      <c r="D80" s="2595"/>
      <c r="E80" s="2595"/>
      <c r="G80" s="2596"/>
    </row>
    <row r="81" spans="4:7" s="271" customFormat="1" ht="12" customHeight="1">
      <c r="D81" s="2595"/>
      <c r="E81" s="2595"/>
      <c r="G81" s="2596"/>
    </row>
    <row r="82" spans="4:7" s="271" customFormat="1" ht="12" customHeight="1">
      <c r="D82" s="2595"/>
      <c r="E82" s="2595"/>
      <c r="G82" s="2596"/>
    </row>
    <row r="83" spans="4:7" s="271" customFormat="1" ht="12" customHeight="1">
      <c r="D83" s="2595"/>
      <c r="E83" s="2595"/>
      <c r="G83" s="2596"/>
    </row>
    <row r="84" spans="4:7" s="271" customFormat="1" ht="12" customHeight="1">
      <c r="D84" s="2595"/>
      <c r="E84" s="2595"/>
      <c r="G84" s="2596"/>
    </row>
    <row r="85" spans="4:7" s="271" customFormat="1" ht="12" customHeight="1">
      <c r="D85" s="2595"/>
      <c r="E85" s="2595"/>
      <c r="G85" s="2596"/>
    </row>
    <row r="86" spans="4:7" s="271" customFormat="1" ht="12.75" customHeight="1">
      <c r="D86" s="2595"/>
      <c r="E86" s="2595"/>
      <c r="G86" s="2596"/>
    </row>
    <row r="87" spans="4:7" s="271" customFormat="1" ht="12" customHeight="1">
      <c r="D87" s="2595"/>
      <c r="E87" s="2595"/>
      <c r="G87" s="2596"/>
    </row>
    <row r="88" spans="4:7" s="271" customFormat="1" ht="12" customHeight="1">
      <c r="D88" s="2595"/>
      <c r="E88" s="2595"/>
      <c r="G88" s="2596"/>
    </row>
    <row r="89" spans="4:7" s="271" customFormat="1" ht="12" customHeight="1">
      <c r="D89" s="2595"/>
      <c r="E89" s="2595"/>
      <c r="G89" s="2596"/>
    </row>
    <row r="90" spans="4:7" s="271" customFormat="1" ht="12" customHeight="1">
      <c r="D90" s="2595"/>
      <c r="E90" s="2595"/>
      <c r="G90" s="2596"/>
    </row>
    <row r="91" spans="4:7" s="271" customFormat="1" ht="12" customHeight="1">
      <c r="D91" s="2595"/>
      <c r="E91" s="2595"/>
      <c r="G91" s="2596"/>
    </row>
    <row r="92" spans="4:7" s="271" customFormat="1" ht="12" customHeight="1">
      <c r="D92" s="2595"/>
      <c r="E92" s="2595"/>
      <c r="G92" s="2596"/>
    </row>
    <row r="93" spans="4:7" s="271" customFormat="1" ht="12" customHeight="1">
      <c r="D93" s="2595"/>
      <c r="E93" s="2595"/>
      <c r="G93" s="2596"/>
    </row>
    <row r="94" spans="4:7" s="271" customFormat="1" ht="12" customHeight="1">
      <c r="D94" s="2595"/>
      <c r="E94" s="2595"/>
      <c r="G94" s="2596"/>
    </row>
    <row r="95" spans="4:7" s="271" customFormat="1" ht="12" customHeight="1">
      <c r="D95" s="2595"/>
      <c r="E95" s="2595"/>
      <c r="G95" s="2596"/>
    </row>
    <row r="96" spans="4:7" s="271" customFormat="1" ht="12" customHeight="1">
      <c r="D96" s="2595"/>
      <c r="E96" s="2595"/>
      <c r="G96" s="2596"/>
    </row>
    <row r="97" spans="4:7" s="271" customFormat="1" ht="12" customHeight="1">
      <c r="D97" s="2595"/>
      <c r="E97" s="2595"/>
      <c r="G97" s="2596"/>
    </row>
    <row r="98" spans="4:7" s="271" customFormat="1" ht="12" customHeight="1">
      <c r="D98" s="2595"/>
      <c r="E98" s="2595"/>
      <c r="G98" s="2596"/>
    </row>
    <row r="99" spans="4:7" s="271" customFormat="1" ht="12" customHeight="1">
      <c r="D99" s="2595"/>
      <c r="E99" s="2595"/>
      <c r="G99" s="2596"/>
    </row>
    <row r="100" spans="4:7" s="271" customFormat="1" ht="12" customHeight="1">
      <c r="D100" s="2595"/>
      <c r="E100" s="2595"/>
      <c r="G100" s="2596"/>
    </row>
    <row r="101" spans="4:7" s="271" customFormat="1" ht="12" customHeight="1">
      <c r="D101" s="2595"/>
      <c r="E101" s="2595"/>
      <c r="G101" s="2596"/>
    </row>
    <row r="102" spans="4:7" s="271" customFormat="1" ht="12" customHeight="1">
      <c r="D102" s="2595"/>
      <c r="E102" s="2595"/>
      <c r="G102" s="2596"/>
    </row>
    <row r="103" spans="4:7" s="271" customFormat="1" ht="12" customHeight="1">
      <c r="D103" s="2595"/>
      <c r="E103" s="2595"/>
      <c r="G103" s="2596"/>
    </row>
    <row r="104" spans="4:7" s="271" customFormat="1" ht="12" customHeight="1">
      <c r="D104" s="2595"/>
      <c r="E104" s="2595"/>
      <c r="G104" s="2596"/>
    </row>
    <row r="105" spans="4:7" s="271" customFormat="1" ht="12" customHeight="1">
      <c r="D105" s="2595"/>
      <c r="E105" s="2595"/>
      <c r="G105" s="2596"/>
    </row>
    <row r="106" spans="4:7" s="271" customFormat="1" ht="12" customHeight="1">
      <c r="D106" s="2595"/>
      <c r="E106" s="2595"/>
      <c r="G106" s="2596"/>
    </row>
    <row r="107" spans="4:7" s="271" customFormat="1" ht="12" customHeight="1">
      <c r="D107" s="2595"/>
      <c r="E107" s="2595"/>
      <c r="G107" s="2596"/>
    </row>
    <row r="108" spans="4:7" s="271" customFormat="1" ht="12" customHeight="1">
      <c r="D108" s="2595"/>
      <c r="E108" s="2595"/>
      <c r="G108" s="2596"/>
    </row>
    <row r="109" spans="4:7" s="271" customFormat="1" ht="12" customHeight="1">
      <c r="D109" s="2595"/>
      <c r="E109" s="2595"/>
      <c r="G109" s="2596"/>
    </row>
    <row r="110" spans="4:7" s="271" customFormat="1" ht="12" customHeight="1">
      <c r="D110" s="2595"/>
      <c r="E110" s="2595"/>
      <c r="G110" s="2596"/>
    </row>
    <row r="111" spans="4:7" s="271" customFormat="1" ht="12" customHeight="1">
      <c r="D111" s="2595"/>
      <c r="E111" s="2595"/>
      <c r="G111" s="2596"/>
    </row>
    <row r="112" spans="4:7" s="271" customFormat="1" ht="12" customHeight="1">
      <c r="D112" s="2595"/>
      <c r="E112" s="2595"/>
      <c r="G112" s="2596"/>
    </row>
    <row r="113" spans="4:7" s="271" customFormat="1" ht="12" customHeight="1">
      <c r="D113" s="2595"/>
      <c r="E113" s="2595"/>
      <c r="G113" s="2596"/>
    </row>
    <row r="114" spans="4:7" s="271" customFormat="1" ht="12" customHeight="1">
      <c r="D114" s="2595"/>
      <c r="E114" s="2595"/>
      <c r="G114" s="2596"/>
    </row>
    <row r="115" spans="4:7" s="271" customFormat="1" ht="12" customHeight="1">
      <c r="D115" s="2595"/>
      <c r="E115" s="2595"/>
      <c r="G115" s="2596"/>
    </row>
    <row r="116" spans="4:7" s="271" customFormat="1" ht="12" customHeight="1">
      <c r="D116" s="2595"/>
      <c r="E116" s="2595"/>
      <c r="G116" s="2596"/>
    </row>
    <row r="117" spans="4:7" s="271" customFormat="1" ht="12" customHeight="1">
      <c r="D117" s="2595"/>
      <c r="E117" s="2595"/>
      <c r="G117" s="2596"/>
    </row>
    <row r="118" spans="4:7" s="271" customFormat="1" ht="12" customHeight="1">
      <c r="D118" s="2595"/>
      <c r="E118" s="2595"/>
      <c r="G118" s="2596"/>
    </row>
    <row r="119" spans="4:7" s="271" customFormat="1" ht="12" customHeight="1">
      <c r="D119" s="2595"/>
      <c r="E119" s="2595"/>
      <c r="G119" s="2596"/>
    </row>
    <row r="120" spans="4:7" s="271" customFormat="1" ht="12" customHeight="1">
      <c r="D120" s="2595"/>
      <c r="E120" s="2595"/>
      <c r="G120" s="2596"/>
    </row>
    <row r="121" spans="4:7" s="271" customFormat="1" ht="12" customHeight="1">
      <c r="D121" s="2595"/>
      <c r="E121" s="2595"/>
      <c r="G121" s="2596"/>
    </row>
    <row r="122" spans="4:7" s="271" customFormat="1" ht="12" customHeight="1">
      <c r="D122" s="2595"/>
      <c r="E122" s="2595"/>
      <c r="G122" s="2596"/>
    </row>
    <row r="123" spans="4:7" s="271" customFormat="1" ht="12" customHeight="1">
      <c r="D123" s="2595"/>
      <c r="E123" s="2595"/>
      <c r="G123" s="2596"/>
    </row>
    <row r="124" spans="4:7" s="271" customFormat="1" ht="12" customHeight="1">
      <c r="D124" s="2595"/>
      <c r="E124" s="2595"/>
      <c r="G124" s="2596"/>
    </row>
    <row r="125" spans="4:7" s="271" customFormat="1" ht="12" customHeight="1">
      <c r="D125" s="2595"/>
      <c r="E125" s="2595"/>
      <c r="G125" s="2596"/>
    </row>
    <row r="126" spans="4:7" s="271" customFormat="1" ht="12" customHeight="1">
      <c r="D126" s="2595"/>
      <c r="E126" s="2595"/>
      <c r="G126" s="2596"/>
    </row>
    <row r="127" spans="4:7" s="271" customFormat="1" ht="12" customHeight="1">
      <c r="D127" s="2595"/>
      <c r="E127" s="2595"/>
      <c r="G127" s="2596"/>
    </row>
    <row r="128" spans="4:7" s="271" customFormat="1" ht="12" customHeight="1">
      <c r="D128" s="2595"/>
      <c r="E128" s="2595"/>
      <c r="G128" s="2596"/>
    </row>
    <row r="129" spans="1:7" s="271" customFormat="1" ht="12" customHeight="1">
      <c r="D129" s="2595"/>
      <c r="E129" s="2595"/>
      <c r="G129" s="2596"/>
    </row>
    <row r="130" spans="1:7" s="271" customFormat="1" ht="12" customHeight="1">
      <c r="D130" s="2595"/>
      <c r="E130" s="2595"/>
      <c r="G130" s="2596"/>
    </row>
    <row r="131" spans="1:7" s="271" customFormat="1" ht="12" customHeight="1">
      <c r="D131" s="2595"/>
      <c r="E131" s="2595"/>
      <c r="G131" s="2596"/>
    </row>
    <row r="132" spans="1:7" s="271" customFormat="1" ht="12" customHeight="1">
      <c r="D132" s="2595"/>
      <c r="E132" s="2595"/>
      <c r="G132" s="2596"/>
    </row>
    <row r="133" spans="1:7" s="271" customFormat="1" ht="12" customHeight="1">
      <c r="D133" s="2595"/>
      <c r="E133" s="2595"/>
      <c r="G133" s="2596"/>
    </row>
    <row r="134" spans="1:7" s="271" customFormat="1" ht="12" customHeight="1">
      <c r="D134" s="2595"/>
      <c r="E134" s="2595"/>
      <c r="G134" s="2596"/>
    </row>
    <row r="135" spans="1:7" s="271" customFormat="1" ht="12" customHeight="1">
      <c r="D135" s="2595"/>
      <c r="E135" s="2595"/>
      <c r="G135" s="2596"/>
    </row>
    <row r="136" spans="1:7" s="271" customFormat="1" ht="12" customHeight="1">
      <c r="D136" s="2595"/>
      <c r="E136" s="2595"/>
      <c r="G136" s="2596"/>
    </row>
    <row r="137" spans="1:7" s="271" customFormat="1" ht="12" customHeight="1">
      <c r="D137" s="2595"/>
      <c r="E137" s="2595"/>
      <c r="G137" s="2596"/>
    </row>
    <row r="138" spans="1:7" s="271" customFormat="1" ht="12" customHeight="1">
      <c r="A138" s="2597"/>
      <c r="D138" s="2595"/>
      <c r="E138" s="2595"/>
      <c r="G138" s="2596"/>
    </row>
    <row r="139" spans="1:7" s="271" customFormat="1" ht="12" customHeight="1">
      <c r="D139" s="2595"/>
      <c r="E139" s="2595"/>
      <c r="G139" s="2596"/>
    </row>
    <row r="140" spans="1:7" s="271" customFormat="1" ht="12" customHeight="1">
      <c r="D140" s="2595"/>
      <c r="E140" s="2595"/>
      <c r="G140" s="2596"/>
    </row>
    <row r="141" spans="1:7" s="271" customFormat="1" ht="12" customHeight="1">
      <c r="D141" s="2595"/>
      <c r="E141" s="2595"/>
      <c r="G141" s="2596"/>
    </row>
    <row r="142" spans="1:7" s="271" customFormat="1" ht="12" customHeight="1">
      <c r="D142" s="2595"/>
      <c r="E142" s="2595"/>
      <c r="G142" s="2596"/>
    </row>
    <row r="143" spans="1:7" s="2597" customFormat="1" ht="12" customHeight="1">
      <c r="A143" s="271"/>
      <c r="D143" s="2598"/>
      <c r="E143" s="2598"/>
      <c r="G143" s="2599"/>
    </row>
    <row r="144" spans="1:7" s="271" customFormat="1" ht="12" customHeight="1">
      <c r="D144" s="2595"/>
      <c r="E144" s="2595"/>
      <c r="G144" s="2596"/>
    </row>
    <row r="145" spans="1:7" s="271" customFormat="1" ht="12" customHeight="1">
      <c r="D145" s="2595"/>
      <c r="E145" s="2595"/>
      <c r="G145" s="2596"/>
    </row>
    <row r="146" spans="1:7" s="271" customFormat="1" ht="12" customHeight="1">
      <c r="D146" s="2595"/>
      <c r="E146" s="2595"/>
      <c r="G146" s="2596"/>
    </row>
    <row r="147" spans="1:7" s="271" customFormat="1" ht="12" customHeight="1">
      <c r="A147" s="2600"/>
      <c r="D147" s="2595"/>
      <c r="E147" s="2595"/>
      <c r="G147" s="2596"/>
    </row>
    <row r="148" spans="1:7" s="271" customFormat="1" ht="12" customHeight="1">
      <c r="D148" s="2595"/>
      <c r="E148" s="2595"/>
      <c r="G148" s="2596"/>
    </row>
    <row r="149" spans="1:7" s="271" customFormat="1" ht="12" customHeight="1">
      <c r="D149" s="2595"/>
      <c r="E149" s="2595"/>
      <c r="G149" s="2596"/>
    </row>
    <row r="150" spans="1:7" s="271" customFormat="1" ht="12" customHeight="1">
      <c r="D150" s="2595"/>
      <c r="E150" s="2595"/>
      <c r="G150" s="2596"/>
    </row>
    <row r="151" spans="1:7" s="271" customFormat="1" ht="12" customHeight="1">
      <c r="D151" s="2595"/>
      <c r="E151" s="2595"/>
      <c r="G151" s="2596"/>
    </row>
    <row r="152" spans="1:7" s="2600" customFormat="1" ht="12" customHeight="1">
      <c r="A152" s="271"/>
      <c r="D152" s="2601"/>
      <c r="E152" s="2601"/>
      <c r="G152" s="2602"/>
    </row>
    <row r="153" spans="1:7" s="271" customFormat="1" ht="12" customHeight="1">
      <c r="D153" s="2595"/>
      <c r="E153" s="2595"/>
      <c r="G153" s="2596"/>
    </row>
    <row r="154" spans="1:7" s="271" customFormat="1" ht="12" customHeight="1">
      <c r="D154" s="2595"/>
      <c r="E154" s="2595"/>
      <c r="G154" s="2596"/>
    </row>
    <row r="155" spans="1:7" s="271" customFormat="1" ht="12" customHeight="1">
      <c r="D155" s="2595"/>
      <c r="E155" s="2595"/>
      <c r="G155" s="2596"/>
    </row>
    <row r="156" spans="1:7" s="271" customFormat="1" ht="12" customHeight="1">
      <c r="D156" s="2595"/>
      <c r="E156" s="2595"/>
      <c r="G156" s="2596"/>
    </row>
    <row r="157" spans="1:7" s="271" customFormat="1" ht="12" customHeight="1">
      <c r="D157" s="2595"/>
      <c r="E157" s="2595"/>
      <c r="G157" s="2596"/>
    </row>
    <row r="158" spans="1:7" s="271" customFormat="1" ht="12" customHeight="1">
      <c r="D158" s="2595"/>
      <c r="E158" s="2595"/>
      <c r="G158" s="2596"/>
    </row>
    <row r="159" spans="1:7" s="271" customFormat="1" ht="12" customHeight="1">
      <c r="D159" s="2595"/>
      <c r="E159" s="2595"/>
      <c r="G159" s="2596"/>
    </row>
    <row r="160" spans="1:7" s="271" customFormat="1" ht="12" customHeight="1">
      <c r="D160" s="2595"/>
      <c r="E160" s="2595"/>
      <c r="G160" s="2596"/>
    </row>
    <row r="161" spans="4:7" s="271" customFormat="1" ht="12" customHeight="1">
      <c r="D161" s="2595"/>
      <c r="E161" s="2595"/>
      <c r="G161" s="2596"/>
    </row>
    <row r="162" spans="4:7" s="271" customFormat="1" ht="12.75" customHeight="1"/>
    <row r="163" spans="4:7" s="271" customFormat="1" ht="12" customHeight="1"/>
    <row r="164" spans="4:7" s="271" customFormat="1" ht="12" customHeight="1"/>
    <row r="165" spans="4:7" s="271" customFormat="1" ht="12" customHeight="1"/>
    <row r="166" spans="4:7" s="271" customFormat="1" ht="12" customHeight="1"/>
    <row r="167" spans="4:7" s="271" customFormat="1" ht="12" customHeight="1"/>
    <row r="168" spans="4:7" s="271" customFormat="1" ht="12" customHeight="1"/>
    <row r="169" spans="4:7" s="271" customFormat="1" ht="12" customHeight="1"/>
    <row r="170" spans="4:7" s="271" customFormat="1" ht="12" customHeight="1"/>
    <row r="171" spans="4:7" s="271" customFormat="1" ht="12" customHeight="1"/>
    <row r="172" spans="4:7" s="271" customFormat="1" ht="12" customHeight="1"/>
    <row r="173" spans="4:7" s="271" customFormat="1" ht="12" customHeight="1"/>
    <row r="174" spans="4:7" s="271" customFormat="1" ht="12" customHeight="1"/>
    <row r="175" spans="4:7" s="271" customFormat="1" ht="12" customHeight="1"/>
    <row r="176" spans="4:7" s="271" customFormat="1" ht="12" customHeight="1"/>
    <row r="177" s="271" customFormat="1" ht="12" customHeight="1"/>
    <row r="178" s="271" customFormat="1" ht="12" customHeight="1"/>
    <row r="179" s="271" customFormat="1" ht="12" customHeight="1"/>
    <row r="180" s="271" customFormat="1" ht="12" customHeight="1"/>
    <row r="181" s="271" customFormat="1" ht="12" customHeight="1"/>
    <row r="182" s="271" customFormat="1" ht="12" customHeight="1"/>
    <row r="183" s="271" customFormat="1" ht="12" customHeight="1"/>
    <row r="184" s="271" customFormat="1" ht="12" customHeight="1"/>
    <row r="185" s="271" customFormat="1" ht="12" customHeight="1"/>
    <row r="186" s="271" customFormat="1" ht="12" customHeight="1"/>
    <row r="187" s="271" customFormat="1" ht="12" customHeight="1"/>
    <row r="188" s="271" customFormat="1" ht="12" customHeight="1"/>
    <row r="189" s="271" customFormat="1" ht="12" customHeight="1"/>
    <row r="190" s="271" customFormat="1" ht="12" customHeight="1"/>
    <row r="191" s="271" customFormat="1" ht="12" customHeight="1"/>
    <row r="192" s="271" customFormat="1" ht="12" customHeight="1"/>
    <row r="193" s="271" customFormat="1" ht="12" customHeight="1"/>
    <row r="194" s="271" customFormat="1" ht="12" customHeight="1"/>
    <row r="195" s="271" customFormat="1" ht="12" customHeight="1"/>
    <row r="196" s="271" customFormat="1" ht="12" customHeight="1"/>
    <row r="197" s="271" customFormat="1" ht="12" customHeight="1"/>
    <row r="198" s="271" customFormat="1" ht="12" customHeight="1"/>
    <row r="199" s="271" customFormat="1" ht="12" customHeight="1"/>
    <row r="200" s="271" customFormat="1" ht="12" customHeight="1"/>
    <row r="201" s="271" customFormat="1" ht="12" customHeight="1"/>
    <row r="202" s="271" customFormat="1" ht="12" customHeight="1"/>
    <row r="203" s="271" customFormat="1" ht="12" customHeight="1"/>
    <row r="204" s="271" customFormat="1" ht="12" customHeight="1"/>
    <row r="205" s="271" customFormat="1" ht="12" customHeight="1"/>
    <row r="206" s="271" customFormat="1" ht="12" customHeight="1"/>
    <row r="207" s="271" customFormat="1" ht="12" customHeight="1"/>
    <row r="208" s="271" customFormat="1" ht="12" customHeight="1"/>
    <row r="209" s="271" customFormat="1" ht="12" customHeight="1"/>
    <row r="210" s="271" customFormat="1" ht="12" customHeight="1"/>
    <row r="211" s="271" customFormat="1" ht="12" customHeight="1"/>
    <row r="212" s="271" customFormat="1" ht="12" customHeight="1"/>
    <row r="213" s="271" customFormat="1" ht="12" customHeight="1"/>
    <row r="214" s="271" customFormat="1" ht="12" customHeight="1"/>
    <row r="215" s="271" customFormat="1" ht="12" customHeight="1"/>
    <row r="216" s="271" customFormat="1" ht="12" customHeight="1"/>
    <row r="217" s="271" customFormat="1" ht="12" customHeight="1"/>
    <row r="218" s="271" customFormat="1" ht="12" customHeight="1"/>
    <row r="219" s="271" customFormat="1" ht="12" customHeight="1"/>
    <row r="220" s="271" customFormat="1" ht="12" customHeight="1"/>
    <row r="221" s="271" customFormat="1" ht="12" customHeight="1"/>
    <row r="222" s="271" customFormat="1" ht="12" customHeight="1"/>
    <row r="223" s="271" customFormat="1" ht="12" customHeight="1"/>
    <row r="224" s="271" customFormat="1" ht="12" customHeight="1"/>
    <row r="225" s="271" customFormat="1" ht="12" customHeight="1"/>
    <row r="226" s="271" customFormat="1" ht="12" customHeight="1"/>
    <row r="227" s="271" customFormat="1" ht="12" customHeight="1"/>
    <row r="228" s="271" customFormat="1" ht="12" customHeight="1"/>
    <row r="229" s="271" customFormat="1" ht="12" customHeight="1"/>
    <row r="230" s="271" customFormat="1" ht="12" customHeight="1"/>
    <row r="231" s="271" customFormat="1" ht="12" customHeight="1"/>
    <row r="232" s="271" customFormat="1" ht="12" customHeight="1"/>
    <row r="233" s="271" customFormat="1" ht="12" customHeight="1"/>
    <row r="234" s="271" customFormat="1" ht="12" customHeight="1"/>
    <row r="235" s="271" customFormat="1" ht="12" customHeight="1"/>
    <row r="236" s="271" customFormat="1" ht="12" customHeight="1"/>
    <row r="237" s="271" customFormat="1" ht="12" customHeight="1"/>
    <row r="238" s="271" customFormat="1" ht="12" customHeight="1"/>
    <row r="239" s="271" customFormat="1" ht="12" customHeight="1"/>
    <row r="240" s="271" customFormat="1" ht="12" customHeight="1"/>
    <row r="241" s="271" customFormat="1" ht="12" customHeight="1"/>
    <row r="242" s="271" customFormat="1" ht="12" customHeight="1"/>
    <row r="243" s="271" customFormat="1" ht="12" customHeight="1"/>
    <row r="244" s="271" customFormat="1" ht="12" customHeight="1"/>
    <row r="245" s="271" customFormat="1" ht="12" customHeight="1"/>
    <row r="246" s="271" customFormat="1" ht="12" customHeight="1"/>
    <row r="247" s="271" customFormat="1" ht="12" customHeight="1"/>
    <row r="248" s="271" customFormat="1" ht="12" customHeight="1"/>
    <row r="249" s="271" customFormat="1" ht="12" customHeight="1"/>
    <row r="250" s="271" customFormat="1" ht="12" customHeight="1"/>
    <row r="251" s="271" customFormat="1" ht="12" customHeight="1"/>
    <row r="252" s="271" customFormat="1" ht="12" customHeight="1"/>
    <row r="253" s="271" customFormat="1" ht="12" customHeight="1"/>
    <row r="254" s="271" customFormat="1" ht="12" customHeight="1"/>
    <row r="255" s="271" customFormat="1" ht="12" customHeight="1"/>
    <row r="256" s="271" customFormat="1" ht="12" customHeight="1"/>
    <row r="257" s="271" customFormat="1" ht="12" customHeight="1"/>
    <row r="258" s="271" customFormat="1" ht="12" customHeight="1"/>
    <row r="259" s="271" customFormat="1" ht="12" customHeight="1"/>
    <row r="260" s="271" customFormat="1" ht="12" customHeight="1"/>
    <row r="261" s="271" customFormat="1" ht="12" customHeight="1"/>
    <row r="262" s="271" customFormat="1" ht="12" customHeight="1"/>
    <row r="263" s="271" customFormat="1" ht="12" customHeight="1"/>
    <row r="264" s="271" customFormat="1" ht="12" customHeight="1"/>
    <row r="265" s="271" customFormat="1" ht="12" customHeight="1"/>
    <row r="266" s="271" customFormat="1" ht="12" customHeight="1"/>
    <row r="267" s="271" customFormat="1" ht="12" customHeight="1"/>
    <row r="268" s="271" customFormat="1" ht="12" customHeight="1"/>
    <row r="269" s="271" customFormat="1" ht="12" customHeight="1"/>
    <row r="270" s="271" customFormat="1" ht="12" customHeight="1"/>
    <row r="271" s="271" customFormat="1" ht="12" customHeight="1"/>
    <row r="272" s="271" customFormat="1" ht="12" customHeight="1"/>
    <row r="273" spans="1:17" s="271" customFormat="1" ht="12" customHeight="1"/>
    <row r="274" spans="1:17" s="271" customFormat="1" ht="12" customHeight="1"/>
    <row r="275" spans="1:17" s="271" customFormat="1" ht="12" customHeight="1"/>
    <row r="276" spans="1:17" s="271" customFormat="1" ht="12" customHeight="1"/>
    <row r="277" spans="1:17" s="271" customFormat="1" ht="12" customHeight="1"/>
    <row r="278" spans="1:17" s="271" customFormat="1" ht="12" customHeight="1"/>
    <row r="279" spans="1:17" s="271" customFormat="1" ht="12" customHeight="1"/>
    <row r="280" spans="1:17" s="271" customFormat="1" ht="12" customHeight="1"/>
    <row r="281" spans="1:17" s="271" customFormat="1" ht="12" customHeight="1"/>
    <row r="282" spans="1:17" s="271" customFormat="1" ht="12" customHeight="1"/>
    <row r="283" spans="1:17" s="271" customFormat="1" ht="12" customHeight="1">
      <c r="A283" s="272"/>
    </row>
    <row r="284" spans="1:17" s="271" customFormat="1" ht="12" customHeight="1">
      <c r="A284" s="272"/>
    </row>
    <row r="285" spans="1:17" s="271" customFormat="1" ht="12" customHeight="1">
      <c r="A285" s="272"/>
    </row>
    <row r="286" spans="1:17" s="271" customFormat="1" ht="12" customHeight="1">
      <c r="A286" s="272"/>
    </row>
    <row r="287" spans="1:17" s="271" customFormat="1" ht="12" customHeight="1">
      <c r="A287" s="272"/>
    </row>
    <row r="288" spans="1:17">
      <c r="P288" s="272"/>
      <c r="Q288" s="272"/>
    </row>
    <row r="289" spans="1:17">
      <c r="P289" s="272"/>
      <c r="Q289" s="272"/>
    </row>
    <row r="290" spans="1:17">
      <c r="P290" s="272"/>
      <c r="Q290" s="272"/>
    </row>
    <row r="291" spans="1:17">
      <c r="P291" s="272"/>
      <c r="Q291" s="272"/>
    </row>
    <row r="292" spans="1:17">
      <c r="P292" s="272"/>
      <c r="Q292" s="272"/>
    </row>
    <row r="293" spans="1:17" ht="16.5">
      <c r="A293" s="271"/>
      <c r="P293" s="272"/>
      <c r="Q293" s="272"/>
    </row>
    <row r="294" spans="1:17" ht="16.5">
      <c r="A294" s="271"/>
      <c r="P294" s="272"/>
      <c r="Q294" s="272"/>
    </row>
    <row r="295" spans="1:17">
      <c r="P295" s="272"/>
      <c r="Q295" s="272"/>
    </row>
    <row r="296" spans="1:17">
      <c r="P296" s="272"/>
      <c r="Q296" s="272"/>
    </row>
    <row r="297" spans="1:17">
      <c r="P297" s="272"/>
      <c r="Q297" s="272"/>
    </row>
    <row r="298" spans="1:17" s="271" customFormat="1" ht="12" customHeight="1">
      <c r="A298" s="272"/>
    </row>
    <row r="299" spans="1:17" s="271" customFormat="1" ht="12" customHeight="1">
      <c r="A299" s="272"/>
    </row>
    <row r="300" spans="1:17">
      <c r="P300" s="272"/>
      <c r="Q300" s="272"/>
    </row>
    <row r="301" spans="1:17">
      <c r="P301" s="272"/>
      <c r="Q301" s="272"/>
    </row>
    <row r="302" spans="1:17">
      <c r="P302" s="272"/>
      <c r="Q302" s="272"/>
    </row>
    <row r="303" spans="1:17">
      <c r="P303" s="272"/>
      <c r="Q303" s="272"/>
    </row>
    <row r="304" spans="1:17">
      <c r="P304" s="272"/>
      <c r="Q304" s="272"/>
    </row>
    <row r="305" spans="1:17" ht="16.5">
      <c r="A305" s="271"/>
      <c r="P305" s="272"/>
      <c r="Q305" s="272"/>
    </row>
    <row r="306" spans="1:17" ht="16.5">
      <c r="A306" s="271"/>
      <c r="P306" s="272"/>
      <c r="Q306" s="272"/>
    </row>
    <row r="307" spans="1:17" ht="16.5">
      <c r="A307" s="271"/>
      <c r="P307" s="272"/>
      <c r="Q307" s="272"/>
    </row>
    <row r="308" spans="1:17" ht="16.5">
      <c r="A308" s="271"/>
      <c r="P308" s="272"/>
      <c r="Q308" s="272"/>
    </row>
    <row r="309" spans="1:17">
      <c r="P309" s="272"/>
      <c r="Q309" s="272"/>
    </row>
    <row r="310" spans="1:17" s="271" customFormat="1" ht="12" customHeight="1">
      <c r="A310" s="272"/>
    </row>
    <row r="311" spans="1:17" s="271" customFormat="1" ht="12" customHeight="1">
      <c r="A311" s="272"/>
    </row>
    <row r="312" spans="1:17" s="271" customFormat="1" ht="12" customHeight="1">
      <c r="A312" s="272"/>
    </row>
    <row r="313" spans="1:17" s="271" customFormat="1" ht="12" customHeight="1">
      <c r="A313" s="272"/>
    </row>
    <row r="314" spans="1:17">
      <c r="P314" s="272"/>
      <c r="Q314" s="272"/>
    </row>
    <row r="315" spans="1:17">
      <c r="P315" s="272"/>
      <c r="Q315" s="272"/>
    </row>
    <row r="316" spans="1:17">
      <c r="P316" s="272"/>
      <c r="Q316" s="272"/>
    </row>
    <row r="317" spans="1:17">
      <c r="P317" s="272"/>
      <c r="Q317" s="272"/>
    </row>
    <row r="318" spans="1:17">
      <c r="P318" s="272"/>
      <c r="Q318" s="272"/>
    </row>
    <row r="319" spans="1:17" ht="16.5">
      <c r="A319" s="271"/>
      <c r="P319" s="272"/>
      <c r="Q319" s="272"/>
    </row>
    <row r="320" spans="1:17" ht="16.5">
      <c r="A320" s="271"/>
      <c r="P320" s="272"/>
      <c r="Q320" s="272"/>
    </row>
    <row r="321" spans="1:17">
      <c r="P321" s="272"/>
      <c r="Q321" s="272"/>
    </row>
    <row r="322" spans="1:17">
      <c r="P322" s="272"/>
      <c r="Q322" s="272"/>
    </row>
    <row r="323" spans="1:17">
      <c r="P323" s="272"/>
      <c r="Q323" s="272"/>
    </row>
    <row r="324" spans="1:17" s="271" customFormat="1" ht="12" customHeight="1">
      <c r="A324" s="272"/>
    </row>
    <row r="325" spans="1:17" s="271" customFormat="1" ht="12" customHeight="1">
      <c r="A325" s="272"/>
    </row>
    <row r="326" spans="1:17">
      <c r="P326" s="272"/>
      <c r="Q326" s="272"/>
    </row>
    <row r="327" spans="1:17">
      <c r="P327" s="272"/>
      <c r="Q327" s="272"/>
    </row>
    <row r="328" spans="1:17">
      <c r="P328" s="272"/>
      <c r="Q328" s="272"/>
    </row>
    <row r="329" spans="1:17">
      <c r="P329" s="272"/>
      <c r="Q329" s="272"/>
    </row>
    <row r="330" spans="1:17">
      <c r="P330" s="272"/>
      <c r="Q330" s="272"/>
    </row>
    <row r="331" spans="1:17">
      <c r="P331" s="272"/>
      <c r="Q331" s="272"/>
    </row>
    <row r="332" spans="1:17">
      <c r="P332" s="272"/>
      <c r="Q332" s="272"/>
    </row>
    <row r="333" spans="1:17">
      <c r="P333" s="272"/>
      <c r="Q333" s="272"/>
    </row>
    <row r="334" spans="1:17">
      <c r="P334" s="272"/>
      <c r="Q334" s="272"/>
    </row>
    <row r="335" spans="1:17">
      <c r="P335" s="272"/>
      <c r="Q335" s="272"/>
    </row>
    <row r="336" spans="1:17">
      <c r="P336" s="272"/>
      <c r="Q336" s="272"/>
    </row>
    <row r="337" s="272" customFormat="1"/>
    <row r="338" s="272" customFormat="1"/>
    <row r="339" s="272" customFormat="1"/>
    <row r="340" s="272" customFormat="1"/>
    <row r="341" s="272" customFormat="1"/>
    <row r="342" s="272" customFormat="1"/>
    <row r="343" s="272" customFormat="1"/>
    <row r="344" s="272" customFormat="1"/>
    <row r="345" s="272" customFormat="1"/>
    <row r="346" s="272" customFormat="1"/>
    <row r="347" s="272" customFormat="1"/>
    <row r="348" s="272" customFormat="1"/>
    <row r="349" s="272" customFormat="1"/>
    <row r="350" s="272" customFormat="1"/>
    <row r="351" s="272" customFormat="1"/>
    <row r="352" s="272" customFormat="1"/>
    <row r="353" spans="1:17">
      <c r="P353" s="272"/>
      <c r="Q353" s="272"/>
    </row>
    <row r="354" spans="1:17">
      <c r="P354" s="272"/>
      <c r="Q354" s="272"/>
    </row>
    <row r="355" spans="1:17" ht="16.5">
      <c r="A355" s="271"/>
      <c r="P355" s="272"/>
      <c r="Q355" s="272"/>
    </row>
    <row r="356" spans="1:17" ht="16.5">
      <c r="A356" s="271"/>
      <c r="P356" s="272"/>
      <c r="Q356" s="272"/>
    </row>
    <row r="357" spans="1:17">
      <c r="P357" s="272"/>
      <c r="Q357" s="272"/>
    </row>
    <row r="358" spans="1:17">
      <c r="P358" s="272"/>
      <c r="Q358" s="272"/>
    </row>
    <row r="359" spans="1:17">
      <c r="P359" s="272"/>
      <c r="Q359" s="272"/>
    </row>
    <row r="360" spans="1:17" s="271" customFormat="1" ht="12" customHeight="1">
      <c r="A360" s="272"/>
    </row>
    <row r="361" spans="1:17" s="271" customFormat="1" ht="12" customHeight="1">
      <c r="A361" s="272"/>
    </row>
    <row r="362" spans="1:17">
      <c r="P362" s="272"/>
      <c r="Q362" s="272"/>
    </row>
    <row r="363" spans="1:17">
      <c r="P363" s="272"/>
      <c r="Q363" s="272"/>
    </row>
    <row r="364" spans="1:17">
      <c r="P364" s="272"/>
      <c r="Q364" s="272"/>
    </row>
    <row r="365" spans="1:17">
      <c r="P365" s="272"/>
      <c r="Q365" s="272"/>
    </row>
    <row r="366" spans="1:17">
      <c r="P366" s="272"/>
      <c r="Q366" s="272"/>
    </row>
    <row r="367" spans="1:17">
      <c r="P367" s="272"/>
      <c r="Q367" s="272"/>
    </row>
    <row r="368" spans="1:17">
      <c r="P368" s="272"/>
      <c r="Q368" s="272"/>
    </row>
    <row r="369" spans="1:17">
      <c r="P369" s="272"/>
      <c r="Q369" s="272"/>
    </row>
    <row r="370" spans="1:17">
      <c r="P370" s="272"/>
      <c r="Q370" s="272"/>
    </row>
    <row r="371" spans="1:17">
      <c r="P371" s="272"/>
      <c r="Q371" s="272"/>
    </row>
    <row r="372" spans="1:17">
      <c r="P372" s="272"/>
      <c r="Q372" s="272"/>
    </row>
    <row r="373" spans="1:17">
      <c r="P373" s="272"/>
      <c r="Q373" s="272"/>
    </row>
    <row r="374" spans="1:17">
      <c r="P374" s="272"/>
      <c r="Q374" s="272"/>
    </row>
    <row r="375" spans="1:17">
      <c r="P375" s="272"/>
      <c r="Q375" s="272"/>
    </row>
    <row r="376" spans="1:17">
      <c r="P376" s="272"/>
      <c r="Q376" s="272"/>
    </row>
    <row r="377" spans="1:17">
      <c r="P377" s="272"/>
      <c r="Q377" s="272"/>
    </row>
    <row r="378" spans="1:17">
      <c r="P378" s="272"/>
      <c r="Q378" s="272"/>
    </row>
    <row r="379" spans="1:17">
      <c r="P379" s="272"/>
      <c r="Q379" s="272"/>
    </row>
    <row r="380" spans="1:17">
      <c r="P380" s="272"/>
      <c r="Q380" s="272"/>
    </row>
    <row r="381" spans="1:17" ht="16.5">
      <c r="A381" s="271"/>
      <c r="P381" s="272"/>
      <c r="Q381" s="272"/>
    </row>
    <row r="382" spans="1:17" ht="16.5">
      <c r="A382" s="271"/>
      <c r="P382" s="272"/>
      <c r="Q382" s="272"/>
    </row>
    <row r="383" spans="1:17">
      <c r="P383" s="272"/>
      <c r="Q383" s="272"/>
    </row>
    <row r="384" spans="1:17">
      <c r="P384" s="272"/>
      <c r="Q384" s="272"/>
    </row>
    <row r="385" spans="1:17">
      <c r="P385" s="272"/>
      <c r="Q385" s="272"/>
    </row>
    <row r="386" spans="1:17" s="271" customFormat="1" ht="12" customHeight="1">
      <c r="A386" s="272"/>
    </row>
    <row r="387" spans="1:17" s="271" customFormat="1" ht="12" customHeight="1">
      <c r="A387" s="272"/>
    </row>
    <row r="388" spans="1:17">
      <c r="P388" s="272"/>
      <c r="Q388" s="272"/>
    </row>
    <row r="389" spans="1:17">
      <c r="P389" s="272"/>
      <c r="Q389" s="272"/>
    </row>
    <row r="390" spans="1:17">
      <c r="P390" s="272"/>
      <c r="Q390" s="272"/>
    </row>
    <row r="391" spans="1:17">
      <c r="P391" s="272"/>
      <c r="Q391" s="272"/>
    </row>
    <row r="392" spans="1:17">
      <c r="P392" s="272"/>
      <c r="Q392" s="272"/>
    </row>
    <row r="393" spans="1:17">
      <c r="P393" s="272"/>
      <c r="Q393" s="272"/>
    </row>
    <row r="394" spans="1:17">
      <c r="P394" s="272"/>
      <c r="Q394" s="272"/>
    </row>
    <row r="395" spans="1:17">
      <c r="P395" s="272"/>
      <c r="Q395" s="272"/>
    </row>
    <row r="396" spans="1:17">
      <c r="P396" s="272"/>
      <c r="Q396" s="272"/>
    </row>
    <row r="397" spans="1:17">
      <c r="P397" s="272"/>
      <c r="Q397" s="272"/>
    </row>
    <row r="398" spans="1:17">
      <c r="P398" s="272"/>
      <c r="Q398" s="272"/>
    </row>
    <row r="399" spans="1:17">
      <c r="P399" s="272"/>
      <c r="Q399" s="272"/>
    </row>
    <row r="400" spans="1:17">
      <c r="P400" s="272"/>
      <c r="Q400" s="272"/>
    </row>
    <row r="401" spans="1:17">
      <c r="P401" s="272"/>
      <c r="Q401" s="272"/>
    </row>
    <row r="402" spans="1:17">
      <c r="P402" s="272"/>
      <c r="Q402" s="272"/>
    </row>
    <row r="403" spans="1:17">
      <c r="P403" s="272"/>
      <c r="Q403" s="272"/>
    </row>
    <row r="404" spans="1:17">
      <c r="P404" s="272"/>
      <c r="Q404" s="272"/>
    </row>
    <row r="405" spans="1:17">
      <c r="P405" s="272"/>
      <c r="Q405" s="272"/>
    </row>
    <row r="406" spans="1:17">
      <c r="P406" s="272"/>
      <c r="Q406" s="272"/>
    </row>
    <row r="407" spans="1:17">
      <c r="P407" s="272"/>
      <c r="Q407" s="272"/>
    </row>
    <row r="408" spans="1:17" ht="16.5">
      <c r="A408" s="271"/>
      <c r="P408" s="272"/>
      <c r="Q408" s="272"/>
    </row>
    <row r="409" spans="1:17" ht="16.5">
      <c r="A409" s="271"/>
      <c r="P409" s="272"/>
      <c r="Q409" s="272"/>
    </row>
    <row r="410" spans="1:17">
      <c r="P410" s="272"/>
      <c r="Q410" s="272"/>
    </row>
    <row r="411" spans="1:17">
      <c r="P411" s="272"/>
      <c r="Q411" s="272"/>
    </row>
    <row r="412" spans="1:17">
      <c r="P412" s="272"/>
      <c r="Q412" s="272"/>
    </row>
    <row r="413" spans="1:17" s="271" customFormat="1" ht="12" customHeight="1">
      <c r="A413" s="272"/>
    </row>
    <row r="414" spans="1:17" s="271" customFormat="1" ht="12" customHeight="1">
      <c r="A414" s="272"/>
    </row>
    <row r="415" spans="1:17">
      <c r="P415" s="272"/>
      <c r="Q415" s="272"/>
    </row>
    <row r="416" spans="1:17">
      <c r="P416" s="272"/>
      <c r="Q416" s="272"/>
    </row>
    <row r="417" s="272" customFormat="1"/>
    <row r="418" s="272" customFormat="1"/>
    <row r="419" s="272" customFormat="1"/>
    <row r="420" s="272" customFormat="1"/>
    <row r="421" s="272" customFormat="1"/>
    <row r="422" s="272" customFormat="1"/>
    <row r="423" s="272" customFormat="1"/>
    <row r="424" s="272" customFormat="1"/>
    <row r="425" s="272" customFormat="1"/>
    <row r="426" s="272" customFormat="1"/>
    <row r="427" s="272" customFormat="1"/>
    <row r="428" s="272" customFormat="1"/>
    <row r="429" s="272" customFormat="1"/>
    <row r="430" s="272" customFormat="1"/>
    <row r="431" s="272" customFormat="1"/>
    <row r="432" s="272" customFormat="1"/>
    <row r="433" spans="1:17">
      <c r="P433" s="272"/>
      <c r="Q433" s="272"/>
    </row>
    <row r="434" spans="1:17" ht="16.5">
      <c r="A434" s="271"/>
      <c r="P434" s="272"/>
      <c r="Q434" s="272"/>
    </row>
    <row r="435" spans="1:17" ht="16.5">
      <c r="A435" s="271"/>
      <c r="P435" s="272"/>
      <c r="Q435" s="272"/>
    </row>
    <row r="436" spans="1:17" ht="16.5">
      <c r="A436" s="271"/>
      <c r="P436" s="272"/>
      <c r="Q436" s="272"/>
    </row>
    <row r="437" spans="1:17">
      <c r="P437" s="272"/>
      <c r="Q437" s="272"/>
    </row>
    <row r="438" spans="1:17">
      <c r="P438" s="272"/>
      <c r="Q438" s="272"/>
    </row>
    <row r="439" spans="1:17" s="271" customFormat="1" ht="12" customHeight="1">
      <c r="A439" s="272"/>
    </row>
    <row r="440" spans="1:17" s="271" customFormat="1" ht="12" customHeight="1">
      <c r="A440" s="272"/>
    </row>
    <row r="441" spans="1:17" s="271" customFormat="1" ht="12" customHeight="1">
      <c r="A441" s="272"/>
    </row>
    <row r="442" spans="1:17">
      <c r="P442" s="272"/>
      <c r="Q442" s="272"/>
    </row>
    <row r="443" spans="1:17">
      <c r="P443" s="272"/>
      <c r="Q443" s="272"/>
    </row>
    <row r="444" spans="1:17">
      <c r="P444" s="272"/>
      <c r="Q444" s="272"/>
    </row>
    <row r="445" spans="1:17">
      <c r="P445" s="272"/>
      <c r="Q445" s="272"/>
    </row>
    <row r="446" spans="1:17">
      <c r="P446" s="272"/>
      <c r="Q446" s="272"/>
    </row>
    <row r="447" spans="1:17">
      <c r="P447" s="272"/>
      <c r="Q447" s="272"/>
    </row>
    <row r="448" spans="1:17">
      <c r="P448" s="272"/>
      <c r="Q448" s="272"/>
    </row>
    <row r="449" spans="1:17">
      <c r="P449" s="272"/>
      <c r="Q449" s="272"/>
    </row>
    <row r="450" spans="1:17">
      <c r="P450" s="272"/>
      <c r="Q450" s="272"/>
    </row>
    <row r="451" spans="1:17">
      <c r="P451" s="272"/>
      <c r="Q451" s="272"/>
    </row>
    <row r="452" spans="1:17">
      <c r="P452" s="272"/>
      <c r="Q452" s="272"/>
    </row>
    <row r="453" spans="1:17">
      <c r="P453" s="272"/>
      <c r="Q453" s="272"/>
    </row>
    <row r="454" spans="1:17">
      <c r="P454" s="272"/>
      <c r="Q454" s="272"/>
    </row>
    <row r="455" spans="1:17">
      <c r="P455" s="272"/>
      <c r="Q455" s="272"/>
    </row>
    <row r="456" spans="1:17">
      <c r="P456" s="272"/>
      <c r="Q456" s="272"/>
    </row>
    <row r="457" spans="1:17">
      <c r="P457" s="272"/>
      <c r="Q457" s="272"/>
    </row>
    <row r="458" spans="1:17">
      <c r="P458" s="272"/>
      <c r="Q458" s="272"/>
    </row>
    <row r="459" spans="1:17">
      <c r="P459" s="272"/>
      <c r="Q459" s="272"/>
    </row>
    <row r="460" spans="1:17">
      <c r="P460" s="272"/>
      <c r="Q460" s="272"/>
    </row>
    <row r="461" spans="1:17" ht="16.5">
      <c r="A461" s="271"/>
      <c r="P461" s="272"/>
      <c r="Q461" s="272"/>
    </row>
    <row r="462" spans="1:17" ht="16.5">
      <c r="A462" s="271"/>
      <c r="P462" s="272"/>
      <c r="Q462" s="272"/>
    </row>
    <row r="463" spans="1:17" ht="16.5">
      <c r="A463" s="271"/>
      <c r="P463" s="272"/>
      <c r="Q463" s="272"/>
    </row>
    <row r="464" spans="1:17" ht="16.5">
      <c r="A464" s="271"/>
      <c r="P464" s="272"/>
      <c r="Q464" s="272"/>
    </row>
    <row r="465" spans="1:17">
      <c r="P465" s="272"/>
      <c r="Q465" s="272"/>
    </row>
    <row r="466" spans="1:17" s="271" customFormat="1" ht="7.5" customHeight="1">
      <c r="A466" s="272"/>
    </row>
    <row r="467" spans="1:17" s="271" customFormat="1" ht="6" customHeight="1">
      <c r="A467" s="272"/>
    </row>
    <row r="468" spans="1:17" s="271" customFormat="1" ht="12" customHeight="1">
      <c r="A468" s="272"/>
    </row>
    <row r="469" spans="1:17" s="271" customFormat="1" ht="12" customHeight="1">
      <c r="A469" s="272"/>
    </row>
    <row r="470" spans="1:17">
      <c r="P470" s="272"/>
      <c r="Q470" s="272"/>
    </row>
    <row r="471" spans="1:17">
      <c r="P471" s="272"/>
      <c r="Q471" s="272"/>
    </row>
    <row r="472" spans="1:17">
      <c r="P472" s="272"/>
      <c r="Q472" s="272"/>
    </row>
    <row r="473" spans="1:17">
      <c r="P473" s="272"/>
      <c r="Q473" s="272"/>
    </row>
    <row r="474" spans="1:17">
      <c r="P474" s="272"/>
      <c r="Q474" s="272"/>
    </row>
    <row r="475" spans="1:17">
      <c r="P475" s="272"/>
      <c r="Q475" s="272"/>
    </row>
    <row r="476" spans="1:17">
      <c r="P476" s="272"/>
      <c r="Q476" s="272"/>
    </row>
    <row r="477" spans="1:17">
      <c r="P477" s="272"/>
      <c r="Q477" s="272"/>
    </row>
    <row r="478" spans="1:17">
      <c r="P478" s="272"/>
      <c r="Q478" s="272"/>
    </row>
    <row r="479" spans="1:17">
      <c r="P479" s="272"/>
      <c r="Q479" s="272"/>
    </row>
    <row r="480" spans="1:17">
      <c r="P480" s="272"/>
      <c r="Q480" s="272"/>
    </row>
    <row r="481" spans="1:17">
      <c r="P481" s="272"/>
      <c r="Q481" s="272"/>
    </row>
    <row r="482" spans="1:17">
      <c r="P482" s="272"/>
      <c r="Q482" s="272"/>
    </row>
    <row r="483" spans="1:17">
      <c r="P483" s="272"/>
      <c r="Q483" s="272"/>
    </row>
    <row r="484" spans="1:17">
      <c r="P484" s="272"/>
      <c r="Q484" s="272"/>
    </row>
    <row r="485" spans="1:17">
      <c r="P485" s="272"/>
      <c r="Q485" s="272"/>
    </row>
    <row r="486" spans="1:17">
      <c r="P486" s="272"/>
      <c r="Q486" s="272"/>
    </row>
    <row r="487" spans="1:17">
      <c r="P487" s="272"/>
      <c r="Q487" s="272"/>
    </row>
    <row r="488" spans="1:17" ht="12" customHeight="1">
      <c r="P488" s="272"/>
      <c r="Q488" s="272"/>
    </row>
    <row r="489" spans="1:17" ht="16.5">
      <c r="A489" s="271"/>
      <c r="P489" s="272"/>
      <c r="Q489" s="272"/>
    </row>
    <row r="490" spans="1:17" ht="16.5">
      <c r="A490" s="271"/>
      <c r="P490" s="272"/>
      <c r="Q490" s="272"/>
    </row>
    <row r="491" spans="1:17">
      <c r="P491" s="272"/>
      <c r="Q491" s="272"/>
    </row>
    <row r="492" spans="1:17">
      <c r="P492" s="272"/>
      <c r="Q492" s="272"/>
    </row>
    <row r="493" spans="1:17">
      <c r="P493" s="272"/>
      <c r="Q493" s="272"/>
    </row>
    <row r="494" spans="1:17" s="271" customFormat="1" ht="12" customHeight="1">
      <c r="A494" s="272"/>
    </row>
    <row r="495" spans="1:17" s="271" customFormat="1" ht="12" customHeight="1">
      <c r="A495" s="272"/>
    </row>
    <row r="496" spans="1:17">
      <c r="P496" s="272"/>
      <c r="Q496" s="272"/>
    </row>
    <row r="497" s="272" customFormat="1"/>
    <row r="498" s="272" customFormat="1"/>
    <row r="499" s="272" customFormat="1"/>
    <row r="500" s="272" customFormat="1"/>
    <row r="501" s="272" customFormat="1"/>
    <row r="502" s="272" customFormat="1"/>
    <row r="503" s="272" customFormat="1"/>
    <row r="504" s="272" customFormat="1"/>
    <row r="505" s="272" customFormat="1"/>
    <row r="506" s="272" customFormat="1"/>
    <row r="507" s="272" customFormat="1"/>
    <row r="508" s="272" customFormat="1"/>
    <row r="509" s="272" customFormat="1"/>
    <row r="510" s="272" customFormat="1"/>
    <row r="511" s="272" customFormat="1"/>
    <row r="512" s="272" customFormat="1"/>
    <row r="513" spans="1:17">
      <c r="P513" s="272"/>
      <c r="Q513" s="272"/>
    </row>
    <row r="514" spans="1:17">
      <c r="P514" s="272"/>
      <c r="Q514" s="272"/>
    </row>
    <row r="515" spans="1:17" ht="16.5">
      <c r="A515" s="271"/>
      <c r="P515" s="272"/>
      <c r="Q515" s="272"/>
    </row>
    <row r="516" spans="1:17" ht="16.5">
      <c r="A516" s="271"/>
      <c r="P516" s="272"/>
      <c r="Q516" s="272"/>
    </row>
    <row r="517" spans="1:17" ht="16.5">
      <c r="A517" s="271"/>
      <c r="P517" s="272"/>
      <c r="Q517" s="272"/>
    </row>
    <row r="518" spans="1:17" ht="16.5">
      <c r="A518" s="271"/>
      <c r="P518" s="272"/>
      <c r="Q518" s="272"/>
    </row>
    <row r="519" spans="1:17" ht="16.5">
      <c r="A519" s="271"/>
      <c r="P519" s="272"/>
      <c r="Q519" s="272"/>
    </row>
    <row r="520" spans="1:17" s="271" customFormat="1" ht="12" customHeight="1">
      <c r="A520" s="272"/>
    </row>
    <row r="521" spans="1:17" s="271" customFormat="1" ht="12" customHeight="1">
      <c r="A521" s="272"/>
    </row>
    <row r="522" spans="1:17" s="271" customFormat="1" ht="12" customHeight="1">
      <c r="A522" s="272"/>
    </row>
    <row r="523" spans="1:17" s="271" customFormat="1" ht="12" customHeight="1">
      <c r="A523" s="272"/>
    </row>
    <row r="524" spans="1:17" s="271" customFormat="1" ht="12" customHeight="1">
      <c r="A524" s="272"/>
    </row>
    <row r="525" spans="1:17">
      <c r="P525" s="272"/>
      <c r="Q525" s="272"/>
    </row>
    <row r="526" spans="1:17">
      <c r="P526" s="272"/>
      <c r="Q526" s="272"/>
    </row>
    <row r="527" spans="1:17">
      <c r="P527" s="272"/>
      <c r="Q527" s="272"/>
    </row>
    <row r="528" spans="1:17">
      <c r="P528" s="272"/>
      <c r="Q528" s="272"/>
    </row>
    <row r="529" s="272" customFormat="1"/>
    <row r="530" s="272" customFormat="1"/>
    <row r="531" s="272" customFormat="1"/>
    <row r="532" s="272" customFormat="1"/>
    <row r="533" s="272" customFormat="1"/>
    <row r="534" s="272" customFormat="1"/>
    <row r="535" s="272" customFormat="1"/>
    <row r="536" s="272" customFormat="1"/>
    <row r="537" s="272" customFormat="1"/>
    <row r="538" s="272" customFormat="1"/>
    <row r="539" s="272" customFormat="1"/>
    <row r="540" s="272" customFormat="1"/>
    <row r="541" s="272" customFormat="1"/>
    <row r="542" s="272" customFormat="1"/>
    <row r="543" s="272" customFormat="1"/>
    <row r="544" s="272" customFormat="1"/>
    <row r="545" s="272" customFormat="1"/>
    <row r="546" s="272" customFormat="1"/>
    <row r="547" s="272" customFormat="1"/>
    <row r="548" s="272" customFormat="1"/>
    <row r="549" s="272" customFormat="1"/>
    <row r="550" s="272" customFormat="1"/>
    <row r="551" s="272" customFormat="1"/>
    <row r="552" s="272" customFormat="1"/>
    <row r="553" s="272" customFormat="1"/>
    <row r="554" s="272" customFormat="1"/>
    <row r="555" s="272" customFormat="1"/>
    <row r="556" s="272" customFormat="1"/>
    <row r="557" s="272" customFormat="1"/>
    <row r="558" s="272" customFormat="1"/>
    <row r="559" s="272" customFormat="1"/>
    <row r="560" s="272" customFormat="1"/>
    <row r="561" s="272" customFormat="1"/>
    <row r="562" s="272" customFormat="1"/>
    <row r="563" s="272" customFormat="1"/>
    <row r="564" s="272" customFormat="1"/>
    <row r="565" s="272" customFormat="1"/>
    <row r="566" s="272" customFormat="1"/>
    <row r="567" s="272" customFormat="1"/>
    <row r="568" s="272" customFormat="1"/>
    <row r="569" s="272" customFormat="1"/>
    <row r="570" s="272" customFormat="1"/>
    <row r="571" s="272" customFormat="1"/>
    <row r="572" s="272" customFormat="1"/>
    <row r="573" s="272" customFormat="1"/>
    <row r="574" s="272" customFormat="1"/>
    <row r="575" s="272" customFormat="1"/>
    <row r="576" s="272" customFormat="1"/>
    <row r="577" s="272" customFormat="1"/>
    <row r="578" s="272" customFormat="1"/>
    <row r="579" s="272" customFormat="1"/>
    <row r="580" s="272" customFormat="1"/>
    <row r="581" s="272" customFormat="1"/>
    <row r="582" s="272" customFormat="1"/>
    <row r="583" s="272" customFormat="1"/>
    <row r="584" s="272" customFormat="1"/>
    <row r="585" s="272" customFormat="1"/>
    <row r="586" s="272" customFormat="1"/>
    <row r="587" s="272" customFormat="1"/>
    <row r="588" s="272" customFormat="1"/>
    <row r="589" s="272" customFormat="1"/>
    <row r="590" s="272" customFormat="1"/>
    <row r="591" s="272" customFormat="1"/>
    <row r="592" s="272" customFormat="1"/>
    <row r="593" s="272" customFormat="1"/>
    <row r="594" s="272" customFormat="1"/>
    <row r="595" s="272" customFormat="1"/>
    <row r="596" s="272" customFormat="1"/>
    <row r="597" s="272" customFormat="1"/>
    <row r="598" s="272" customFormat="1"/>
    <row r="599" s="272" customFormat="1"/>
    <row r="600" s="272" customFormat="1"/>
    <row r="601" s="272" customFormat="1"/>
    <row r="602" s="272" customFormat="1"/>
    <row r="603" s="272" customFormat="1"/>
    <row r="604" s="272" customFormat="1"/>
    <row r="605" s="272" customFormat="1"/>
    <row r="606" s="272" customFormat="1"/>
    <row r="607" s="272" customFormat="1"/>
    <row r="608" s="272" customFormat="1"/>
    <row r="609" s="272" customFormat="1"/>
    <row r="610" s="272" customFormat="1"/>
    <row r="611" s="272" customFormat="1"/>
    <row r="612" s="272" customFormat="1"/>
    <row r="613" s="272" customFormat="1"/>
    <row r="614" s="272" customFormat="1"/>
    <row r="615" s="272" customFormat="1"/>
    <row r="616" s="272" customFormat="1"/>
    <row r="617" s="272" customFormat="1"/>
    <row r="618" s="272" customFormat="1"/>
    <row r="619" s="272" customFormat="1"/>
    <row r="620" s="272" customFormat="1"/>
    <row r="621" s="272" customFormat="1"/>
    <row r="622" s="272" customFormat="1"/>
    <row r="623" s="272" customFormat="1"/>
    <row r="624" s="272" customFormat="1"/>
    <row r="625" s="272" customFormat="1"/>
    <row r="626" s="272" customFormat="1"/>
    <row r="627" s="272" customFormat="1"/>
    <row r="628" s="272" customFormat="1"/>
    <row r="629" s="272" customFormat="1"/>
    <row r="630" s="272" customFormat="1"/>
    <row r="631" s="272" customFormat="1"/>
    <row r="632" s="272" customFormat="1"/>
    <row r="633" s="272" customFormat="1"/>
    <row r="634" s="272" customFormat="1"/>
    <row r="635" s="272" customFormat="1"/>
    <row r="636" s="272" customFormat="1"/>
    <row r="637" s="272" customFormat="1"/>
    <row r="638" s="272" customFormat="1"/>
    <row r="639" s="272" customFormat="1"/>
    <row r="640" s="272" customFormat="1"/>
    <row r="641" s="272" customFormat="1"/>
    <row r="642" s="272" customFormat="1"/>
    <row r="643" s="272" customFormat="1"/>
    <row r="644" s="272" customFormat="1"/>
    <row r="645" s="272" customFormat="1"/>
    <row r="646" s="272" customFormat="1"/>
    <row r="647" s="272" customFormat="1"/>
    <row r="648" s="272" customFormat="1"/>
    <row r="649" s="272" customFormat="1"/>
    <row r="650" s="272" customFormat="1"/>
  </sheetData>
  <mergeCells count="8">
    <mergeCell ref="L4:L5"/>
    <mergeCell ref="M4:M5"/>
    <mergeCell ref="A4:A5"/>
    <mergeCell ref="B4:B5"/>
    <mergeCell ref="C4:C5"/>
    <mergeCell ref="D4:D5"/>
    <mergeCell ref="E4:F5"/>
    <mergeCell ref="G4:G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78" orientation="portrait" useFirstPageNumber="1" r:id="rId1"/>
  <headerFooter differentOddEven="1"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6A65-14C0-4566-8524-B67E1544C07C}">
  <sheetPr>
    <tabColor rgb="FF00B0F0"/>
  </sheetPr>
  <dimension ref="A1:II42"/>
  <sheetViews>
    <sheetView showGridLines="0" view="pageBreakPreview" zoomScaleNormal="100" zoomScaleSheetLayoutView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0" defaultRowHeight="16.5"/>
  <cols>
    <col min="1" max="1" width="9.875" style="12" customWidth="1"/>
    <col min="2" max="2" width="5.375" style="12" customWidth="1"/>
    <col min="3" max="6" width="11.375" style="12" customWidth="1"/>
    <col min="7" max="7" width="10.625" style="12" customWidth="1"/>
    <col min="8" max="8" width="11.375" style="12" customWidth="1"/>
    <col min="9" max="9" width="10.625" style="12" customWidth="1"/>
    <col min="10" max="10" width="6.5" style="12" hidden="1" customWidth="1"/>
    <col min="11" max="13" width="10" style="12" customWidth="1"/>
    <col min="14" max="14" width="14.375" style="12" customWidth="1"/>
    <col min="15" max="21" width="10" style="12" customWidth="1"/>
    <col min="22" max="22" width="0.875" style="12" customWidth="1"/>
    <col min="23" max="28" width="10" style="12" hidden="1" customWidth="1"/>
    <col min="29" max="29" width="2.125" style="12" hidden="1" customWidth="1"/>
    <col min="30" max="36" width="10" style="12" hidden="1" customWidth="1"/>
    <col min="37" max="37" width="6.875" style="12" hidden="1" customWidth="1"/>
    <col min="38" max="43" width="10" style="12" hidden="1" customWidth="1"/>
    <col min="44" max="44" width="3.625" style="12" hidden="1" customWidth="1"/>
    <col min="45" max="53" width="10" style="12" hidden="1" customWidth="1"/>
    <col min="54" max="54" width="1.875" style="12" hidden="1" customWidth="1"/>
    <col min="55" max="62" width="10" style="12" hidden="1" customWidth="1"/>
    <col min="63" max="63" width="9.625" style="12" hidden="1" customWidth="1"/>
    <col min="64" max="66" width="10" style="12" hidden="1" customWidth="1"/>
    <col min="67" max="67" width="4.75" style="12" hidden="1" customWidth="1"/>
    <col min="68" max="73" width="10" style="12" hidden="1" customWidth="1"/>
    <col min="74" max="74" width="5.125" style="12" hidden="1" customWidth="1"/>
    <col min="75" max="82" width="10" style="12" hidden="1" customWidth="1"/>
    <col min="83" max="83" width="4.125" style="12" hidden="1" customWidth="1"/>
    <col min="84" max="86" width="10" style="12" hidden="1" customWidth="1"/>
    <col min="87" max="87" width="7.5" style="12" hidden="1" customWidth="1"/>
    <col min="88" max="88" width="3.25" style="12" hidden="1" customWidth="1"/>
    <col min="89" max="92" width="10" style="12" hidden="1" customWidth="1"/>
    <col min="93" max="93" width="9.125" style="12" hidden="1" customWidth="1"/>
    <col min="94" max="98" width="10" style="12" hidden="1" customWidth="1"/>
    <col min="99" max="99" width="0.75" style="12" hidden="1" customWidth="1"/>
    <col min="100" max="106" width="10" style="12" hidden="1" customWidth="1"/>
    <col min="107" max="107" width="6" style="12" hidden="1" customWidth="1"/>
    <col min="108" max="112" width="10" style="12" hidden="1" customWidth="1"/>
    <col min="113" max="113" width="8.25" style="12" hidden="1" customWidth="1"/>
    <col min="114" max="114" width="10" style="12" hidden="1" customWidth="1"/>
    <col min="115" max="115" width="8.375" style="12" hidden="1" customWidth="1"/>
    <col min="116" max="123" width="10" style="12" hidden="1" customWidth="1"/>
    <col min="124" max="124" width="4.75" style="12" hidden="1" customWidth="1"/>
    <col min="125" max="134" width="10" style="12" hidden="1" customWidth="1"/>
    <col min="135" max="135" width="7.5" style="12" hidden="1" customWidth="1"/>
    <col min="136" max="136" width="10" style="12" hidden="1" customWidth="1"/>
    <col min="137" max="137" width="4.875" style="12" hidden="1" customWidth="1"/>
    <col min="138" max="144" width="10" style="12" hidden="1" customWidth="1"/>
    <col min="145" max="145" width="0.375" style="12" hidden="1" customWidth="1"/>
    <col min="146" max="148" width="10" style="12" hidden="1" customWidth="1"/>
    <col min="149" max="149" width="5.5" style="12" hidden="1" customWidth="1"/>
    <col min="150" max="152" width="10" style="12" hidden="1" customWidth="1"/>
    <col min="153" max="153" width="2.5" style="12" hidden="1" customWidth="1"/>
    <col min="154" max="154" width="2.375" style="12" hidden="1" customWidth="1"/>
    <col min="155" max="197" width="0" style="12" hidden="1" customWidth="1"/>
    <col min="198" max="203" width="10" style="12" hidden="1" customWidth="1"/>
    <col min="204" max="211" width="0" style="12" hidden="1" customWidth="1"/>
    <col min="212" max="217" width="10" style="12" hidden="1" customWidth="1"/>
    <col min="218" max="225" width="0" style="12" hidden="1" customWidth="1"/>
    <col min="226" max="232" width="10" style="12" hidden="1" customWidth="1"/>
    <col min="233" max="234" width="0" style="12" hidden="1" customWidth="1"/>
    <col min="235" max="243" width="10" style="12" hidden="1" customWidth="1"/>
    <col min="244" max="16384" width="0" style="12" hidden="1"/>
  </cols>
  <sheetData>
    <row r="1" spans="1:13" s="976" customFormat="1" ht="26.25">
      <c r="A1" s="609" t="s">
        <v>1347</v>
      </c>
    </row>
    <row r="2" spans="1:13" ht="17.25">
      <c r="A2" s="274" t="s">
        <v>1348</v>
      </c>
      <c r="B2" s="274"/>
    </row>
    <row r="3" spans="1:13" ht="15" customHeight="1">
      <c r="I3" s="282" t="s">
        <v>1312</v>
      </c>
      <c r="J3" s="532"/>
    </row>
    <row r="4" spans="1:13" ht="12.75" customHeight="1">
      <c r="A4" s="2603"/>
      <c r="B4" s="2489"/>
      <c r="C4" s="617"/>
      <c r="D4" s="2465"/>
      <c r="E4" s="2465"/>
      <c r="F4" s="1037" t="s">
        <v>1333</v>
      </c>
      <c r="G4" s="1037" t="s">
        <v>1349</v>
      </c>
      <c r="H4" s="1037" t="s">
        <v>1350</v>
      </c>
      <c r="I4" s="2604" t="s">
        <v>1351</v>
      </c>
      <c r="J4" s="2605" t="s">
        <v>1154</v>
      </c>
    </row>
    <row r="5" spans="1:13" ht="12.75" customHeight="1">
      <c r="A5" s="2606" t="s">
        <v>1352</v>
      </c>
      <c r="B5" s="2607"/>
      <c r="C5" s="528" t="s">
        <v>501</v>
      </c>
      <c r="D5" s="483" t="s">
        <v>1314</v>
      </c>
      <c r="E5" s="483" t="s">
        <v>1346</v>
      </c>
      <c r="F5" s="1631"/>
      <c r="G5" s="1631"/>
      <c r="H5" s="2608"/>
      <c r="I5" s="1632"/>
      <c r="J5" s="2609" t="s">
        <v>61</v>
      </c>
      <c r="K5" s="280"/>
      <c r="L5" s="613"/>
    </row>
    <row r="6" spans="1:13" ht="7.5" customHeight="1">
      <c r="A6" s="2610"/>
      <c r="B6" s="2611"/>
      <c r="C6" s="2612"/>
      <c r="D6" s="2613"/>
      <c r="E6" s="2613"/>
      <c r="F6" s="303"/>
      <c r="G6" s="303"/>
      <c r="H6" s="305"/>
      <c r="I6" s="306"/>
      <c r="J6" s="2611" t="s">
        <v>1154</v>
      </c>
      <c r="K6" s="280"/>
      <c r="L6" s="613"/>
    </row>
    <row r="7" spans="1:13" ht="20.100000000000001" customHeight="1">
      <c r="A7" s="2614" t="s">
        <v>1353</v>
      </c>
      <c r="B7" s="2615" t="s">
        <v>1354</v>
      </c>
      <c r="C7" s="2616">
        <v>158286</v>
      </c>
      <c r="D7" s="2617">
        <v>84186</v>
      </c>
      <c r="E7" s="2617">
        <v>69042</v>
      </c>
      <c r="F7" s="2617">
        <v>89244</v>
      </c>
      <c r="G7" s="2618">
        <v>129.26</v>
      </c>
      <c r="H7" s="2617">
        <v>15144</v>
      </c>
      <c r="I7" s="2619">
        <v>21.934000000000001</v>
      </c>
      <c r="J7" s="2620" t="e">
        <f>#REF!/E7*100</f>
        <v>#REF!</v>
      </c>
      <c r="K7" s="2199"/>
      <c r="L7" s="2597"/>
      <c r="M7" s="2621"/>
    </row>
    <row r="8" spans="1:13" ht="20.100000000000001" customHeight="1">
      <c r="A8" s="2614" t="s">
        <v>1355</v>
      </c>
      <c r="B8" s="2615" t="s">
        <v>1356</v>
      </c>
      <c r="C8" s="2622">
        <v>158286</v>
      </c>
      <c r="D8" s="2623">
        <v>84464</v>
      </c>
      <c r="E8" s="2623">
        <v>68564</v>
      </c>
      <c r="F8" s="2623">
        <v>89722</v>
      </c>
      <c r="G8" s="2624">
        <v>130.85900000000001</v>
      </c>
      <c r="H8" s="2623">
        <v>15900</v>
      </c>
      <c r="I8" s="2625">
        <v>23.19</v>
      </c>
      <c r="J8" s="2626" t="e">
        <f>#REF!/E8*100</f>
        <v>#REF!</v>
      </c>
      <c r="K8" s="2199"/>
      <c r="L8" s="2597"/>
      <c r="M8" s="2621"/>
    </row>
    <row r="9" spans="1:13" ht="20.100000000000001" customHeight="1">
      <c r="A9" s="2614" t="s">
        <v>1357</v>
      </c>
      <c r="B9" s="2615" t="s">
        <v>1358</v>
      </c>
      <c r="C9" s="2622">
        <v>158286</v>
      </c>
      <c r="D9" s="2623">
        <v>83542</v>
      </c>
      <c r="E9" s="2623">
        <v>66751</v>
      </c>
      <c r="F9" s="2623">
        <v>91535</v>
      </c>
      <c r="G9" s="2624">
        <v>137.12899999999999</v>
      </c>
      <c r="H9" s="2623">
        <v>16791</v>
      </c>
      <c r="I9" s="2625">
        <v>25.155000000000001</v>
      </c>
      <c r="J9" s="2626" t="e">
        <f>#REF!/E9*100</f>
        <v>#REF!</v>
      </c>
      <c r="K9" s="2199"/>
      <c r="L9" s="2597"/>
      <c r="M9" s="2621"/>
    </row>
    <row r="10" spans="1:13" ht="20.100000000000001" customHeight="1">
      <c r="A10" s="2614" t="s">
        <v>1359</v>
      </c>
      <c r="B10" s="2615" t="s">
        <v>1360</v>
      </c>
      <c r="C10" s="2622">
        <v>158286</v>
      </c>
      <c r="D10" s="2623">
        <v>80984</v>
      </c>
      <c r="E10" s="2623">
        <v>60097</v>
      </c>
      <c r="F10" s="2623">
        <v>98189</v>
      </c>
      <c r="G10" s="2624">
        <v>163.38399999999999</v>
      </c>
      <c r="H10" s="2623">
        <v>20887</v>
      </c>
      <c r="I10" s="2625">
        <v>34.755000000000003</v>
      </c>
      <c r="J10" s="2626" t="e">
        <f>#REF!/E10*100</f>
        <v>#REF!</v>
      </c>
      <c r="K10" s="2199"/>
      <c r="L10" s="2597"/>
      <c r="M10" s="2621"/>
    </row>
    <row r="11" spans="1:13" ht="20.100000000000001" customHeight="1">
      <c r="A11" s="2614" t="s">
        <v>1361</v>
      </c>
      <c r="B11" s="2615" t="s">
        <v>1362</v>
      </c>
      <c r="C11" s="2622">
        <v>158286</v>
      </c>
      <c r="D11" s="2623">
        <v>81085</v>
      </c>
      <c r="E11" s="2623">
        <v>59006</v>
      </c>
      <c r="F11" s="2623">
        <v>99280</v>
      </c>
      <c r="G11" s="2624">
        <v>168.25399999999999</v>
      </c>
      <c r="H11" s="2623">
        <v>22079</v>
      </c>
      <c r="I11" s="2625">
        <v>37.417999999999999</v>
      </c>
      <c r="J11" s="2626"/>
      <c r="K11" s="2199"/>
      <c r="L11" s="2627"/>
      <c r="M11" s="2621"/>
    </row>
    <row r="12" spans="1:13" ht="20.100000000000001" customHeight="1">
      <c r="A12" s="2614" t="s">
        <v>1363</v>
      </c>
      <c r="B12" s="2615" t="s">
        <v>1364</v>
      </c>
      <c r="C12" s="2622">
        <v>158286</v>
      </c>
      <c r="D12" s="2623">
        <v>79971</v>
      </c>
      <c r="E12" s="2623">
        <v>69045</v>
      </c>
      <c r="F12" s="2623">
        <v>89241</v>
      </c>
      <c r="G12" s="2624">
        <v>129.25</v>
      </c>
      <c r="H12" s="2623">
        <v>10926</v>
      </c>
      <c r="I12" s="2625">
        <v>15.824</v>
      </c>
      <c r="J12" s="2626"/>
      <c r="K12" s="2199"/>
      <c r="L12" s="2627"/>
      <c r="M12" s="2621"/>
    </row>
    <row r="13" spans="1:13" ht="20.100000000000001" customHeight="1">
      <c r="A13" s="2614" t="s">
        <v>1365</v>
      </c>
      <c r="B13" s="2615" t="s">
        <v>1366</v>
      </c>
      <c r="C13" s="2622">
        <v>158286</v>
      </c>
      <c r="D13" s="2623">
        <v>80479</v>
      </c>
      <c r="E13" s="2623">
        <v>69438</v>
      </c>
      <c r="F13" s="2623">
        <v>88848</v>
      </c>
      <c r="G13" s="2624">
        <v>127.953</v>
      </c>
      <c r="H13" s="2623">
        <v>11041</v>
      </c>
      <c r="I13" s="2625">
        <v>15.901</v>
      </c>
      <c r="J13" s="2626"/>
      <c r="K13" s="2199"/>
      <c r="L13" s="2627"/>
      <c r="M13" s="2621"/>
    </row>
    <row r="14" spans="1:13" ht="20.100000000000001" customHeight="1">
      <c r="A14" s="2614" t="s">
        <v>1367</v>
      </c>
      <c r="B14" s="2615" t="s">
        <v>1354</v>
      </c>
      <c r="C14" s="2622">
        <v>158337</v>
      </c>
      <c r="D14" s="2623">
        <v>81602</v>
      </c>
      <c r="E14" s="2623">
        <v>68698</v>
      </c>
      <c r="F14" s="2623">
        <v>89639</v>
      </c>
      <c r="G14" s="2624">
        <v>130.483</v>
      </c>
      <c r="H14" s="2623">
        <v>12904</v>
      </c>
      <c r="I14" s="2625">
        <v>18.783999999999999</v>
      </c>
      <c r="J14" s="2626" t="e">
        <f>#REF!/E14*100</f>
        <v>#REF!</v>
      </c>
      <c r="K14" s="2199"/>
      <c r="L14" s="2627"/>
      <c r="M14" s="2621"/>
    </row>
    <row r="15" spans="1:13" ht="20.100000000000001" customHeight="1">
      <c r="A15" s="2628" t="s">
        <v>1368</v>
      </c>
      <c r="B15" s="2629" t="s">
        <v>1356</v>
      </c>
      <c r="C15" s="2630">
        <v>158337</v>
      </c>
      <c r="D15" s="2631">
        <v>80768</v>
      </c>
      <c r="E15" s="2631">
        <v>73633</v>
      </c>
      <c r="F15" s="2631">
        <v>84704</v>
      </c>
      <c r="G15" s="2632">
        <v>115.035</v>
      </c>
      <c r="H15" s="2631">
        <v>7135</v>
      </c>
      <c r="I15" s="2633">
        <v>9.69</v>
      </c>
      <c r="J15" s="2626" t="e">
        <f>#REF!/E15*100</f>
        <v>#REF!</v>
      </c>
      <c r="K15" s="2199"/>
      <c r="L15" s="2627"/>
      <c r="M15" s="2621"/>
    </row>
    <row r="16" spans="1:13" ht="20.100000000000001" customHeight="1">
      <c r="A16" s="2614" t="s">
        <v>1369</v>
      </c>
      <c r="B16" s="2615" t="s">
        <v>1358</v>
      </c>
      <c r="C16" s="2622">
        <v>158337</v>
      </c>
      <c r="D16" s="2623">
        <v>80428</v>
      </c>
      <c r="E16" s="2623">
        <v>70805</v>
      </c>
      <c r="F16" s="2623">
        <v>87532</v>
      </c>
      <c r="G16" s="2624">
        <v>123.624</v>
      </c>
      <c r="H16" s="2623">
        <v>9623</v>
      </c>
      <c r="I16" s="2625">
        <v>13.590999999999999</v>
      </c>
      <c r="J16" s="2626" t="e">
        <f>#REF!/E16*100</f>
        <v>#REF!</v>
      </c>
      <c r="K16" s="2199"/>
      <c r="L16" s="2627"/>
      <c r="M16" s="2621"/>
    </row>
    <row r="17" spans="1:14" ht="20.100000000000001" customHeight="1">
      <c r="A17" s="2614" t="s">
        <v>1370</v>
      </c>
      <c r="B17" s="2615" t="s">
        <v>1360</v>
      </c>
      <c r="C17" s="2622">
        <v>158337</v>
      </c>
      <c r="D17" s="2623">
        <v>81294</v>
      </c>
      <c r="E17" s="2623">
        <v>60259</v>
      </c>
      <c r="F17" s="2623">
        <v>98078</v>
      </c>
      <c r="G17" s="2624">
        <v>162.761</v>
      </c>
      <c r="H17" s="2623">
        <v>21035</v>
      </c>
      <c r="I17" s="2625">
        <v>34.908000000000001</v>
      </c>
      <c r="J17" s="2634" t="e">
        <f>#REF!/E17*100</f>
        <v>#REF!</v>
      </c>
      <c r="K17" s="2199"/>
      <c r="L17" s="2627"/>
      <c r="M17" s="2621"/>
    </row>
    <row r="18" spans="1:14" ht="20.100000000000001" customHeight="1">
      <c r="A18" s="2614" t="s">
        <v>1371</v>
      </c>
      <c r="B18" s="2615" t="s">
        <v>1362</v>
      </c>
      <c r="C18" s="2622">
        <v>158337</v>
      </c>
      <c r="D18" s="2623">
        <v>80640</v>
      </c>
      <c r="E18" s="2623">
        <v>59773</v>
      </c>
      <c r="F18" s="2623">
        <v>98564</v>
      </c>
      <c r="G18" s="2624">
        <v>164.89699999999999</v>
      </c>
      <c r="H18" s="2623">
        <v>20867</v>
      </c>
      <c r="I18" s="2625">
        <v>34.909999999999997</v>
      </c>
      <c r="J18" s="2626" t="e">
        <f>#REF!/E18*100</f>
        <v>#REF!</v>
      </c>
      <c r="K18" s="2199"/>
      <c r="L18" s="2627"/>
      <c r="M18" s="2621"/>
    </row>
    <row r="19" spans="1:14" ht="20.100000000000001" customHeight="1">
      <c r="A19" s="2614" t="s">
        <v>1372</v>
      </c>
      <c r="B19" s="2615" t="s">
        <v>1364</v>
      </c>
      <c r="C19" s="2622">
        <v>158337</v>
      </c>
      <c r="D19" s="2623">
        <v>82941</v>
      </c>
      <c r="E19" s="2623">
        <v>68300</v>
      </c>
      <c r="F19" s="2623">
        <v>90037</v>
      </c>
      <c r="G19" s="2624">
        <v>131.82599999999999</v>
      </c>
      <c r="H19" s="2623">
        <v>14641</v>
      </c>
      <c r="I19" s="2625">
        <v>21.436</v>
      </c>
      <c r="J19" s="2626" t="e">
        <f>#REF!/E19*100</f>
        <v>#REF!</v>
      </c>
      <c r="K19" s="2199"/>
      <c r="L19" s="2627"/>
      <c r="M19" s="2621"/>
    </row>
    <row r="20" spans="1:14" ht="20.100000000000001" customHeight="1">
      <c r="A20" s="2614" t="s">
        <v>1373</v>
      </c>
      <c r="B20" s="2615" t="s">
        <v>1366</v>
      </c>
      <c r="C20" s="2622">
        <v>158337</v>
      </c>
      <c r="D20" s="2623">
        <v>82230</v>
      </c>
      <c r="E20" s="2623">
        <v>69051</v>
      </c>
      <c r="F20" s="2623">
        <v>89286</v>
      </c>
      <c r="G20" s="2624">
        <v>129.304</v>
      </c>
      <c r="H20" s="2623">
        <v>13179</v>
      </c>
      <c r="I20" s="2625">
        <v>19.085999999999999</v>
      </c>
      <c r="J20" s="2626" t="e">
        <f>#REF!/E20*100</f>
        <v>#REF!</v>
      </c>
      <c r="K20" s="2199"/>
      <c r="L20" s="2627"/>
      <c r="M20" s="2621"/>
    </row>
    <row r="21" spans="1:14" ht="20.100000000000001" customHeight="1">
      <c r="A21" s="2614" t="s">
        <v>1374</v>
      </c>
      <c r="B21" s="2615" t="s">
        <v>1354</v>
      </c>
      <c r="C21" s="2622">
        <v>158606</v>
      </c>
      <c r="D21" s="2623">
        <v>82202</v>
      </c>
      <c r="E21" s="2623">
        <v>68196</v>
      </c>
      <c r="F21" s="2623">
        <v>90410</v>
      </c>
      <c r="G21" s="2624">
        <v>132.57400000000001</v>
      </c>
      <c r="H21" s="2623">
        <v>14006</v>
      </c>
      <c r="I21" s="2625">
        <v>20.538</v>
      </c>
      <c r="J21" s="2626" t="e">
        <f>#REF!/E21*100</f>
        <v>#REF!</v>
      </c>
      <c r="K21" s="2199"/>
      <c r="L21" s="2627"/>
    </row>
    <row r="22" spans="1:14" ht="20.100000000000001" customHeight="1">
      <c r="A22" s="2614" t="s">
        <v>1375</v>
      </c>
      <c r="B22" s="2615" t="s">
        <v>1356</v>
      </c>
      <c r="C22" s="2622">
        <v>158606</v>
      </c>
      <c r="D22" s="2623">
        <v>80661</v>
      </c>
      <c r="E22" s="2623">
        <v>68341</v>
      </c>
      <c r="F22" s="2623">
        <v>90265</v>
      </c>
      <c r="G22" s="2624">
        <v>132.08000000000001</v>
      </c>
      <c r="H22" s="2623">
        <v>12320</v>
      </c>
      <c r="I22" s="2625">
        <v>18.027000000000001</v>
      </c>
      <c r="J22" s="2626"/>
      <c r="K22" s="2199"/>
      <c r="L22" s="2627"/>
    </row>
    <row r="23" spans="1:14" ht="20.100000000000001" customHeight="1">
      <c r="A23" s="2614" t="s">
        <v>1376</v>
      </c>
      <c r="B23" s="2615" t="s">
        <v>1358</v>
      </c>
      <c r="C23" s="2622">
        <v>158606</v>
      </c>
      <c r="D23" s="2623">
        <v>79942</v>
      </c>
      <c r="E23" s="2623">
        <v>66619</v>
      </c>
      <c r="F23" s="2623">
        <v>91987</v>
      </c>
      <c r="G23" s="2624">
        <v>138.07900000000001</v>
      </c>
      <c r="H23" s="2623">
        <v>13323</v>
      </c>
      <c r="I23" s="2625">
        <v>19.998999999999999</v>
      </c>
      <c r="J23" s="2626" t="e">
        <f>#REF!/E23*100</f>
        <v>#REF!</v>
      </c>
      <c r="K23" s="2199"/>
      <c r="L23" s="2627"/>
      <c r="N23" s="2261"/>
    </row>
    <row r="24" spans="1:14" ht="20.100000000000001" customHeight="1">
      <c r="A24" s="2614" t="s">
        <v>1377</v>
      </c>
      <c r="B24" s="2615" t="s">
        <v>1360</v>
      </c>
      <c r="C24" s="2622">
        <v>158606</v>
      </c>
      <c r="D24" s="2623">
        <v>80771</v>
      </c>
      <c r="E24" s="2623">
        <v>60415</v>
      </c>
      <c r="F24" s="2623">
        <v>98191</v>
      </c>
      <c r="G24" s="2624">
        <v>162.52799999999999</v>
      </c>
      <c r="H24" s="2623">
        <v>20356</v>
      </c>
      <c r="I24" s="2625">
        <v>33.694000000000003</v>
      </c>
      <c r="J24" s="2635" t="e">
        <f>#REF!/E24*100</f>
        <v>#REF!</v>
      </c>
      <c r="K24" s="2199"/>
      <c r="L24" s="2627"/>
    </row>
    <row r="25" spans="1:14" ht="20.100000000000001" customHeight="1">
      <c r="A25" s="2614" t="s">
        <v>1378</v>
      </c>
      <c r="B25" s="2615" t="s">
        <v>1362</v>
      </c>
      <c r="C25" s="2622">
        <v>158606</v>
      </c>
      <c r="D25" s="2623">
        <v>78736</v>
      </c>
      <c r="E25" s="2623">
        <v>60018</v>
      </c>
      <c r="F25" s="2623">
        <v>98588</v>
      </c>
      <c r="G25" s="2624">
        <v>164.26400000000001</v>
      </c>
      <c r="H25" s="2623">
        <v>18718</v>
      </c>
      <c r="I25" s="2625">
        <v>31.187000000000001</v>
      </c>
      <c r="J25" s="2626" t="e">
        <f>#REF!/E25*100</f>
        <v>#REF!</v>
      </c>
      <c r="K25" s="2199"/>
      <c r="L25" s="2627"/>
    </row>
    <row r="26" spans="1:14" ht="20.100000000000001" customHeight="1">
      <c r="A26" s="2614" t="s">
        <v>1379</v>
      </c>
      <c r="B26" s="2615" t="s">
        <v>1364</v>
      </c>
      <c r="C26" s="2622">
        <v>158606</v>
      </c>
      <c r="D26" s="2623">
        <v>81625</v>
      </c>
      <c r="E26" s="2623">
        <v>68788</v>
      </c>
      <c r="F26" s="2623">
        <v>89818</v>
      </c>
      <c r="G26" s="2624">
        <v>130.572</v>
      </c>
      <c r="H26" s="2623">
        <v>12837</v>
      </c>
      <c r="I26" s="2625">
        <v>18.661999999999999</v>
      </c>
      <c r="J26" s="2626" t="e">
        <f>#REF!/E26*100</f>
        <v>#REF!</v>
      </c>
      <c r="K26" s="2199"/>
      <c r="L26" s="2627"/>
    </row>
    <row r="27" spans="1:14" ht="20.100000000000001" customHeight="1">
      <c r="A27" s="2614" t="s">
        <v>1380</v>
      </c>
      <c r="B27" s="2615" t="s">
        <v>1366</v>
      </c>
      <c r="C27" s="2622">
        <v>158606</v>
      </c>
      <c r="D27" s="2623">
        <v>83312</v>
      </c>
      <c r="E27" s="2623">
        <v>68236</v>
      </c>
      <c r="F27" s="2623">
        <v>90370</v>
      </c>
      <c r="G27" s="2624">
        <v>132.43700000000001</v>
      </c>
      <c r="H27" s="2623">
        <v>15076</v>
      </c>
      <c r="I27" s="2625">
        <v>22.094000000000001</v>
      </c>
      <c r="J27" s="2626" t="e">
        <f>#REF!/E27*100</f>
        <v>#REF!</v>
      </c>
      <c r="K27" s="2199"/>
      <c r="L27" s="2627"/>
    </row>
    <row r="28" spans="1:14" ht="20.100000000000001" customHeight="1">
      <c r="A28" s="2614" t="s">
        <v>1381</v>
      </c>
      <c r="B28" s="2615" t="s">
        <v>1354</v>
      </c>
      <c r="C28" s="2622">
        <v>158641</v>
      </c>
      <c r="D28" s="2623">
        <v>82952</v>
      </c>
      <c r="E28" s="2623">
        <v>67501</v>
      </c>
      <c r="F28" s="2623">
        <v>91140</v>
      </c>
      <c r="G28" s="2624">
        <v>135.02000000000001</v>
      </c>
      <c r="H28" s="2623">
        <v>15451</v>
      </c>
      <c r="I28" s="2625">
        <v>22.89</v>
      </c>
      <c r="J28" s="2626" t="e">
        <f>#REF!/E28*100</f>
        <v>#REF!</v>
      </c>
      <c r="K28" s="2199"/>
      <c r="L28" s="2627"/>
    </row>
    <row r="29" spans="1:14" ht="20.100000000000001" customHeight="1">
      <c r="A29" s="2614" t="s">
        <v>1382</v>
      </c>
      <c r="B29" s="2615" t="s">
        <v>1356</v>
      </c>
      <c r="C29" s="2622">
        <v>158641</v>
      </c>
      <c r="D29" s="2623">
        <v>82937</v>
      </c>
      <c r="E29" s="2623">
        <v>68153</v>
      </c>
      <c r="F29" s="2623">
        <v>90488</v>
      </c>
      <c r="G29" s="2624">
        <v>132.77199999999999</v>
      </c>
      <c r="H29" s="2623">
        <v>14784</v>
      </c>
      <c r="I29" s="2625">
        <v>21.692</v>
      </c>
      <c r="J29" s="2626"/>
      <c r="K29" s="2199"/>
      <c r="L29" s="2627"/>
    </row>
    <row r="30" spans="1:14" ht="20.100000000000001" customHeight="1">
      <c r="A30" s="2614" t="s">
        <v>1383</v>
      </c>
      <c r="B30" s="2615" t="s">
        <v>1358</v>
      </c>
      <c r="C30" s="2622">
        <v>158641</v>
      </c>
      <c r="D30" s="2623">
        <v>80483</v>
      </c>
      <c r="E30" s="2623">
        <v>66447</v>
      </c>
      <c r="F30" s="2623">
        <v>92194</v>
      </c>
      <c r="G30" s="2624">
        <v>138.74799999999999</v>
      </c>
      <c r="H30" s="2623">
        <v>14036</v>
      </c>
      <c r="I30" s="2625">
        <v>21.123999999999999</v>
      </c>
      <c r="J30" s="2626"/>
      <c r="K30" s="2199"/>
      <c r="L30" s="2627"/>
    </row>
    <row r="31" spans="1:14" ht="20.100000000000001" customHeight="1">
      <c r="A31" s="2614" t="s">
        <v>1384</v>
      </c>
      <c r="B31" s="2615" t="s">
        <v>1360</v>
      </c>
      <c r="C31" s="2622">
        <v>158641</v>
      </c>
      <c r="D31" s="2623">
        <v>77921</v>
      </c>
      <c r="E31" s="2623">
        <v>58775</v>
      </c>
      <c r="F31" s="2623">
        <v>99866</v>
      </c>
      <c r="G31" s="2624">
        <v>169.91200000000001</v>
      </c>
      <c r="H31" s="2623">
        <v>19146</v>
      </c>
      <c r="I31" s="2625">
        <v>32.575000000000003</v>
      </c>
      <c r="J31" s="2626"/>
      <c r="K31" s="2199"/>
      <c r="L31" s="2627"/>
    </row>
    <row r="32" spans="1:14" ht="20.100000000000001" customHeight="1">
      <c r="A32" s="2614" t="s">
        <v>1385</v>
      </c>
      <c r="B32" s="2615" t="s">
        <v>1362</v>
      </c>
      <c r="C32" s="2622">
        <v>158641</v>
      </c>
      <c r="D32" s="2623">
        <v>78026</v>
      </c>
      <c r="E32" s="2623">
        <v>58364</v>
      </c>
      <c r="F32" s="2623">
        <v>100277</v>
      </c>
      <c r="G32" s="2624">
        <v>171.81299999999999</v>
      </c>
      <c r="H32" s="2623">
        <v>19662</v>
      </c>
      <c r="I32" s="2625">
        <v>33.689</v>
      </c>
      <c r="J32" s="2626"/>
      <c r="K32" s="2199"/>
      <c r="L32" s="2627"/>
    </row>
    <row r="33" spans="1:12" ht="20.100000000000001" customHeight="1">
      <c r="A33" s="2614" t="s">
        <v>1386</v>
      </c>
      <c r="B33" s="2615" t="s">
        <v>1364</v>
      </c>
      <c r="C33" s="2622">
        <v>158641</v>
      </c>
      <c r="D33" s="2623">
        <v>80629</v>
      </c>
      <c r="E33" s="2623">
        <v>67089</v>
      </c>
      <c r="F33" s="2623">
        <v>91552</v>
      </c>
      <c r="G33" s="2624">
        <v>136.464</v>
      </c>
      <c r="H33" s="2623">
        <v>13540</v>
      </c>
      <c r="I33" s="2625">
        <v>20.181999999999999</v>
      </c>
      <c r="J33" s="2626" t="e">
        <f>#REF!/E33*100</f>
        <v>#REF!</v>
      </c>
      <c r="K33" s="2199"/>
      <c r="L33" s="2627"/>
    </row>
    <row r="34" spans="1:12" ht="20.100000000000001" customHeight="1">
      <c r="A34" s="2614" t="s">
        <v>1387</v>
      </c>
      <c r="B34" s="2615" t="s">
        <v>1366</v>
      </c>
      <c r="C34" s="2622">
        <v>158641</v>
      </c>
      <c r="D34" s="2623">
        <v>80656</v>
      </c>
      <c r="E34" s="2623">
        <v>67597</v>
      </c>
      <c r="F34" s="2623">
        <v>91044</v>
      </c>
      <c r="G34" s="2624">
        <v>134.68600000000001</v>
      </c>
      <c r="H34" s="2623">
        <v>13059</v>
      </c>
      <c r="I34" s="2625">
        <v>19.318999999999999</v>
      </c>
      <c r="J34" s="2626"/>
      <c r="K34" s="2199"/>
      <c r="L34" s="2627"/>
    </row>
    <row r="35" spans="1:12" ht="20.100000000000001" customHeight="1">
      <c r="A35" s="2614" t="s">
        <v>1388</v>
      </c>
      <c r="B35" s="2615" t="s">
        <v>1354</v>
      </c>
      <c r="C35" s="2622">
        <v>158697</v>
      </c>
      <c r="D35" s="2623">
        <v>81080</v>
      </c>
      <c r="E35" s="2623">
        <v>66975</v>
      </c>
      <c r="F35" s="2623">
        <v>91722</v>
      </c>
      <c r="G35" s="2624">
        <v>136.94999999999999</v>
      </c>
      <c r="H35" s="2623">
        <v>14105</v>
      </c>
      <c r="I35" s="2625">
        <v>21.06</v>
      </c>
      <c r="J35" s="2626"/>
      <c r="K35" s="2199"/>
      <c r="L35" s="2627"/>
    </row>
    <row r="36" spans="1:12" ht="20.100000000000001" customHeight="1">
      <c r="A36" s="2636" t="s">
        <v>1389</v>
      </c>
      <c r="B36" s="2637" t="s">
        <v>1356</v>
      </c>
      <c r="C36" s="2638">
        <v>158697</v>
      </c>
      <c r="D36" s="2639">
        <v>81728</v>
      </c>
      <c r="E36" s="2639">
        <v>65328</v>
      </c>
      <c r="F36" s="2639">
        <v>93369</v>
      </c>
      <c r="G36" s="2640">
        <v>142.923</v>
      </c>
      <c r="H36" s="2639">
        <v>16400</v>
      </c>
      <c r="I36" s="2641">
        <v>25.103999999999999</v>
      </c>
      <c r="J36" s="2626"/>
      <c r="K36" s="2199"/>
      <c r="L36" s="2627"/>
    </row>
    <row r="37" spans="1:12" ht="12.75" customHeight="1">
      <c r="A37" s="2642"/>
      <c r="B37" s="2615"/>
      <c r="C37" s="2643"/>
      <c r="D37" s="2643"/>
      <c r="E37" s="2643"/>
      <c r="F37" s="2643"/>
      <c r="G37" s="2644"/>
      <c r="H37" s="2643"/>
      <c r="I37" s="2644"/>
      <c r="J37" s="2645"/>
      <c r="K37" s="2199"/>
      <c r="L37" s="2627"/>
    </row>
    <row r="38" spans="1:12" s="1499" customFormat="1" ht="1.5" customHeight="1">
      <c r="A38" s="2646"/>
      <c r="F38" s="349"/>
      <c r="G38" s="349"/>
      <c r="J38" s="12"/>
    </row>
    <row r="39" spans="1:12" ht="9.9499999999999993" customHeight="1">
      <c r="E39" s="2647"/>
      <c r="J39" s="683"/>
    </row>
    <row r="40" spans="1:12" s="271" customFormat="1" ht="17.25" customHeight="1">
      <c r="B40" s="272"/>
      <c r="D40" s="613"/>
      <c r="E40" s="2648"/>
      <c r="F40" s="2649"/>
      <c r="G40" s="2649"/>
      <c r="J40" s="12"/>
    </row>
    <row r="41" spans="1:12">
      <c r="J41" s="271"/>
    </row>
    <row r="42" spans="1:12">
      <c r="E42" s="2650"/>
    </row>
  </sheetData>
  <mergeCells count="6">
    <mergeCell ref="F4:F6"/>
    <mergeCell ref="G4:G6"/>
    <mergeCell ref="H4:H6"/>
    <mergeCell ref="I4:I6"/>
    <mergeCell ref="A5:B5"/>
    <mergeCell ref="K5:K6"/>
  </mergeCells>
  <phoneticPr fontId="2" type="noConversion"/>
  <conditionalFormatting sqref="E1:E1048576">
    <cfRule type="top10" dxfId="0" priority="1" rank="1"/>
  </conditionalFormatting>
  <printOptions horizontalCentered="1"/>
  <pageMargins left="0.94488188976377963" right="0.94488188976377963" top="1.1811023622047245" bottom="0.78740157480314965" header="0" footer="0"/>
  <pageSetup paperSize="9" scale="80" firstPageNumber="79" orientation="portrait" useFirstPageNumber="1" r:id="rId1"/>
  <headerFooter differentOddEven="1"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621C-776C-4CC4-AC0E-5E54434366E0}">
  <sheetPr>
    <tabColor rgb="FF00B0F0"/>
  </sheetPr>
  <dimension ref="A1:AC344"/>
  <sheetViews>
    <sheetView showGridLines="0" view="pageBreakPreview" zoomScale="115" zoomScaleNormal="100" zoomScaleSheetLayoutView="115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8.75" style="271" customWidth="1"/>
    <col min="2" max="2" width="5.25" style="271" customWidth="1"/>
    <col min="3" max="3" width="7.125" style="271" customWidth="1"/>
    <col min="4" max="4" width="6.375" style="271" customWidth="1"/>
    <col min="5" max="5" width="7.125" style="271" customWidth="1"/>
    <col min="6" max="6" width="7.75" style="271" customWidth="1"/>
    <col min="7" max="7" width="7.125" style="271" customWidth="1"/>
    <col min="8" max="8" width="6.5" style="271" customWidth="1"/>
    <col min="9" max="9" width="7.75" style="271" customWidth="1"/>
    <col min="10" max="10" width="8.25" style="271" customWidth="1"/>
    <col min="11" max="11" width="7.125" style="271" customWidth="1"/>
    <col min="12" max="12" width="7.5" style="271" customWidth="1"/>
    <col min="13" max="13" width="7.625" style="271" customWidth="1"/>
    <col min="14" max="18" width="6.375" style="271" customWidth="1"/>
    <col min="19" max="23" width="6.875" style="271" customWidth="1"/>
    <col min="24" max="24" width="5.375" style="271" customWidth="1"/>
    <col min="25" max="25" width="5.875" style="271" customWidth="1"/>
    <col min="26" max="26" width="11" style="271" bestFit="1" customWidth="1"/>
    <col min="27" max="16384" width="10" style="271"/>
  </cols>
  <sheetData>
    <row r="1" spans="1:29" s="2597" customFormat="1" ht="20.25">
      <c r="A1" s="270" t="s">
        <v>1390</v>
      </c>
      <c r="H1" s="2651"/>
      <c r="M1" s="2651"/>
      <c r="N1" s="2651"/>
      <c r="O1" s="2651"/>
    </row>
    <row r="2" spans="1:29" s="274" customFormat="1" ht="17.25">
      <c r="A2" s="274" t="s">
        <v>1391</v>
      </c>
      <c r="H2" s="2652"/>
      <c r="M2" s="2652"/>
      <c r="N2" s="2652"/>
      <c r="O2" s="2652"/>
    </row>
    <row r="3" spans="1:29" ht="15" customHeight="1">
      <c r="A3" s="272"/>
      <c r="H3" s="2653"/>
      <c r="M3" s="2653"/>
      <c r="N3" s="2653"/>
      <c r="O3" s="2653"/>
      <c r="Y3" s="614" t="s">
        <v>1392</v>
      </c>
    </row>
    <row r="4" spans="1:29" s="272" customFormat="1" ht="18" customHeight="1">
      <c r="A4" s="283" t="s">
        <v>1352</v>
      </c>
      <c r="B4" s="2654"/>
      <c r="C4" s="2654"/>
      <c r="D4" s="2655"/>
      <c r="E4" s="2655"/>
      <c r="F4" s="617" t="s">
        <v>1393</v>
      </c>
      <c r="G4" s="617" t="s">
        <v>1394</v>
      </c>
      <c r="H4" s="617" t="s">
        <v>1395</v>
      </c>
      <c r="I4" s="2656"/>
      <c r="J4" s="2656"/>
      <c r="K4" s="2656"/>
      <c r="L4" s="2656"/>
      <c r="M4" s="2657"/>
      <c r="N4" s="286" t="s">
        <v>1396</v>
      </c>
      <c r="O4" s="284"/>
      <c r="P4" s="284"/>
      <c r="Q4" s="284"/>
      <c r="R4" s="284"/>
      <c r="S4" s="284"/>
      <c r="T4" s="284"/>
      <c r="U4" s="284"/>
      <c r="V4" s="2489"/>
      <c r="W4" s="1033" t="s">
        <v>1397</v>
      </c>
      <c r="X4" s="1123" t="s">
        <v>1398</v>
      </c>
      <c r="Y4" s="285"/>
    </row>
    <row r="5" spans="1:29" s="272" customFormat="1" ht="23.1" customHeight="1">
      <c r="A5" s="300"/>
      <c r="B5" s="2658" t="s">
        <v>1399</v>
      </c>
      <c r="C5" s="2659" t="s">
        <v>1400</v>
      </c>
      <c r="D5" s="2660" t="s">
        <v>1401</v>
      </c>
      <c r="E5" s="2661" t="s">
        <v>1402</v>
      </c>
      <c r="F5" s="2662" t="s">
        <v>1403</v>
      </c>
      <c r="G5" s="2662" t="s">
        <v>1404</v>
      </c>
      <c r="H5" s="2663" t="s">
        <v>1405</v>
      </c>
      <c r="I5" s="2664" t="s">
        <v>1406</v>
      </c>
      <c r="J5" s="2665" t="s">
        <v>1407</v>
      </c>
      <c r="K5" s="2664" t="s">
        <v>1408</v>
      </c>
      <c r="L5" s="2664" t="s">
        <v>1409</v>
      </c>
      <c r="M5" s="2666" t="s">
        <v>189</v>
      </c>
      <c r="N5" s="1900" t="s">
        <v>1410</v>
      </c>
      <c r="O5" s="302" t="s">
        <v>1411</v>
      </c>
      <c r="P5" s="2612" t="s">
        <v>1412</v>
      </c>
      <c r="Q5" s="302" t="s">
        <v>1413</v>
      </c>
      <c r="R5" s="2667" t="s">
        <v>1414</v>
      </c>
      <c r="S5" s="1810" t="s">
        <v>1415</v>
      </c>
      <c r="T5" s="2668" t="s">
        <v>1416</v>
      </c>
      <c r="U5" s="2669" t="s">
        <v>1417</v>
      </c>
      <c r="V5" s="621" t="s">
        <v>160</v>
      </c>
      <c r="W5" s="301"/>
      <c r="X5" s="302" t="s">
        <v>1418</v>
      </c>
      <c r="Y5" s="621" t="s">
        <v>1419</v>
      </c>
    </row>
    <row r="6" spans="1:29" s="272" customFormat="1" ht="20.100000000000001" customHeight="1">
      <c r="A6" s="2670">
        <v>2014</v>
      </c>
      <c r="B6" s="2671">
        <v>7</v>
      </c>
      <c r="C6" s="2672">
        <v>103</v>
      </c>
      <c r="D6" s="2673">
        <v>203</v>
      </c>
      <c r="E6" s="2672">
        <v>767</v>
      </c>
      <c r="F6" s="2672">
        <v>149</v>
      </c>
      <c r="G6" s="2672">
        <v>79</v>
      </c>
      <c r="H6" s="2672">
        <v>777</v>
      </c>
      <c r="I6" s="2672">
        <v>1042</v>
      </c>
      <c r="J6" s="2672">
        <v>323</v>
      </c>
      <c r="K6" s="2672">
        <v>220</v>
      </c>
      <c r="L6" s="2672">
        <v>14124</v>
      </c>
      <c r="M6" s="2673">
        <v>17794</v>
      </c>
      <c r="N6" s="2674">
        <v>2094</v>
      </c>
      <c r="O6" s="2675">
        <v>2110</v>
      </c>
      <c r="P6" s="2675">
        <v>2014</v>
      </c>
      <c r="Q6" s="2675">
        <v>1806</v>
      </c>
      <c r="R6" s="2675">
        <v>2205</v>
      </c>
      <c r="S6" s="2675">
        <v>8857</v>
      </c>
      <c r="T6" s="2675">
        <v>19086</v>
      </c>
      <c r="U6" s="2675">
        <v>324</v>
      </c>
      <c r="V6" s="2676">
        <v>19410</v>
      </c>
      <c r="W6" s="2677">
        <v>37204</v>
      </c>
      <c r="X6" s="2678">
        <v>1.5407441223465046</v>
      </c>
      <c r="Y6" s="2679">
        <v>2.844505874222536</v>
      </c>
    </row>
    <row r="7" spans="1:29" s="272" customFormat="1" ht="21.95" customHeight="1">
      <c r="A7" s="2680" t="s">
        <v>1053</v>
      </c>
      <c r="B7" s="2681" t="s">
        <v>1420</v>
      </c>
      <c r="C7" s="2682" t="s">
        <v>1421</v>
      </c>
      <c r="D7" s="2683" t="s">
        <v>1422</v>
      </c>
      <c r="E7" s="2684" t="s">
        <v>1423</v>
      </c>
      <c r="F7" s="2684" t="s">
        <v>1424</v>
      </c>
      <c r="G7" s="2685" t="s">
        <v>1425</v>
      </c>
      <c r="H7" s="2686" t="s">
        <v>1426</v>
      </c>
      <c r="I7" s="2685" t="s">
        <v>1427</v>
      </c>
      <c r="J7" s="2685" t="s">
        <v>1428</v>
      </c>
      <c r="K7" s="2685" t="s">
        <v>1429</v>
      </c>
      <c r="L7" s="2685" t="s">
        <v>1430</v>
      </c>
      <c r="M7" s="2687" t="s">
        <v>189</v>
      </c>
      <c r="N7" s="2688" t="s">
        <v>1410</v>
      </c>
      <c r="O7" s="2689" t="s">
        <v>1411</v>
      </c>
      <c r="P7" s="2689" t="s">
        <v>1412</v>
      </c>
      <c r="Q7" s="2689" t="s">
        <v>1413</v>
      </c>
      <c r="R7" s="2689" t="s">
        <v>1414</v>
      </c>
      <c r="S7" s="2690" t="s">
        <v>1431</v>
      </c>
      <c r="T7" s="2691" t="s">
        <v>1432</v>
      </c>
      <c r="U7" s="2690" t="s">
        <v>1433</v>
      </c>
      <c r="V7" s="2692" t="s">
        <v>456</v>
      </c>
      <c r="W7" s="2693" t="s">
        <v>1397</v>
      </c>
      <c r="X7" s="2694" t="s">
        <v>1418</v>
      </c>
      <c r="Y7" s="2695" t="s">
        <v>1434</v>
      </c>
    </row>
    <row r="8" spans="1:29" s="272" customFormat="1" ht="20.100000000000001" customHeight="1">
      <c r="A8" s="2696">
        <v>2015</v>
      </c>
      <c r="B8" s="2697">
        <v>6</v>
      </c>
      <c r="C8" s="2698">
        <v>163</v>
      </c>
      <c r="D8" s="2698">
        <v>227</v>
      </c>
      <c r="E8" s="2698">
        <v>986</v>
      </c>
      <c r="F8" s="2698">
        <v>153</v>
      </c>
      <c r="G8" s="2698">
        <v>74</v>
      </c>
      <c r="H8" s="2698">
        <v>765</v>
      </c>
      <c r="I8" s="2698">
        <v>1042</v>
      </c>
      <c r="J8" s="2698">
        <v>323</v>
      </c>
      <c r="K8" s="2698">
        <v>231</v>
      </c>
      <c r="L8" s="2698">
        <v>14123</v>
      </c>
      <c r="M8" s="2699">
        <v>18093</v>
      </c>
      <c r="N8" s="2700">
        <v>2181</v>
      </c>
      <c r="O8" s="2701">
        <v>1736</v>
      </c>
      <c r="P8" s="2701">
        <v>1971</v>
      </c>
      <c r="Q8" s="2701">
        <v>1955</v>
      </c>
      <c r="R8" s="2701">
        <v>2167</v>
      </c>
      <c r="S8" s="2701">
        <v>10262</v>
      </c>
      <c r="T8" s="2701">
        <v>20272</v>
      </c>
      <c r="U8" s="2701">
        <v>331</v>
      </c>
      <c r="V8" s="2702">
        <v>20603</v>
      </c>
      <c r="W8" s="2491">
        <v>38696</v>
      </c>
      <c r="X8" s="2703">
        <v>1.680341688209519</v>
      </c>
      <c r="Y8" s="2704">
        <v>4.0103214708095969</v>
      </c>
    </row>
    <row r="9" spans="1:29" s="272" customFormat="1" ht="20.100000000000001" customHeight="1">
      <c r="A9" s="2705">
        <v>2016</v>
      </c>
      <c r="B9" s="2706">
        <v>6</v>
      </c>
      <c r="C9" s="2707">
        <v>142</v>
      </c>
      <c r="D9" s="2707">
        <v>238</v>
      </c>
      <c r="E9" s="2707">
        <v>746</v>
      </c>
      <c r="F9" s="2707">
        <v>167</v>
      </c>
      <c r="G9" s="2707">
        <v>126</v>
      </c>
      <c r="H9" s="2707">
        <v>1020</v>
      </c>
      <c r="I9" s="2707">
        <v>1072</v>
      </c>
      <c r="J9" s="2707">
        <v>303</v>
      </c>
      <c r="K9" s="2707">
        <v>270</v>
      </c>
      <c r="L9" s="2707">
        <v>14769</v>
      </c>
      <c r="M9" s="2708">
        <v>18859</v>
      </c>
      <c r="N9" s="2709">
        <v>2194</v>
      </c>
      <c r="O9" s="2710">
        <v>2292</v>
      </c>
      <c r="P9" s="2710">
        <v>2025</v>
      </c>
      <c r="Q9" s="2710">
        <v>2034</v>
      </c>
      <c r="R9" s="2710">
        <v>2282</v>
      </c>
      <c r="S9" s="2710">
        <v>10825</v>
      </c>
      <c r="T9" s="2710">
        <v>21652</v>
      </c>
      <c r="U9" s="2710">
        <v>362</v>
      </c>
      <c r="V9" s="2711">
        <v>22014</v>
      </c>
      <c r="W9" s="1653">
        <v>40873</v>
      </c>
      <c r="X9" s="2712">
        <v>4.2336815342950418</v>
      </c>
      <c r="Y9" s="2713">
        <v>5.6259044862517982</v>
      </c>
    </row>
    <row r="10" spans="1:29" s="272" customFormat="1" ht="20.100000000000001" customHeight="1">
      <c r="A10" s="2705">
        <v>2017</v>
      </c>
      <c r="B10" s="2706">
        <v>4</v>
      </c>
      <c r="C10" s="2707">
        <v>127</v>
      </c>
      <c r="D10" s="2707">
        <v>235</v>
      </c>
      <c r="E10" s="2707">
        <v>1144</v>
      </c>
      <c r="F10" s="2707">
        <v>196</v>
      </c>
      <c r="G10" s="2707">
        <v>130</v>
      </c>
      <c r="H10" s="2707">
        <v>1066</v>
      </c>
      <c r="I10" s="2707">
        <v>1077</v>
      </c>
      <c r="J10" s="2707">
        <v>334</v>
      </c>
      <c r="K10" s="2707">
        <v>277</v>
      </c>
      <c r="L10" s="2707">
        <v>15010</v>
      </c>
      <c r="M10" s="2708">
        <v>19600</v>
      </c>
      <c r="N10" s="2709">
        <v>2163</v>
      </c>
      <c r="O10" s="2710">
        <v>2394</v>
      </c>
      <c r="P10" s="2710">
        <v>2137</v>
      </c>
      <c r="Q10" s="2710">
        <v>2180</v>
      </c>
      <c r="R10" s="2710">
        <v>2368</v>
      </c>
      <c r="S10" s="2710">
        <v>11220</v>
      </c>
      <c r="T10" s="2710">
        <v>22462</v>
      </c>
      <c r="U10" s="2710">
        <v>369.5</v>
      </c>
      <c r="V10" s="2711">
        <v>22831.5</v>
      </c>
      <c r="W10" s="1653">
        <v>42431.5</v>
      </c>
      <c r="X10" s="2712">
        <v>3.9291584919667111</v>
      </c>
      <c r="Y10" s="2713">
        <v>3.8130306070021769</v>
      </c>
    </row>
    <row r="11" spans="1:29" s="272" customFormat="1" ht="20.100000000000001" customHeight="1">
      <c r="A11" s="2714">
        <v>2018</v>
      </c>
      <c r="B11" s="2658">
        <v>7</v>
      </c>
      <c r="C11" s="2658">
        <v>145</v>
      </c>
      <c r="D11" s="2658">
        <v>256</v>
      </c>
      <c r="E11" s="2658">
        <v>1435</v>
      </c>
      <c r="F11" s="2658">
        <v>205</v>
      </c>
      <c r="G11" s="2658">
        <v>120</v>
      </c>
      <c r="H11" s="2658">
        <v>1150</v>
      </c>
      <c r="I11" s="2658">
        <v>1102</v>
      </c>
      <c r="J11" s="2658">
        <v>319</v>
      </c>
      <c r="K11" s="2658">
        <v>271</v>
      </c>
      <c r="L11" s="2658">
        <v>17262</v>
      </c>
      <c r="M11" s="2715">
        <v>22272</v>
      </c>
      <c r="N11" s="2709">
        <v>2401</v>
      </c>
      <c r="O11" s="2710">
        <v>2672</v>
      </c>
      <c r="P11" s="2710">
        <v>2433.125</v>
      </c>
      <c r="Q11" s="2710">
        <v>2355.75</v>
      </c>
      <c r="R11" s="2710">
        <v>2537</v>
      </c>
      <c r="S11" s="2710">
        <v>12068</v>
      </c>
      <c r="T11" s="2710">
        <v>24466.875</v>
      </c>
      <c r="U11" s="2710">
        <v>439</v>
      </c>
      <c r="V11" s="2711">
        <v>24905.875</v>
      </c>
      <c r="W11" s="1653">
        <v>47177.875</v>
      </c>
      <c r="X11" s="2712">
        <v>13.632653061224499</v>
      </c>
      <c r="Y11" s="2713">
        <v>11.185970328647343</v>
      </c>
    </row>
    <row r="12" spans="1:29" s="272" customFormat="1" ht="21.95" customHeight="1">
      <c r="A12" s="2680" t="s">
        <v>1053</v>
      </c>
      <c r="B12" s="2681" t="s">
        <v>1420</v>
      </c>
      <c r="C12" s="2682" t="s">
        <v>1421</v>
      </c>
      <c r="D12" s="2683" t="s">
        <v>1422</v>
      </c>
      <c r="E12" s="2684" t="s">
        <v>1423</v>
      </c>
      <c r="F12" s="2684" t="s">
        <v>1424</v>
      </c>
      <c r="G12" s="2685" t="s">
        <v>1435</v>
      </c>
      <c r="H12" s="2686" t="s">
        <v>1436</v>
      </c>
      <c r="I12" s="2685" t="s">
        <v>1437</v>
      </c>
      <c r="J12" s="2685" t="s">
        <v>1428</v>
      </c>
      <c r="K12" s="2685" t="s">
        <v>1438</v>
      </c>
      <c r="L12" s="2685" t="s">
        <v>1430</v>
      </c>
      <c r="M12" s="2687" t="s">
        <v>189</v>
      </c>
      <c r="N12" s="2681" t="s">
        <v>1410</v>
      </c>
      <c r="O12" s="2682" t="s">
        <v>1411</v>
      </c>
      <c r="P12" s="2682" t="s">
        <v>1412</v>
      </c>
      <c r="Q12" s="2682" t="s">
        <v>1413</v>
      </c>
      <c r="R12" s="2682" t="s">
        <v>1414</v>
      </c>
      <c r="S12" s="2716" t="s">
        <v>1431</v>
      </c>
      <c r="T12" s="2717" t="s">
        <v>1432</v>
      </c>
      <c r="U12" s="2690" t="s">
        <v>1433</v>
      </c>
      <c r="V12" s="1780" t="s">
        <v>456</v>
      </c>
      <c r="W12" s="2693" t="s">
        <v>1397</v>
      </c>
      <c r="X12" s="2694" t="s">
        <v>1418</v>
      </c>
      <c r="Y12" s="2695" t="s">
        <v>1434</v>
      </c>
    </row>
    <row r="13" spans="1:29" s="272" customFormat="1" ht="20.100000000000001" customHeight="1">
      <c r="A13" s="1917">
        <v>2019</v>
      </c>
      <c r="B13" s="2718">
        <v>6</v>
      </c>
      <c r="C13" s="2719">
        <v>159</v>
      </c>
      <c r="D13" s="2719">
        <v>279</v>
      </c>
      <c r="E13" s="2719">
        <v>900</v>
      </c>
      <c r="F13" s="2719">
        <v>226</v>
      </c>
      <c r="G13" s="2719">
        <v>134</v>
      </c>
      <c r="H13" s="2719">
        <v>1195</v>
      </c>
      <c r="I13" s="2719">
        <v>1133</v>
      </c>
      <c r="J13" s="2719">
        <v>319</v>
      </c>
      <c r="K13" s="2719">
        <v>259</v>
      </c>
      <c r="L13" s="2719">
        <v>18370</v>
      </c>
      <c r="M13" s="2720">
        <v>22980</v>
      </c>
      <c r="N13" s="2721">
        <v>2408</v>
      </c>
      <c r="O13" s="2719">
        <v>2664</v>
      </c>
      <c r="P13" s="2719">
        <v>2403</v>
      </c>
      <c r="Q13" s="2719">
        <v>2404</v>
      </c>
      <c r="R13" s="2719">
        <v>2551</v>
      </c>
      <c r="S13" s="2719">
        <v>12178</v>
      </c>
      <c r="T13" s="2719">
        <v>24608</v>
      </c>
      <c r="U13" s="2719">
        <v>493.5</v>
      </c>
      <c r="V13" s="2720">
        <v>25101.5</v>
      </c>
      <c r="W13" s="2721">
        <v>48081.5</v>
      </c>
      <c r="X13" s="2722">
        <v>3.1788793103448176</v>
      </c>
      <c r="Y13" s="2723">
        <v>1.9153575696234659</v>
      </c>
    </row>
    <row r="14" spans="1:29" s="272" customFormat="1" ht="21.95" customHeight="1">
      <c r="A14" s="2680" t="s">
        <v>1053</v>
      </c>
      <c r="B14" s="2681" t="s">
        <v>1420</v>
      </c>
      <c r="C14" s="2682" t="s">
        <v>1421</v>
      </c>
      <c r="D14" s="2724" t="s">
        <v>1439</v>
      </c>
      <c r="E14" s="2684" t="s">
        <v>1440</v>
      </c>
      <c r="F14" s="2684" t="s">
        <v>1423</v>
      </c>
      <c r="G14" s="2684" t="s">
        <v>1403</v>
      </c>
      <c r="H14" s="2684" t="s">
        <v>1441</v>
      </c>
      <c r="I14" s="2685" t="s">
        <v>1442</v>
      </c>
      <c r="J14" s="2686" t="s">
        <v>1443</v>
      </c>
      <c r="K14" s="2685" t="s">
        <v>1444</v>
      </c>
      <c r="L14" s="2685" t="s">
        <v>1430</v>
      </c>
      <c r="M14" s="2687" t="s">
        <v>189</v>
      </c>
      <c r="N14" s="2681" t="s">
        <v>1410</v>
      </c>
      <c r="O14" s="2682" t="s">
        <v>1411</v>
      </c>
      <c r="P14" s="2682" t="s">
        <v>1412</v>
      </c>
      <c r="Q14" s="2682" t="s">
        <v>1413</v>
      </c>
      <c r="R14" s="2682" t="s">
        <v>1414</v>
      </c>
      <c r="S14" s="2716" t="s">
        <v>1431</v>
      </c>
      <c r="T14" s="2717" t="s">
        <v>1432</v>
      </c>
      <c r="U14" s="2690" t="s">
        <v>1433</v>
      </c>
      <c r="V14" s="1780" t="s">
        <v>456</v>
      </c>
      <c r="W14" s="2693" t="s">
        <v>1397</v>
      </c>
      <c r="X14" s="2694" t="s">
        <v>1418</v>
      </c>
      <c r="Y14" s="2695" t="s">
        <v>1434</v>
      </c>
      <c r="AA14" s="271"/>
      <c r="AB14" s="271"/>
      <c r="AC14" s="271"/>
    </row>
    <row r="15" spans="1:29" s="272" customFormat="1" ht="21" customHeight="1">
      <c r="A15" s="1917">
        <v>2020</v>
      </c>
      <c r="B15" s="2718">
        <v>7</v>
      </c>
      <c r="C15" s="2719">
        <v>642</v>
      </c>
      <c r="D15" s="2719">
        <v>143</v>
      </c>
      <c r="E15" s="2719">
        <v>91</v>
      </c>
      <c r="F15" s="2719">
        <v>858</v>
      </c>
      <c r="G15" s="2719">
        <v>228</v>
      </c>
      <c r="H15" s="2719">
        <v>211</v>
      </c>
      <c r="I15" s="2719">
        <v>1094</v>
      </c>
      <c r="J15" s="2719">
        <v>1021</v>
      </c>
      <c r="K15" s="2719">
        <v>328</v>
      </c>
      <c r="L15" s="2719">
        <v>18773</v>
      </c>
      <c r="M15" s="2720">
        <v>23396</v>
      </c>
      <c r="N15" s="2721">
        <v>2709.625</v>
      </c>
      <c r="O15" s="2719">
        <v>2607.875</v>
      </c>
      <c r="P15" s="2719">
        <v>2528.125</v>
      </c>
      <c r="Q15" s="2719">
        <v>2504.625</v>
      </c>
      <c r="R15" s="2719">
        <v>2465.63</v>
      </c>
      <c r="S15" s="2719">
        <v>12204.725</v>
      </c>
      <c r="T15" s="2719">
        <v>25020.605000000003</v>
      </c>
      <c r="U15" s="2719">
        <v>504.17500000000001</v>
      </c>
      <c r="V15" s="2720">
        <v>25524.780000000002</v>
      </c>
      <c r="W15" s="2721">
        <v>48920.78</v>
      </c>
      <c r="X15" s="2722">
        <v>1.8102697998259254</v>
      </c>
      <c r="Y15" s="2723">
        <v>1.7455362249513717</v>
      </c>
      <c r="AA15" s="271"/>
      <c r="AB15" s="271"/>
      <c r="AC15" s="271"/>
    </row>
    <row r="16" spans="1:29" s="272" customFormat="1" ht="21" customHeight="1">
      <c r="A16" s="2680" t="s">
        <v>1053</v>
      </c>
      <c r="B16" s="2681" t="s">
        <v>1420</v>
      </c>
      <c r="C16" s="2725" t="s">
        <v>1400</v>
      </c>
      <c r="D16" s="2726" t="s">
        <v>1445</v>
      </c>
      <c r="E16" s="2684" t="s">
        <v>1446</v>
      </c>
      <c r="F16" s="2684" t="s">
        <v>1447</v>
      </c>
      <c r="G16" s="2727" t="s">
        <v>1448</v>
      </c>
      <c r="H16" s="2684" t="s">
        <v>1442</v>
      </c>
      <c r="I16" s="2685" t="s">
        <v>1443</v>
      </c>
      <c r="J16" s="2686" t="s">
        <v>1444</v>
      </c>
      <c r="K16" s="2685" t="s">
        <v>1449</v>
      </c>
      <c r="L16" s="2685" t="s">
        <v>1430</v>
      </c>
      <c r="M16" s="2687" t="s">
        <v>189</v>
      </c>
      <c r="N16" s="2681" t="s">
        <v>1410</v>
      </c>
      <c r="O16" s="2682" t="s">
        <v>1411</v>
      </c>
      <c r="P16" s="2682" t="s">
        <v>1412</v>
      </c>
      <c r="Q16" s="2682" t="s">
        <v>1413</v>
      </c>
      <c r="R16" s="2682" t="s">
        <v>1414</v>
      </c>
      <c r="S16" s="2716" t="s">
        <v>1431</v>
      </c>
      <c r="T16" s="2717" t="s">
        <v>1432</v>
      </c>
      <c r="U16" s="2690" t="s">
        <v>1433</v>
      </c>
      <c r="V16" s="1780" t="s">
        <v>456</v>
      </c>
      <c r="W16" s="2693" t="s">
        <v>1397</v>
      </c>
      <c r="X16" s="2694" t="s">
        <v>1418</v>
      </c>
      <c r="Y16" s="2695" t="s">
        <v>1434</v>
      </c>
      <c r="AA16" s="271"/>
      <c r="AB16" s="271"/>
      <c r="AC16" s="271"/>
    </row>
    <row r="17" spans="1:29" s="272" customFormat="1" ht="21" customHeight="1">
      <c r="A17" s="2728">
        <v>2021</v>
      </c>
      <c r="B17" s="2658">
        <v>7</v>
      </c>
      <c r="C17" s="2729">
        <v>541</v>
      </c>
      <c r="D17" s="2729">
        <v>247</v>
      </c>
      <c r="E17" s="2729">
        <v>55</v>
      </c>
      <c r="F17" s="2729">
        <v>834</v>
      </c>
      <c r="G17" s="2729">
        <v>228</v>
      </c>
      <c r="H17" s="2729">
        <v>947</v>
      </c>
      <c r="I17" s="2729">
        <v>1063</v>
      </c>
      <c r="J17" s="2729">
        <v>310</v>
      </c>
      <c r="K17" s="2729">
        <v>209</v>
      </c>
      <c r="L17" s="2729">
        <v>18847</v>
      </c>
      <c r="M17" s="2715">
        <v>23288</v>
      </c>
      <c r="N17" s="2658">
        <v>2810.625</v>
      </c>
      <c r="O17" s="2729">
        <v>2568.9250000000002</v>
      </c>
      <c r="P17" s="2729">
        <v>2598.375</v>
      </c>
      <c r="Q17" s="2729">
        <v>2652.45</v>
      </c>
      <c r="R17" s="2729">
        <v>2502.75</v>
      </c>
      <c r="S17" s="2729">
        <v>12305.025</v>
      </c>
      <c r="T17" s="2729">
        <v>25438.15</v>
      </c>
      <c r="U17" s="2729">
        <v>528.875</v>
      </c>
      <c r="V17" s="2715">
        <v>25967.025000000001</v>
      </c>
      <c r="W17" s="2658">
        <v>49255.025000000001</v>
      </c>
      <c r="X17" s="2730">
        <v>-0.46161737049068563</v>
      </c>
      <c r="Y17" s="2731">
        <v>0.68323726645405092</v>
      </c>
      <c r="AA17" s="271"/>
      <c r="AB17" s="271"/>
      <c r="AC17" s="271"/>
    </row>
    <row r="18" spans="1:29" s="272" customFormat="1" ht="21" customHeight="1">
      <c r="A18" s="2680" t="s">
        <v>1352</v>
      </c>
      <c r="B18" s="2681" t="s">
        <v>1399</v>
      </c>
      <c r="C18" s="2725" t="s">
        <v>1400</v>
      </c>
      <c r="D18" s="2725" t="s">
        <v>1445</v>
      </c>
      <c r="E18" s="2685" t="s">
        <v>1446</v>
      </c>
      <c r="F18" s="2685" t="s">
        <v>1450</v>
      </c>
      <c r="G18" s="2685" t="s">
        <v>1451</v>
      </c>
      <c r="H18" s="2685" t="s">
        <v>1442</v>
      </c>
      <c r="I18" s="2685" t="s">
        <v>1443</v>
      </c>
      <c r="J18" s="2732" t="s">
        <v>1452</v>
      </c>
      <c r="K18" s="2685" t="s">
        <v>1449</v>
      </c>
      <c r="L18" s="2685" t="s">
        <v>1409</v>
      </c>
      <c r="M18" s="2687" t="s">
        <v>189</v>
      </c>
      <c r="N18" s="2681" t="s">
        <v>1410</v>
      </c>
      <c r="O18" s="2682" t="s">
        <v>1411</v>
      </c>
      <c r="P18" s="2682" t="s">
        <v>1412</v>
      </c>
      <c r="Q18" s="2682" t="s">
        <v>1413</v>
      </c>
      <c r="R18" s="2682" t="s">
        <v>1414</v>
      </c>
      <c r="S18" s="2717" t="s">
        <v>1415</v>
      </c>
      <c r="T18" s="2717" t="s">
        <v>1416</v>
      </c>
      <c r="U18" s="2691" t="s">
        <v>1417</v>
      </c>
      <c r="V18" s="1780" t="s">
        <v>160</v>
      </c>
      <c r="W18" s="2693" t="s">
        <v>1397</v>
      </c>
      <c r="X18" s="2694" t="s">
        <v>1418</v>
      </c>
      <c r="Y18" s="2695" t="s">
        <v>1434</v>
      </c>
      <c r="AA18" s="271"/>
      <c r="AB18" s="271"/>
      <c r="AC18" s="271"/>
    </row>
    <row r="19" spans="1:29" s="272" customFormat="1" ht="21" customHeight="1">
      <c r="A19" s="2714">
        <v>2022</v>
      </c>
      <c r="B19" s="2733">
        <v>7</v>
      </c>
      <c r="C19" s="2734">
        <v>804</v>
      </c>
      <c r="D19" s="2734">
        <v>211</v>
      </c>
      <c r="E19" s="2734">
        <v>153</v>
      </c>
      <c r="F19" s="2734">
        <v>545</v>
      </c>
      <c r="G19" s="2734">
        <v>235</v>
      </c>
      <c r="H19" s="2734">
        <v>933</v>
      </c>
      <c r="I19" s="2734">
        <v>1078</v>
      </c>
      <c r="J19" s="2734">
        <v>317</v>
      </c>
      <c r="K19" s="2734">
        <v>253</v>
      </c>
      <c r="L19" s="2734">
        <v>19027</v>
      </c>
      <c r="M19" s="2735">
        <v>23563</v>
      </c>
      <c r="N19" s="2733">
        <v>2821.875</v>
      </c>
      <c r="O19" s="2734">
        <v>2662.05</v>
      </c>
      <c r="P19" s="2734">
        <v>2722.875</v>
      </c>
      <c r="Q19" s="2734">
        <v>2619.0100000000002</v>
      </c>
      <c r="R19" s="2734">
        <v>2466.125</v>
      </c>
      <c r="S19" s="2734">
        <v>12459.75</v>
      </c>
      <c r="T19" s="2734">
        <v>25751.684999999998</v>
      </c>
      <c r="U19" s="2734">
        <v>532.1</v>
      </c>
      <c r="V19" s="2735">
        <v>26283.784999999996</v>
      </c>
      <c r="W19" s="2733">
        <v>49846.784999999996</v>
      </c>
      <c r="X19" s="2736">
        <v>1.1808656818962593</v>
      </c>
      <c r="Y19" s="2737">
        <v>1.2014205657189247</v>
      </c>
      <c r="AA19" s="271"/>
      <c r="AB19" s="271"/>
      <c r="AC19" s="271"/>
    </row>
    <row r="20" spans="1:29" s="272" customFormat="1" ht="21" customHeight="1">
      <c r="A20" s="2680" t="s">
        <v>1053</v>
      </c>
      <c r="B20" s="2733" t="s">
        <v>1399</v>
      </c>
      <c r="C20" s="2734" t="s">
        <v>1400</v>
      </c>
      <c r="D20" s="2734" t="s">
        <v>1401</v>
      </c>
      <c r="E20" s="2738" t="s">
        <v>1453</v>
      </c>
      <c r="F20" s="2739" t="s">
        <v>1454</v>
      </c>
      <c r="G20" s="2740" t="s">
        <v>1455</v>
      </c>
      <c r="H20" s="2739" t="s">
        <v>1436</v>
      </c>
      <c r="I20" s="2664" t="s">
        <v>1427</v>
      </c>
      <c r="J20" s="2741" t="s">
        <v>1456</v>
      </c>
      <c r="K20" s="2716" t="s">
        <v>1429</v>
      </c>
      <c r="L20" s="1779" t="s">
        <v>1409</v>
      </c>
      <c r="M20" s="2735" t="s">
        <v>189</v>
      </c>
      <c r="N20" s="1900" t="s">
        <v>1410</v>
      </c>
      <c r="O20" s="302" t="s">
        <v>1411</v>
      </c>
      <c r="P20" s="2612" t="s">
        <v>1412</v>
      </c>
      <c r="Q20" s="302" t="s">
        <v>1413</v>
      </c>
      <c r="R20" s="2667" t="s">
        <v>1414</v>
      </c>
      <c r="S20" s="1810" t="s">
        <v>1415</v>
      </c>
      <c r="T20" s="2668" t="s">
        <v>1416</v>
      </c>
      <c r="U20" s="2669" t="s">
        <v>1417</v>
      </c>
      <c r="V20" s="621" t="s">
        <v>160</v>
      </c>
      <c r="W20" s="2681" t="s">
        <v>1397</v>
      </c>
      <c r="X20" s="2694" t="s">
        <v>1418</v>
      </c>
      <c r="Y20" s="2695" t="s">
        <v>1434</v>
      </c>
      <c r="AA20" s="271"/>
      <c r="AB20" s="271"/>
      <c r="AC20" s="271"/>
    </row>
    <row r="21" spans="1:29" s="272" customFormat="1" ht="21" customHeight="1">
      <c r="A21" s="2670">
        <v>2023</v>
      </c>
      <c r="B21" s="2742">
        <v>6</v>
      </c>
      <c r="C21" s="2743">
        <v>90</v>
      </c>
      <c r="D21" s="2743">
        <v>322</v>
      </c>
      <c r="E21" s="2743">
        <v>564</v>
      </c>
      <c r="F21" s="2743">
        <v>479</v>
      </c>
      <c r="G21" s="2743">
        <v>290</v>
      </c>
      <c r="H21" s="2744">
        <v>1055</v>
      </c>
      <c r="I21" s="2743">
        <v>1108</v>
      </c>
      <c r="J21" s="2743">
        <v>436</v>
      </c>
      <c r="K21" s="2743">
        <v>215</v>
      </c>
      <c r="L21" s="2743">
        <v>18411</v>
      </c>
      <c r="M21" s="2745">
        <v>22976</v>
      </c>
      <c r="N21" s="2742">
        <v>2794.375</v>
      </c>
      <c r="O21" s="2743">
        <v>2688.5</v>
      </c>
      <c r="P21" s="2743">
        <v>2719.875</v>
      </c>
      <c r="Q21" s="2743">
        <v>2650.67</v>
      </c>
      <c r="R21" s="2743">
        <v>2479.125</v>
      </c>
      <c r="S21" s="2743">
        <v>12547.825000000001</v>
      </c>
      <c r="T21" s="2743">
        <v>25880.370000000003</v>
      </c>
      <c r="U21" s="2743">
        <v>506.3</v>
      </c>
      <c r="V21" s="2745">
        <v>26386.670000000002</v>
      </c>
      <c r="W21" s="2742">
        <v>49362.67</v>
      </c>
      <c r="X21" s="2746">
        <v>-2.4911938208207807</v>
      </c>
      <c r="Y21" s="2747">
        <v>-0.97120606675034082</v>
      </c>
      <c r="AA21" s="271"/>
      <c r="AB21" s="271"/>
      <c r="AC21" s="271"/>
    </row>
    <row r="22" spans="1:29" s="272" customFormat="1" ht="20.25" customHeight="1">
      <c r="A22" s="2748" t="s">
        <v>844</v>
      </c>
      <c r="B22" s="2749" t="s">
        <v>1399</v>
      </c>
      <c r="C22" s="2749" t="s">
        <v>1400</v>
      </c>
      <c r="D22" s="2750" t="s">
        <v>1478</v>
      </c>
      <c r="E22" s="2751" t="s">
        <v>1479</v>
      </c>
      <c r="F22" s="2740" t="s">
        <v>1459</v>
      </c>
      <c r="G22" s="2749" t="s">
        <v>1403</v>
      </c>
      <c r="H22" s="2750" t="s">
        <v>1442</v>
      </c>
      <c r="I22" s="2750" t="s">
        <v>1406</v>
      </c>
      <c r="J22" s="2750" t="s">
        <v>1460</v>
      </c>
      <c r="K22" s="2750" t="s">
        <v>1408</v>
      </c>
      <c r="L22" s="2749" t="s">
        <v>1409</v>
      </c>
      <c r="M22" s="2752" t="s">
        <v>189</v>
      </c>
      <c r="N22" s="2753" t="s">
        <v>1410</v>
      </c>
      <c r="O22" s="2749" t="s">
        <v>1411</v>
      </c>
      <c r="P22" s="2749" t="s">
        <v>1412</v>
      </c>
      <c r="Q22" s="2749" t="s">
        <v>1413</v>
      </c>
      <c r="R22" s="2749" t="s">
        <v>1414</v>
      </c>
      <c r="S22" s="2750" t="s">
        <v>1415</v>
      </c>
      <c r="T22" s="2750" t="s">
        <v>1416</v>
      </c>
      <c r="U22" s="2750" t="s">
        <v>1417</v>
      </c>
      <c r="V22" s="2752" t="s">
        <v>160</v>
      </c>
      <c r="W22" s="2753" t="s">
        <v>1397</v>
      </c>
      <c r="X22" s="2754" t="s">
        <v>1418</v>
      </c>
      <c r="Y22" s="2755" t="s">
        <v>1480</v>
      </c>
      <c r="AA22" s="271"/>
      <c r="AB22" s="271"/>
      <c r="AC22" s="271"/>
    </row>
    <row r="23" spans="1:29" s="272" customFormat="1" ht="20.25" customHeight="1">
      <c r="A23" s="2756">
        <v>2024</v>
      </c>
      <c r="B23" s="2757">
        <v>6</v>
      </c>
      <c r="C23" s="2757">
        <v>105</v>
      </c>
      <c r="D23" s="2757">
        <v>966</v>
      </c>
      <c r="E23" s="2758">
        <v>299</v>
      </c>
      <c r="F23" s="2758">
        <v>179</v>
      </c>
      <c r="G23" s="2758">
        <v>100</v>
      </c>
      <c r="H23" s="2758">
        <v>1181</v>
      </c>
      <c r="I23" s="2757">
        <v>1135</v>
      </c>
      <c r="J23" s="2757">
        <v>414</v>
      </c>
      <c r="K23" s="2757">
        <v>199</v>
      </c>
      <c r="L23" s="2757">
        <v>17977</v>
      </c>
      <c r="M23" s="2759">
        <v>22561</v>
      </c>
      <c r="N23" s="2760">
        <v>2803.375</v>
      </c>
      <c r="O23" s="2757">
        <v>2683.1750000000002</v>
      </c>
      <c r="P23" s="2757">
        <v>2732.75</v>
      </c>
      <c r="Q23" s="2757">
        <v>2667.57</v>
      </c>
      <c r="R23" s="2757">
        <v>2558.625</v>
      </c>
      <c r="S23" s="2757">
        <v>12578.025</v>
      </c>
      <c r="T23" s="2757">
        <v>26023.519999999997</v>
      </c>
      <c r="U23" s="2757">
        <v>509</v>
      </c>
      <c r="V23" s="2759">
        <v>26532.519999999997</v>
      </c>
      <c r="W23" s="2760">
        <v>49093.52</v>
      </c>
      <c r="X23" s="2761">
        <v>-1.8062325905292442</v>
      </c>
      <c r="Y23" s="2762">
        <v>-0.54525008473002012</v>
      </c>
      <c r="AA23" s="271"/>
      <c r="AB23" s="271"/>
      <c r="AC23" s="271"/>
    </row>
    <row r="24" spans="1:29" s="272" customFormat="1" ht="20.25" customHeight="1">
      <c r="A24" s="2756" t="s">
        <v>1481</v>
      </c>
      <c r="B24" s="2757">
        <v>6</v>
      </c>
      <c r="C24" s="2757">
        <v>156</v>
      </c>
      <c r="D24" s="2757">
        <v>744</v>
      </c>
      <c r="E24" s="2758">
        <v>301</v>
      </c>
      <c r="F24" s="2758">
        <v>193</v>
      </c>
      <c r="G24" s="2758">
        <v>103</v>
      </c>
      <c r="H24" s="2758">
        <v>1165</v>
      </c>
      <c r="I24" s="2757">
        <v>1170</v>
      </c>
      <c r="J24" s="2757">
        <v>420</v>
      </c>
      <c r="K24" s="2757">
        <v>198</v>
      </c>
      <c r="L24" s="2757">
        <v>17723</v>
      </c>
      <c r="M24" s="2759">
        <v>22179</v>
      </c>
      <c r="N24" s="2760">
        <v>2776.625</v>
      </c>
      <c r="O24" s="2757">
        <v>2697.6750000000002</v>
      </c>
      <c r="P24" s="2757">
        <v>2671.75</v>
      </c>
      <c r="Q24" s="2757">
        <v>2622.9500000000003</v>
      </c>
      <c r="R24" s="2757">
        <v>2605.875</v>
      </c>
      <c r="S24" s="2757">
        <v>12466.7</v>
      </c>
      <c r="T24" s="2757">
        <v>25841.575000000001</v>
      </c>
      <c r="U24" s="2757">
        <v>528.5</v>
      </c>
      <c r="V24" s="2759">
        <v>26370.075000000001</v>
      </c>
      <c r="W24" s="2760">
        <v>48549.074999999997</v>
      </c>
      <c r="X24" s="2761">
        <v>-2.2219283163602666</v>
      </c>
      <c r="Y24" s="2762">
        <v>-0.89034016593988463</v>
      </c>
      <c r="AA24" s="271"/>
      <c r="AB24" s="271"/>
      <c r="AC24" s="271"/>
    </row>
    <row r="25" spans="1:29" s="272" customFormat="1" ht="20.25" customHeight="1">
      <c r="A25" s="2763">
        <v>5</v>
      </c>
      <c r="B25" s="2757">
        <v>6</v>
      </c>
      <c r="C25" s="2757">
        <v>156</v>
      </c>
      <c r="D25" s="2757">
        <v>744</v>
      </c>
      <c r="E25" s="2758">
        <v>301</v>
      </c>
      <c r="F25" s="2758">
        <v>194</v>
      </c>
      <c r="G25" s="2758">
        <v>103</v>
      </c>
      <c r="H25" s="2758">
        <v>1171</v>
      </c>
      <c r="I25" s="2757">
        <v>1172</v>
      </c>
      <c r="J25" s="2757">
        <v>421</v>
      </c>
      <c r="K25" s="2757">
        <v>202</v>
      </c>
      <c r="L25" s="2757">
        <v>17706</v>
      </c>
      <c r="M25" s="2759">
        <v>22176</v>
      </c>
      <c r="N25" s="2760">
        <v>2863</v>
      </c>
      <c r="O25" s="2757">
        <v>2695.7249999999999</v>
      </c>
      <c r="P25" s="2757">
        <v>2664.75</v>
      </c>
      <c r="Q25" s="2757">
        <v>2619.8700000000003</v>
      </c>
      <c r="R25" s="2757">
        <v>2607.125</v>
      </c>
      <c r="S25" s="2757">
        <v>12445.13</v>
      </c>
      <c r="T25" s="2757">
        <v>25895.599999999999</v>
      </c>
      <c r="U25" s="2757">
        <v>528</v>
      </c>
      <c r="V25" s="2759">
        <v>26423.599999999999</v>
      </c>
      <c r="W25" s="2760">
        <v>48599.6</v>
      </c>
      <c r="X25" s="2761">
        <v>-2.1531944934698233</v>
      </c>
      <c r="Y25" s="2762">
        <v>-1.1402126072490026</v>
      </c>
      <c r="AA25" s="271"/>
      <c r="AB25" s="271"/>
      <c r="AC25" s="271"/>
    </row>
    <row r="26" spans="1:29" s="272" customFormat="1" ht="20.25" customHeight="1">
      <c r="A26" s="2763">
        <v>6</v>
      </c>
      <c r="B26" s="2757">
        <v>6</v>
      </c>
      <c r="C26" s="2757">
        <v>156</v>
      </c>
      <c r="D26" s="2757">
        <v>749</v>
      </c>
      <c r="E26" s="2758">
        <v>303</v>
      </c>
      <c r="F26" s="2758">
        <v>197</v>
      </c>
      <c r="G26" s="2758">
        <v>103</v>
      </c>
      <c r="H26" s="2758">
        <v>1171</v>
      </c>
      <c r="I26" s="2757">
        <v>1201</v>
      </c>
      <c r="J26" s="2757">
        <v>423</v>
      </c>
      <c r="K26" s="2757">
        <v>200</v>
      </c>
      <c r="L26" s="2757">
        <v>17939</v>
      </c>
      <c r="M26" s="2759">
        <v>22448</v>
      </c>
      <c r="N26" s="2760">
        <v>2860.5</v>
      </c>
      <c r="O26" s="2757">
        <v>2689.7249999999999</v>
      </c>
      <c r="P26" s="2757">
        <v>2767.25</v>
      </c>
      <c r="Q26" s="2757">
        <v>2603.3200000000002</v>
      </c>
      <c r="R26" s="2757">
        <v>2602.125</v>
      </c>
      <c r="S26" s="2757">
        <v>12445.13</v>
      </c>
      <c r="T26" s="2757">
        <v>25968.05</v>
      </c>
      <c r="U26" s="2757">
        <v>528</v>
      </c>
      <c r="V26" s="2759">
        <v>26496.05</v>
      </c>
      <c r="W26" s="2760">
        <v>48944.05</v>
      </c>
      <c r="X26" s="2761">
        <v>-0.87432659189260464</v>
      </c>
      <c r="Y26" s="2762">
        <v>-8.2189582745972878E-2</v>
      </c>
      <c r="AA26" s="271"/>
      <c r="AB26" s="271"/>
      <c r="AC26" s="271"/>
    </row>
    <row r="27" spans="1:29" s="272" customFormat="1" ht="20.25" customHeight="1">
      <c r="A27" s="2763">
        <v>7</v>
      </c>
      <c r="B27" s="2757">
        <v>6</v>
      </c>
      <c r="C27" s="2757">
        <v>155</v>
      </c>
      <c r="D27" s="2757">
        <v>750</v>
      </c>
      <c r="E27" s="2758">
        <v>304</v>
      </c>
      <c r="F27" s="2758">
        <v>197</v>
      </c>
      <c r="G27" s="2758">
        <v>103</v>
      </c>
      <c r="H27" s="2758">
        <v>1172</v>
      </c>
      <c r="I27" s="2757">
        <v>1197</v>
      </c>
      <c r="J27" s="2757">
        <v>423</v>
      </c>
      <c r="K27" s="2757">
        <v>199</v>
      </c>
      <c r="L27" s="2757">
        <v>17876</v>
      </c>
      <c r="M27" s="2759">
        <v>22382</v>
      </c>
      <c r="N27" s="2760">
        <v>2843.25</v>
      </c>
      <c r="O27" s="2757">
        <v>2686.7249999999999</v>
      </c>
      <c r="P27" s="2757">
        <v>2729.25</v>
      </c>
      <c r="Q27" s="2757">
        <v>2654.3400000000006</v>
      </c>
      <c r="R27" s="2757">
        <v>2595.125</v>
      </c>
      <c r="S27" s="2757">
        <v>12531.375</v>
      </c>
      <c r="T27" s="2757">
        <v>26040.065000000002</v>
      </c>
      <c r="U27" s="2757">
        <v>525.625</v>
      </c>
      <c r="V27" s="2759">
        <v>26565.690000000002</v>
      </c>
      <c r="W27" s="2760">
        <v>48947.69</v>
      </c>
      <c r="X27" s="2761">
        <v>-0.81099047196986351</v>
      </c>
      <c r="Y27" s="2762">
        <v>-0.24170364640403452</v>
      </c>
      <c r="AA27" s="271"/>
      <c r="AB27" s="271"/>
      <c r="AC27" s="271"/>
    </row>
    <row r="28" spans="1:29" s="272" customFormat="1" ht="20.25" customHeight="1">
      <c r="A28" s="2763">
        <v>8</v>
      </c>
      <c r="B28" s="2757">
        <v>6</v>
      </c>
      <c r="C28" s="2757">
        <v>155</v>
      </c>
      <c r="D28" s="2757">
        <v>748</v>
      </c>
      <c r="E28" s="2758">
        <v>307</v>
      </c>
      <c r="F28" s="2758">
        <v>196</v>
      </c>
      <c r="G28" s="2758">
        <v>103</v>
      </c>
      <c r="H28" s="2758">
        <v>1173</v>
      </c>
      <c r="I28" s="2757">
        <v>1199</v>
      </c>
      <c r="J28" s="2757">
        <v>423</v>
      </c>
      <c r="K28" s="2757">
        <v>202</v>
      </c>
      <c r="L28" s="2757">
        <v>17889</v>
      </c>
      <c r="M28" s="2759">
        <v>22401</v>
      </c>
      <c r="N28" s="2760">
        <v>2840.75</v>
      </c>
      <c r="O28" s="2757">
        <v>2686.85</v>
      </c>
      <c r="P28" s="2757">
        <v>2732.25</v>
      </c>
      <c r="Q28" s="2757">
        <v>2579.2700000000004</v>
      </c>
      <c r="R28" s="2757">
        <v>2587.125</v>
      </c>
      <c r="S28" s="2757">
        <v>12537.924999999999</v>
      </c>
      <c r="T28" s="2757">
        <v>25964.17</v>
      </c>
      <c r="U28" s="2757">
        <v>526</v>
      </c>
      <c r="V28" s="2759">
        <v>26490.17</v>
      </c>
      <c r="W28" s="2760">
        <v>48891.17</v>
      </c>
      <c r="X28" s="2761">
        <v>-0.67837190742218167</v>
      </c>
      <c r="Y28" s="2762">
        <v>-0.29721486353699866</v>
      </c>
      <c r="AA28" s="271"/>
      <c r="AB28" s="271"/>
      <c r="AC28" s="271"/>
    </row>
    <row r="29" spans="1:29" s="272" customFormat="1" ht="20.25" customHeight="1">
      <c r="A29" s="2763">
        <v>9</v>
      </c>
      <c r="B29" s="2757">
        <v>6</v>
      </c>
      <c r="C29" s="2757">
        <v>156</v>
      </c>
      <c r="D29" s="2757">
        <v>745</v>
      </c>
      <c r="E29" s="2758">
        <v>309</v>
      </c>
      <c r="F29" s="2758">
        <v>196</v>
      </c>
      <c r="G29" s="2758">
        <v>103</v>
      </c>
      <c r="H29" s="2758">
        <v>1164</v>
      </c>
      <c r="I29" s="2757">
        <v>1195</v>
      </c>
      <c r="J29" s="2757">
        <v>426</v>
      </c>
      <c r="K29" s="2757">
        <v>202</v>
      </c>
      <c r="L29" s="2757">
        <v>17695</v>
      </c>
      <c r="M29" s="2759">
        <v>22197</v>
      </c>
      <c r="N29" s="2760">
        <v>2835.125</v>
      </c>
      <c r="O29" s="2757">
        <v>2673.2249999999999</v>
      </c>
      <c r="P29" s="2757">
        <v>2730.25</v>
      </c>
      <c r="Q29" s="2757">
        <v>2668.2700000000004</v>
      </c>
      <c r="R29" s="2757">
        <v>2578.88</v>
      </c>
      <c r="S29" s="2757">
        <v>12558.38</v>
      </c>
      <c r="T29" s="2757">
        <v>26044.129999999997</v>
      </c>
      <c r="U29" s="2757">
        <v>533</v>
      </c>
      <c r="V29" s="2759">
        <v>26577.129999999997</v>
      </c>
      <c r="W29" s="2760">
        <v>48774.13</v>
      </c>
      <c r="X29" s="2761">
        <v>-0.78666249497161278</v>
      </c>
      <c r="Y29" s="2762">
        <v>-3.8028241323473377E-2</v>
      </c>
      <c r="AA29" s="271"/>
      <c r="AB29" s="271"/>
      <c r="AC29" s="271"/>
    </row>
    <row r="30" spans="1:29" s="272" customFormat="1" ht="20.25" customHeight="1">
      <c r="A30" s="2763">
        <v>10</v>
      </c>
      <c r="B30" s="2757">
        <v>6</v>
      </c>
      <c r="C30" s="2757">
        <v>156</v>
      </c>
      <c r="D30" s="2757">
        <v>745</v>
      </c>
      <c r="E30" s="2758">
        <v>308</v>
      </c>
      <c r="F30" s="2758">
        <v>197</v>
      </c>
      <c r="G30" s="2758">
        <v>103</v>
      </c>
      <c r="H30" s="2758">
        <v>1175</v>
      </c>
      <c r="I30" s="2757">
        <v>1193</v>
      </c>
      <c r="J30" s="2757">
        <v>426</v>
      </c>
      <c r="K30" s="2757">
        <v>202</v>
      </c>
      <c r="L30" s="2757">
        <v>17704</v>
      </c>
      <c r="M30" s="2759">
        <v>22215</v>
      </c>
      <c r="N30" s="2760">
        <v>2826</v>
      </c>
      <c r="O30" s="2757">
        <v>2673.35</v>
      </c>
      <c r="P30" s="2757">
        <v>2724.25</v>
      </c>
      <c r="Q30" s="2757">
        <v>2661.5200000000004</v>
      </c>
      <c r="R30" s="2757">
        <v>2538.75</v>
      </c>
      <c r="S30" s="2757">
        <v>12524.25</v>
      </c>
      <c r="T30" s="2757">
        <v>25948.120000000003</v>
      </c>
      <c r="U30" s="2757">
        <v>529</v>
      </c>
      <c r="V30" s="2759">
        <v>26477.120000000003</v>
      </c>
      <c r="W30" s="2760">
        <v>48692.12</v>
      </c>
      <c r="X30" s="2761">
        <v>-0.55063121138866356</v>
      </c>
      <c r="Y30" s="2762">
        <v>-0.12080774113112369</v>
      </c>
      <c r="AA30" s="271"/>
      <c r="AB30" s="271"/>
      <c r="AC30" s="271"/>
    </row>
    <row r="31" spans="1:29" s="272" customFormat="1" ht="20.25" customHeight="1">
      <c r="A31" s="2763">
        <v>11</v>
      </c>
      <c r="B31" s="2757">
        <v>6</v>
      </c>
      <c r="C31" s="2757">
        <v>155</v>
      </c>
      <c r="D31" s="2757">
        <v>746</v>
      </c>
      <c r="E31" s="2758">
        <v>307</v>
      </c>
      <c r="F31" s="2758">
        <v>197</v>
      </c>
      <c r="G31" s="2758">
        <v>102</v>
      </c>
      <c r="H31" s="2758">
        <v>1177</v>
      </c>
      <c r="I31" s="2757">
        <v>1197</v>
      </c>
      <c r="J31" s="2757">
        <v>426</v>
      </c>
      <c r="K31" s="2757">
        <v>200</v>
      </c>
      <c r="L31" s="2757">
        <v>17693</v>
      </c>
      <c r="M31" s="2759">
        <v>22206</v>
      </c>
      <c r="N31" s="2760">
        <v>2855.25</v>
      </c>
      <c r="O31" s="2757">
        <v>2672.1</v>
      </c>
      <c r="P31" s="2757">
        <v>2752.25</v>
      </c>
      <c r="Q31" s="2757">
        <v>2662.0300000000007</v>
      </c>
      <c r="R31" s="2757">
        <v>2530</v>
      </c>
      <c r="S31" s="2757">
        <v>12525.05</v>
      </c>
      <c r="T31" s="2757">
        <v>25996.68</v>
      </c>
      <c r="U31" s="2757">
        <v>527</v>
      </c>
      <c r="V31" s="2759">
        <v>26523.68</v>
      </c>
      <c r="W31" s="2760">
        <v>48729.68</v>
      </c>
      <c r="X31" s="2761">
        <v>-0.67540367670081425</v>
      </c>
      <c r="Y31" s="2762">
        <v>-2.5501563227359192E-2</v>
      </c>
      <c r="AA31" s="271"/>
      <c r="AB31" s="271"/>
      <c r="AC31" s="271"/>
    </row>
    <row r="32" spans="1:29" s="272" customFormat="1" ht="20.25" customHeight="1">
      <c r="A32" s="2764">
        <v>12</v>
      </c>
      <c r="B32" s="2765">
        <v>6</v>
      </c>
      <c r="C32" s="2765">
        <v>153</v>
      </c>
      <c r="D32" s="2765">
        <v>1013</v>
      </c>
      <c r="E32" s="2765">
        <v>305</v>
      </c>
      <c r="F32" s="2765">
        <v>197</v>
      </c>
      <c r="G32" s="2765">
        <v>102</v>
      </c>
      <c r="H32" s="2765">
        <v>1240</v>
      </c>
      <c r="I32" s="2765">
        <v>1244</v>
      </c>
      <c r="J32" s="2765">
        <v>362</v>
      </c>
      <c r="K32" s="2765">
        <v>200</v>
      </c>
      <c r="L32" s="2765">
        <v>17848</v>
      </c>
      <c r="M32" s="2766">
        <v>22670</v>
      </c>
      <c r="N32" s="2767">
        <v>2824.125</v>
      </c>
      <c r="O32" s="2765">
        <v>2664.1</v>
      </c>
      <c r="P32" s="2765">
        <v>2736.5</v>
      </c>
      <c r="Q32" s="2765">
        <v>2716.73</v>
      </c>
      <c r="R32" s="2765">
        <v>2559</v>
      </c>
      <c r="S32" s="2765">
        <v>12522.625</v>
      </c>
      <c r="T32" s="2765">
        <v>26023.08</v>
      </c>
      <c r="U32" s="2765">
        <v>526</v>
      </c>
      <c r="V32" s="2766">
        <v>26549.08</v>
      </c>
      <c r="W32" s="2767">
        <v>49219.08</v>
      </c>
      <c r="X32" s="2768">
        <v>0.48313461282745163</v>
      </c>
      <c r="Y32" s="2769">
        <v>0.25575676789930668</v>
      </c>
      <c r="AA32" s="271"/>
      <c r="AB32" s="271"/>
      <c r="AC32" s="271"/>
    </row>
    <row r="33" spans="1:29" s="272" customFormat="1" ht="20.25" customHeight="1">
      <c r="A33" s="2770" t="s">
        <v>1482</v>
      </c>
      <c r="B33" s="2771">
        <v>6</v>
      </c>
      <c r="C33" s="2771">
        <v>181</v>
      </c>
      <c r="D33" s="2771">
        <v>822</v>
      </c>
      <c r="E33" s="2771">
        <v>321</v>
      </c>
      <c r="F33" s="2771">
        <v>206</v>
      </c>
      <c r="G33" s="2771">
        <v>105</v>
      </c>
      <c r="H33" s="2771">
        <v>1240</v>
      </c>
      <c r="I33" s="2771">
        <v>1238</v>
      </c>
      <c r="J33" s="2771">
        <v>365</v>
      </c>
      <c r="K33" s="2771">
        <v>197</v>
      </c>
      <c r="L33" s="2771">
        <v>18008</v>
      </c>
      <c r="M33" s="2772">
        <v>22689</v>
      </c>
      <c r="N33" s="2773">
        <v>2816.375</v>
      </c>
      <c r="O33" s="2771">
        <v>2664.2249999999999</v>
      </c>
      <c r="P33" s="2771">
        <v>2704.76</v>
      </c>
      <c r="Q33" s="2771">
        <v>2722.88</v>
      </c>
      <c r="R33" s="2771">
        <v>2557</v>
      </c>
      <c r="S33" s="2771">
        <v>12507</v>
      </c>
      <c r="T33" s="2771">
        <v>25972.240000000002</v>
      </c>
      <c r="U33" s="2771">
        <v>526</v>
      </c>
      <c r="V33" s="2772">
        <v>26498.240000000002</v>
      </c>
      <c r="W33" s="2773">
        <v>49187.240000000005</v>
      </c>
      <c r="X33" s="2774">
        <v>0.52279473660892251</v>
      </c>
      <c r="Y33" s="2775">
        <v>0.33740063612464066</v>
      </c>
      <c r="AA33" s="271"/>
      <c r="AB33" s="271"/>
      <c r="AC33" s="271"/>
    </row>
    <row r="34" spans="1:29" s="272" customFormat="1" ht="20.25" customHeight="1">
      <c r="A34" s="2763">
        <v>2</v>
      </c>
      <c r="B34" s="2757">
        <v>6</v>
      </c>
      <c r="C34" s="2757">
        <v>181</v>
      </c>
      <c r="D34" s="2757">
        <v>816</v>
      </c>
      <c r="E34" s="2757">
        <v>318</v>
      </c>
      <c r="F34" s="2757">
        <v>204</v>
      </c>
      <c r="G34" s="2757">
        <v>105</v>
      </c>
      <c r="H34" s="2757">
        <v>1236</v>
      </c>
      <c r="I34" s="2757">
        <v>1229</v>
      </c>
      <c r="J34" s="2757">
        <v>363</v>
      </c>
      <c r="K34" s="2757">
        <v>198</v>
      </c>
      <c r="L34" s="2757">
        <v>17972</v>
      </c>
      <c r="M34" s="2759">
        <v>22628</v>
      </c>
      <c r="N34" s="2760">
        <v>2815.625</v>
      </c>
      <c r="O34" s="2757">
        <v>2652.2249999999999</v>
      </c>
      <c r="P34" s="2757">
        <v>2703.875</v>
      </c>
      <c r="Q34" s="2757">
        <v>2723.4300000000003</v>
      </c>
      <c r="R34" s="2757">
        <v>2560.875</v>
      </c>
      <c r="S34" s="2757">
        <v>12484.05</v>
      </c>
      <c r="T34" s="2757">
        <v>25940.080000000002</v>
      </c>
      <c r="U34" s="2757">
        <v>523</v>
      </c>
      <c r="V34" s="2759">
        <v>26463.08</v>
      </c>
      <c r="W34" s="2760">
        <v>49091.08</v>
      </c>
      <c r="X34" s="2761">
        <v>0.7435109745781654</v>
      </c>
      <c r="Y34" s="2762">
        <v>0.398712576916882</v>
      </c>
      <c r="AA34" s="271"/>
      <c r="AB34" s="271"/>
      <c r="AC34" s="271"/>
    </row>
    <row r="35" spans="1:29" s="272" customFormat="1" ht="20.25" customHeight="1">
      <c r="A35" s="2763">
        <v>3</v>
      </c>
      <c r="B35" s="2757">
        <v>6</v>
      </c>
      <c r="C35" s="2757">
        <v>180</v>
      </c>
      <c r="D35" s="2757">
        <v>763</v>
      </c>
      <c r="E35" s="2757">
        <v>317</v>
      </c>
      <c r="F35" s="2757">
        <v>203</v>
      </c>
      <c r="G35" s="2757">
        <v>104</v>
      </c>
      <c r="H35" s="2757">
        <v>1218</v>
      </c>
      <c r="I35" s="2757">
        <v>1204</v>
      </c>
      <c r="J35" s="2757">
        <v>357</v>
      </c>
      <c r="K35" s="2757">
        <v>198</v>
      </c>
      <c r="L35" s="2757">
        <v>17666</v>
      </c>
      <c r="M35" s="2759">
        <v>22216</v>
      </c>
      <c r="N35" s="2760">
        <v>2831.125</v>
      </c>
      <c r="O35" s="2757">
        <v>2655.35</v>
      </c>
      <c r="P35" s="2757">
        <v>2680.88</v>
      </c>
      <c r="Q35" s="2757">
        <v>2696.1100000000006</v>
      </c>
      <c r="R35" s="2757">
        <v>2574.875</v>
      </c>
      <c r="S35" s="2757">
        <v>12406.275</v>
      </c>
      <c r="T35" s="2757">
        <v>25844.614999999998</v>
      </c>
      <c r="U35" s="2757">
        <v>522</v>
      </c>
      <c r="V35" s="2759">
        <v>26366.614999999998</v>
      </c>
      <c r="W35" s="2760">
        <v>48582.614999999998</v>
      </c>
      <c r="X35" s="2761">
        <v>0.13973405454135168</v>
      </c>
      <c r="Y35" s="2762">
        <v>-9.0721707998886458E-2</v>
      </c>
      <c r="AA35" s="271"/>
      <c r="AB35" s="271"/>
      <c r="AC35" s="271"/>
    </row>
    <row r="36" spans="1:29" s="272" customFormat="1" ht="20.25" customHeight="1">
      <c r="A36" s="2776">
        <v>4</v>
      </c>
      <c r="B36" s="2734">
        <v>6</v>
      </c>
      <c r="C36" s="2734">
        <v>180</v>
      </c>
      <c r="D36" s="2734">
        <v>762</v>
      </c>
      <c r="E36" s="2734">
        <v>316</v>
      </c>
      <c r="F36" s="2734">
        <v>203</v>
      </c>
      <c r="G36" s="2734">
        <v>102</v>
      </c>
      <c r="H36" s="2734">
        <v>1234</v>
      </c>
      <c r="I36" s="2734">
        <v>1201</v>
      </c>
      <c r="J36" s="2734">
        <v>357</v>
      </c>
      <c r="K36" s="2734">
        <v>199</v>
      </c>
      <c r="L36" s="2734">
        <v>17813</v>
      </c>
      <c r="M36" s="2735">
        <v>22373</v>
      </c>
      <c r="N36" s="2733">
        <v>2796.875</v>
      </c>
      <c r="O36" s="2734">
        <v>2659.3</v>
      </c>
      <c r="P36" s="2734">
        <v>2771</v>
      </c>
      <c r="Q36" s="2734">
        <v>2690.2300000000005</v>
      </c>
      <c r="R36" s="2734">
        <v>2512.875</v>
      </c>
      <c r="S36" s="2734">
        <v>12409.275</v>
      </c>
      <c r="T36" s="2734">
        <v>25839.555</v>
      </c>
      <c r="U36" s="2734">
        <v>521</v>
      </c>
      <c r="V36" s="2735">
        <v>26360.555</v>
      </c>
      <c r="W36" s="2733">
        <v>48733.555</v>
      </c>
      <c r="X36" s="2736">
        <v>0.87470129401685526</v>
      </c>
      <c r="Y36" s="2737">
        <v>0.37998664238196866</v>
      </c>
      <c r="AA36" s="271"/>
      <c r="AB36" s="271"/>
      <c r="AC36" s="271"/>
    </row>
    <row r="37" spans="1:29" s="272" customFormat="1" ht="7.5" customHeight="1">
      <c r="A37" s="2777"/>
      <c r="B37" s="2778"/>
      <c r="C37" s="2778"/>
      <c r="D37" s="2778"/>
      <c r="E37" s="2778"/>
      <c r="F37" s="2778"/>
      <c r="G37" s="2778"/>
      <c r="H37" s="2778"/>
      <c r="I37" s="2778"/>
      <c r="J37" s="2778"/>
      <c r="K37" s="2778"/>
      <c r="L37" s="2778"/>
      <c r="M37" s="2778"/>
      <c r="N37" s="2778"/>
      <c r="O37" s="2778"/>
      <c r="P37" s="2778"/>
      <c r="Q37" s="2778"/>
      <c r="R37" s="2778"/>
      <c r="S37" s="2778"/>
      <c r="T37" s="2778"/>
      <c r="U37" s="2778"/>
      <c r="V37" s="2778"/>
      <c r="W37" s="2778"/>
      <c r="X37" s="2779"/>
      <c r="Y37" s="2779"/>
      <c r="AA37" s="271"/>
      <c r="AB37" s="271"/>
      <c r="AC37" s="271"/>
    </row>
    <row r="38" spans="1:29" s="272" customFormat="1" ht="16.5" customHeight="1">
      <c r="A38" s="2780" t="s">
        <v>1457</v>
      </c>
      <c r="B38" s="2780"/>
      <c r="C38" s="2780"/>
      <c r="D38" s="2780"/>
      <c r="E38" s="2780"/>
      <c r="F38" s="2780"/>
      <c r="G38" s="2780"/>
      <c r="H38" s="346"/>
      <c r="I38" s="681"/>
      <c r="J38" s="681"/>
      <c r="K38" s="681"/>
      <c r="L38" s="681"/>
      <c r="M38" s="596"/>
      <c r="N38" s="596"/>
      <c r="O38" s="596"/>
      <c r="P38" s="596"/>
      <c r="Q38" s="596"/>
      <c r="R38" s="596"/>
      <c r="S38" s="596"/>
      <c r="T38" s="596"/>
      <c r="U38" s="596"/>
      <c r="V38" s="596"/>
      <c r="W38" s="596"/>
      <c r="X38" s="596"/>
      <c r="Y38" s="2781"/>
      <c r="AA38" s="271"/>
      <c r="AB38" s="271"/>
      <c r="AC38" s="271"/>
    </row>
    <row r="39" spans="1:29" s="272" customFormat="1" ht="12.75" customHeight="1">
      <c r="A39" s="2780" t="s">
        <v>1458</v>
      </c>
      <c r="B39" s="2780"/>
      <c r="C39" s="2780"/>
      <c r="D39" s="2780"/>
      <c r="E39" s="2780"/>
      <c r="F39" s="2780"/>
      <c r="G39" s="2780"/>
      <c r="H39" s="346"/>
      <c r="I39" s="681"/>
      <c r="J39" s="681"/>
      <c r="K39" s="681"/>
      <c r="L39" s="681"/>
      <c r="M39" s="2486"/>
      <c r="N39" s="2781"/>
      <c r="O39" s="2781"/>
      <c r="P39" s="2781"/>
      <c r="Q39" s="2781"/>
      <c r="R39" s="2781"/>
      <c r="S39" s="2781"/>
      <c r="T39" s="2781"/>
      <c r="U39" s="450"/>
      <c r="V39" s="450"/>
      <c r="W39" s="450"/>
      <c r="X39" s="532"/>
      <c r="Y39" s="532"/>
      <c r="AA39" s="271"/>
      <c r="AB39" s="271"/>
      <c r="AC39" s="271"/>
    </row>
    <row r="40" spans="1:29" s="272" customFormat="1" ht="15.75" customHeight="1">
      <c r="A40" s="2780"/>
      <c r="B40" s="2780"/>
      <c r="C40" s="2780"/>
      <c r="D40" s="2780"/>
      <c r="E40" s="2780"/>
      <c r="F40" s="2780"/>
      <c r="G40" s="2780"/>
      <c r="H40" s="346"/>
      <c r="I40" s="681"/>
      <c r="J40" s="681"/>
      <c r="K40" s="681"/>
      <c r="L40" s="681"/>
      <c r="M40" s="681"/>
      <c r="N40" s="681"/>
      <c r="O40" s="681"/>
      <c r="P40" s="681"/>
      <c r="Q40" s="450"/>
      <c r="R40" s="450"/>
      <c r="S40" s="450"/>
      <c r="T40" s="450"/>
      <c r="U40" s="450"/>
      <c r="V40" s="450"/>
      <c r="W40" s="450"/>
      <c r="X40" s="532"/>
      <c r="Y40" s="532"/>
      <c r="AA40" s="271"/>
      <c r="AB40" s="271"/>
      <c r="AC40" s="271"/>
    </row>
    <row r="41" spans="1:29" s="272" customFormat="1" ht="12" customHeight="1">
      <c r="A41" s="2780"/>
      <c r="B41" s="2780"/>
      <c r="C41" s="2780"/>
      <c r="D41" s="2780"/>
      <c r="E41" s="2780"/>
      <c r="F41" s="2780"/>
      <c r="G41" s="2780"/>
      <c r="H41" s="346"/>
      <c r="I41" s="681"/>
      <c r="J41" s="681"/>
      <c r="K41" s="681"/>
      <c r="L41" s="681"/>
      <c r="M41" s="681"/>
      <c r="N41" s="681"/>
      <c r="O41" s="681"/>
      <c r="P41" s="681"/>
      <c r="Q41" s="532"/>
      <c r="R41" s="532"/>
      <c r="S41" s="532"/>
      <c r="T41" s="532"/>
      <c r="U41" s="532"/>
      <c r="V41" s="532"/>
      <c r="W41" s="532"/>
      <c r="X41" s="532"/>
      <c r="Y41" s="532"/>
      <c r="AA41" s="271"/>
      <c r="AB41" s="271"/>
      <c r="AC41" s="271"/>
    </row>
    <row r="42" spans="1:29" s="272" customFormat="1" ht="14.1" customHeight="1">
      <c r="A42" s="271"/>
    </row>
    <row r="43" spans="1:29" s="272" customFormat="1" ht="15" hidden="1" customHeight="1">
      <c r="A43" s="271"/>
    </row>
    <row r="44" spans="1:29" s="272" customFormat="1">
      <c r="A44" s="271"/>
    </row>
    <row r="45" spans="1:29" s="272" customFormat="1" ht="17.25" customHeight="1">
      <c r="A45" s="271"/>
    </row>
    <row r="46" spans="1:29" s="287" customFormat="1" ht="14.25" customHeight="1">
      <c r="A46" s="271"/>
    </row>
    <row r="48" spans="1:29" ht="14.25" customHeight="1"/>
    <row r="49" ht="21.75" customHeight="1"/>
    <row r="50" s="287" customFormat="1" ht="20.100000000000001" customHeight="1"/>
    <row r="51" s="287" customFormat="1" ht="20.100000000000001" customHeight="1"/>
    <row r="52" s="287" customFormat="1" ht="20.100000000000001" customHeight="1"/>
    <row r="53" s="287" customFormat="1" ht="20.100000000000001" customHeight="1"/>
    <row r="54" s="287" customFormat="1" ht="20.100000000000001" customHeight="1"/>
    <row r="55" s="287" customFormat="1" ht="20.100000000000001" customHeight="1"/>
    <row r="56" s="287" customFormat="1" ht="20.100000000000001" customHeight="1"/>
    <row r="57" s="287" customFormat="1" ht="20.100000000000001" customHeight="1"/>
    <row r="58" s="287" customFormat="1" ht="20.100000000000001" customHeight="1"/>
    <row r="59" s="287" customFormat="1" ht="20.100000000000001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s="1382" customFormat="1" ht="21.75" customHeight="1"/>
    <row r="74" ht="20.100000000000001" customHeight="1"/>
    <row r="75" ht="20.100000000000001" customHeight="1"/>
    <row r="76" ht="20.100000000000001" customHeight="1"/>
    <row r="77" ht="18.75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18.75" customHeight="1"/>
    <row r="86" ht="20.100000000000001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s="2597" customFormat="1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317" ht="18" customHeight="1"/>
    <row r="318" ht="18" customHeight="1"/>
    <row r="323" spans="1:1">
      <c r="A323" s="613"/>
    </row>
    <row r="324" spans="1:1">
      <c r="A324" s="613"/>
    </row>
    <row r="325" spans="1:1">
      <c r="A325" s="272"/>
    </row>
    <row r="326" spans="1:1">
      <c r="A326" s="272"/>
    </row>
    <row r="327" spans="1:1">
      <c r="A327" s="272"/>
    </row>
    <row r="328" spans="1:1">
      <c r="A328" s="272"/>
    </row>
    <row r="329" spans="1:1">
      <c r="A329" s="272"/>
    </row>
    <row r="330" spans="1:1">
      <c r="A330" s="272"/>
    </row>
    <row r="331" spans="1:1" s="613" customFormat="1" ht="18" customHeight="1">
      <c r="A331" s="272"/>
    </row>
    <row r="332" spans="1:1" s="613" customFormat="1" ht="18" customHeight="1">
      <c r="A332" s="272"/>
    </row>
    <row r="333" spans="1:1" s="272" customFormat="1" ht="13.5"/>
    <row r="334" spans="1:1" s="272" customFormat="1" ht="13.5"/>
    <row r="335" spans="1:1" s="272" customFormat="1" ht="13.5"/>
    <row r="336" spans="1:1" s="272" customFormat="1" ht="13.5"/>
    <row r="337" spans="1:1" s="272" customFormat="1">
      <c r="A337" s="271"/>
    </row>
    <row r="338" spans="1:1" s="272" customFormat="1">
      <c r="A338" s="271"/>
    </row>
    <row r="339" spans="1:1" s="272" customFormat="1">
      <c r="A339" s="271"/>
    </row>
    <row r="340" spans="1:1" s="272" customFormat="1">
      <c r="A340" s="271"/>
    </row>
    <row r="341" spans="1:1" s="272" customFormat="1">
      <c r="A341" s="271"/>
    </row>
    <row r="342" spans="1:1" s="272" customFormat="1">
      <c r="A342" s="271"/>
    </row>
    <row r="343" spans="1:1" s="272" customFormat="1">
      <c r="A343" s="271"/>
    </row>
    <row r="344" spans="1:1" s="272" customFormat="1">
      <c r="A344" s="271"/>
    </row>
  </sheetData>
  <mergeCells count="8">
    <mergeCell ref="A40:G40"/>
    <mergeCell ref="A41:G41"/>
    <mergeCell ref="A4:A5"/>
    <mergeCell ref="N4:U4"/>
    <mergeCell ref="W4:W5"/>
    <mergeCell ref="X4:Y4"/>
    <mergeCell ref="A38:G38"/>
    <mergeCell ref="A39:G39"/>
  </mergeCells>
  <phoneticPr fontId="2" type="noConversion"/>
  <printOptions horizontalCentered="1"/>
  <pageMargins left="1.0629921259842521" right="1.0629921259842521" top="1.1811023622047245" bottom="0.78740157480314965" header="0" footer="0"/>
  <pageSetup paperSize="9" scale="83" firstPageNumber="80" orientation="portrait" useFirstPageNumber="1" r:id="rId1"/>
  <headerFooter differentOddEven="1" scaleWithDoc="0" alignWithMargins="0"/>
  <colBreaks count="1" manualBreakCount="1">
    <brk id="12" max="36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685A-78BE-4126-B3BD-9C37562DA036}">
  <sheetPr>
    <tabColor rgb="FF00B0F0"/>
  </sheetPr>
  <dimension ref="B4"/>
  <sheetViews>
    <sheetView view="pageBreakPreview" zoomScaleNormal="100" zoomScaleSheetLayoutView="100" workbookViewId="0"/>
  </sheetViews>
  <sheetFormatPr defaultColWidth="10" defaultRowHeight="16.5"/>
  <cols>
    <col min="1" max="16384" width="10" style="431"/>
  </cols>
  <sheetData>
    <row r="4" spans="2:2" ht="33.75">
      <c r="B4" s="2782" t="s">
        <v>3</v>
      </c>
    </row>
  </sheetData>
  <phoneticPr fontId="2" type="noConversion"/>
  <printOptions horizontalCentered="1"/>
  <pageMargins left="1.0629921259842521" right="1.0629921259842521" top="1.3779527559055118" bottom="1.5748031496062993" header="0.51181102362204722" footer="1.4173228346456694"/>
  <pageSetup paperSize="9" scale="90" firstPageNumber="38" orientation="portrait" useFirstPageNumber="1" r:id="rId1"/>
  <headerFooter differentOddEven="1"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59</vt:i4>
      </vt:variant>
      <vt:variant>
        <vt:lpstr>이름 지정된 범위</vt:lpstr>
      </vt:variant>
      <vt:variant>
        <vt:i4>51</vt:i4>
      </vt:variant>
    </vt:vector>
  </HeadingPairs>
  <TitlesOfParts>
    <vt:vector size="110" baseType="lpstr">
      <vt:lpstr>Ⅰ.통계도표(1P)</vt:lpstr>
      <vt:lpstr>공란 2페이지</vt:lpstr>
      <vt:lpstr>1-1 발전설비추이(발전원별)_3P</vt:lpstr>
      <vt:lpstr>1-2 발전설비추이(에너지원별)</vt:lpstr>
      <vt:lpstr>1-3 발전전력량 추이(발전원별)</vt:lpstr>
      <vt:lpstr>1-4 발전전력량 추이(에너지원별)</vt:lpstr>
      <vt:lpstr>1-5 판매전력량 추이(계약종별)</vt:lpstr>
      <vt:lpstr>1-6 판매전력량 추이(용도별)</vt:lpstr>
      <vt:lpstr>1-7 전력수급추이</vt:lpstr>
      <vt:lpstr>1-8 월간실적요약</vt:lpstr>
      <vt:lpstr>Ⅱ.발전설비 용량(11p)</vt:lpstr>
      <vt:lpstr>2. 발전설비용량(발전원별) </vt:lpstr>
      <vt:lpstr>2-1. 발전설비용량(발전원별에너지원별)</vt:lpstr>
      <vt:lpstr>2-2. 발전설비용량(발전소별)</vt:lpstr>
      <vt:lpstr>3. 발전설비용량(발전회사별발전원별)</vt:lpstr>
      <vt:lpstr>3-1. 발전설비용량(한전 및 발전자회사 상세)</vt:lpstr>
      <vt:lpstr>4. 발전설비용량(에너지원별) </vt:lpstr>
      <vt:lpstr>5. 발전설비현황(행정구역별) </vt:lpstr>
      <vt:lpstr>6. 발전소 건설현황</vt:lpstr>
      <vt:lpstr>Ⅲ.발전전력량(27p)</vt:lpstr>
      <vt:lpstr>7. 발전전력량(발전원별)</vt:lpstr>
      <vt:lpstr>7-1. 발전전력량(발전원별에너지원별)</vt:lpstr>
      <vt:lpstr>7-2. 발전전력량(발전소별)</vt:lpstr>
      <vt:lpstr>8. 발전전력량(발전회사별발전원별)</vt:lpstr>
      <vt:lpstr>9. 발전전력량(에너지원별)</vt:lpstr>
      <vt:lpstr>9-1. 신재생발전설비발전량(행정구역)</vt:lpstr>
      <vt:lpstr>10. 발전전력량(행정구역)</vt:lpstr>
      <vt:lpstr>10-1. 발전전력량(행정구역_누계)</vt:lpstr>
      <vt:lpstr>11. 연료사용량(발전원(소)별에너지원별)</vt:lpstr>
      <vt:lpstr>11-1. 연료사용량(에너지원별)</vt:lpstr>
      <vt:lpstr>Ⅳ.전력구입량(47p)</vt:lpstr>
      <vt:lpstr>12.전력거래실적 종합</vt:lpstr>
      <vt:lpstr>13.전력거래실적(발전원별)</vt:lpstr>
      <vt:lpstr>14. 전력거래실적(발전회사별)</vt:lpstr>
      <vt:lpstr>15.전력거래실적 (가격&amp;단가)</vt:lpstr>
      <vt:lpstr>16.전력거래실적(PPA)</vt:lpstr>
      <vt:lpstr>16-1.태양광 발전량 추계정보</vt:lpstr>
      <vt:lpstr>공란 페이지(58p)</vt:lpstr>
      <vt:lpstr>Ⅳ.전력판매량(59p)</vt:lpstr>
      <vt:lpstr>17.전력판매실적 종합</vt:lpstr>
      <vt:lpstr>18.계약종별 판매전력량</vt:lpstr>
      <vt:lpstr>18-1.계약종별 수용호수</vt:lpstr>
      <vt:lpstr>18-2.계약종별 판매수입</vt:lpstr>
      <vt:lpstr>19.용도별 판매전력량</vt:lpstr>
      <vt:lpstr>19-1.용도별 수용호수</vt:lpstr>
      <vt:lpstr>19-2.용도별 판매수입</vt:lpstr>
      <vt:lpstr>20.행정구역별 판매전력량</vt:lpstr>
      <vt:lpstr>20-1.행정구역별 수용호수</vt:lpstr>
      <vt:lpstr>20-2.행정구역별 판매수입</vt:lpstr>
      <vt:lpstr>20-3.행정구역별 계약종별 판매전력량</vt:lpstr>
      <vt:lpstr>21.산업분류별 판매전력량</vt:lpstr>
      <vt:lpstr>21-1.산업분류별 행정구역별 판매전력량</vt:lpstr>
      <vt:lpstr>21-2.산업분류별 행정구역별 판매전력량(누계)</vt:lpstr>
      <vt:lpstr>공란 페이지(88p)</vt:lpstr>
      <vt:lpstr>Ⅵ.기타(89p)</vt:lpstr>
      <vt:lpstr>22.전력수급실적(월별)</vt:lpstr>
      <vt:lpstr>22-1.전력수급실적(일별)</vt:lpstr>
      <vt:lpstr>23.인원(회사별)  </vt:lpstr>
      <vt:lpstr>공란 페이지(94p)</vt:lpstr>
      <vt:lpstr>'10. 발전전력량(행정구역)'!Print_Area</vt:lpstr>
      <vt:lpstr>'10-1. 발전전력량(행정구역_누계)'!Print_Area</vt:lpstr>
      <vt:lpstr>'1-1 발전설비추이(발전원별)_3P'!Print_Area</vt:lpstr>
      <vt:lpstr>'11. 연료사용량(발전원(소)별에너지원별)'!Print_Area</vt:lpstr>
      <vt:lpstr>'11-1. 연료사용량(에너지원별)'!Print_Area</vt:lpstr>
      <vt:lpstr>'1-2 발전설비추이(에너지원별)'!Print_Area</vt:lpstr>
      <vt:lpstr>'12.전력거래실적 종합'!Print_Area</vt:lpstr>
      <vt:lpstr>'1-3 발전전력량 추이(발전원별)'!Print_Area</vt:lpstr>
      <vt:lpstr>'13.전력거래실적(발전원별)'!Print_Area</vt:lpstr>
      <vt:lpstr>'1-4 발전전력량 추이(에너지원별)'!Print_Area</vt:lpstr>
      <vt:lpstr>'14. 전력거래실적(발전회사별)'!Print_Area</vt:lpstr>
      <vt:lpstr>'1-5 판매전력량 추이(계약종별)'!Print_Area</vt:lpstr>
      <vt:lpstr>'15.전력거래실적 (가격&amp;단가)'!Print_Area</vt:lpstr>
      <vt:lpstr>'1-6 판매전력량 추이(용도별)'!Print_Area</vt:lpstr>
      <vt:lpstr>'16.전력거래실적(PPA)'!Print_Area</vt:lpstr>
      <vt:lpstr>'16-1.태양광 발전량 추계정보'!Print_Area</vt:lpstr>
      <vt:lpstr>'1-7 전력수급추이'!Print_Area</vt:lpstr>
      <vt:lpstr>'17.전력판매실적 종합'!Print_Area</vt:lpstr>
      <vt:lpstr>'1-8 월간실적요약'!Print_Area</vt:lpstr>
      <vt:lpstr>'18.계약종별 판매전력량'!Print_Area</vt:lpstr>
      <vt:lpstr>'18-1.계약종별 수용호수'!Print_Area</vt:lpstr>
      <vt:lpstr>'18-2.계약종별 판매수입'!Print_Area</vt:lpstr>
      <vt:lpstr>'19.용도별 판매전력량'!Print_Area</vt:lpstr>
      <vt:lpstr>'19-1.용도별 수용호수'!Print_Area</vt:lpstr>
      <vt:lpstr>'19-2.용도별 판매수입'!Print_Area</vt:lpstr>
      <vt:lpstr>'2. 발전설비용량(발전원별) '!Print_Area</vt:lpstr>
      <vt:lpstr>'20.행정구역별 판매전력량'!Print_Area</vt:lpstr>
      <vt:lpstr>'20-1.행정구역별 수용호수'!Print_Area</vt:lpstr>
      <vt:lpstr>'20-2.행정구역별 판매수입'!Print_Area</vt:lpstr>
      <vt:lpstr>'20-3.행정구역별 계약종별 판매전력량'!Print_Area</vt:lpstr>
      <vt:lpstr>'2-1. 발전설비용량(발전원별에너지원별)'!Print_Area</vt:lpstr>
      <vt:lpstr>'21.산업분류별 판매전력량'!Print_Area</vt:lpstr>
      <vt:lpstr>'21-1.산업분류별 행정구역별 판매전력량'!Print_Area</vt:lpstr>
      <vt:lpstr>'21-2.산업분류별 행정구역별 판매전력량(누계)'!Print_Area</vt:lpstr>
      <vt:lpstr>'2-2. 발전설비용량(발전소별)'!Print_Area</vt:lpstr>
      <vt:lpstr>'22.전력수급실적(월별)'!Print_Area</vt:lpstr>
      <vt:lpstr>'22-1.전력수급실적(일별)'!Print_Area</vt:lpstr>
      <vt:lpstr>'23.인원(회사별)  '!Print_Area</vt:lpstr>
      <vt:lpstr>'3. 발전설비용량(발전회사별발전원별)'!Print_Area</vt:lpstr>
      <vt:lpstr>'3-1. 발전설비용량(한전 및 발전자회사 상세)'!Print_Area</vt:lpstr>
      <vt:lpstr>'5. 발전설비현황(행정구역별) '!Print_Area</vt:lpstr>
      <vt:lpstr>'6. 발전소 건설현황'!Print_Area</vt:lpstr>
      <vt:lpstr>'7. 발전전력량(발전원별)'!Print_Area</vt:lpstr>
      <vt:lpstr>'7-1. 발전전력량(발전원별에너지원별)'!Print_Area</vt:lpstr>
      <vt:lpstr>'7-2. 발전전력량(발전소별)'!Print_Area</vt:lpstr>
      <vt:lpstr>'8. 발전전력량(발전회사별발전원별)'!Print_Area</vt:lpstr>
      <vt:lpstr>'9. 발전전력량(에너지원별)'!Print_Area</vt:lpstr>
      <vt:lpstr>'9-1. 신재생발전설비발전량(행정구역)'!Print_Area</vt:lpstr>
      <vt:lpstr>'Ⅰ.통계도표(1P)'!Print_Area</vt:lpstr>
      <vt:lpstr>'Ⅳ.전력구입량(47p)'!Print_Area</vt:lpstr>
      <vt:lpstr>'공란 2페이지'!Print_Area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Administrator</cp:lastModifiedBy>
  <cp:lastPrinted>2026-06-15T04:56:42Z</cp:lastPrinted>
  <dcterms:created xsi:type="dcterms:W3CDTF">2022-04-07T00:56:46Z</dcterms:created>
  <dcterms:modified xsi:type="dcterms:W3CDTF">2026-06-15T05:17:59Z</dcterms:modified>
</cp:coreProperties>
</file>