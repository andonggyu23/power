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3F68F06-5BF2-4100-93D8-DB473BAA4E83}" xr6:coauthVersionLast="36" xr6:coauthVersionMax="36" xr10:uidLastSave="{00000000-0000-0000-0000-000000000000}"/>
  <bookViews>
    <workbookView xWindow="-28920" yWindow="-60" windowWidth="29040" windowHeight="15840" tabRatio="958" xr2:uid="{00000000-000D-0000-FFFF-FFFF00000000}"/>
  </bookViews>
  <sheets>
    <sheet name="Ⅰ-1-가.발전회사별 " sheetId="11" r:id="rId1"/>
    <sheet name="Ⅰ-1-나.회원사별" sheetId="25" r:id="rId2"/>
    <sheet name="Ⅰ-1-다.급전방식별" sheetId="2" r:id="rId3"/>
    <sheet name="Ⅰ-2-가.발전설비용량 및 대수" sheetId="6" r:id="rId4"/>
    <sheet name="Ⅰ-2-다. 발전기별" sheetId="5" r:id="rId5"/>
    <sheet name="Ⅰ-2-라.지역별" sheetId="23" r:id="rId6"/>
    <sheet name="Ⅱ-1.설비형식별 발전설비구성" sheetId="14" r:id="rId7"/>
    <sheet name="Ⅱ-2.연료원별 발전설비구성" sheetId="19" r:id="rId8"/>
    <sheet name="Ⅱ-3-(1).사업자별 발전설비구성" sheetId="12" r:id="rId9"/>
    <sheet name="Ⅱ-3-(2).발전원별 점유율" sheetId="9" r:id="rId10"/>
    <sheet name="Ⅲ-2.발전원별 증감추이" sheetId="10" r:id="rId11"/>
    <sheet name="Ⅲ-3-가.양수및수력 증감추이" sheetId="15" r:id="rId12"/>
    <sheet name="Ⅲ-3-나.기력 증감추이" sheetId="3" r:id="rId13"/>
    <sheet name="Ⅲ-3-다.내연력및복합화력 증감추이" sheetId="4" r:id="rId14"/>
    <sheet name="Ⅲ-3-라.원자력 증감추이" sheetId="21" r:id="rId15"/>
    <sheet name="Ⅵ-1.발전실적 종합" sheetId="8" r:id="rId16"/>
    <sheet name="Ⅵ-2.설비별 발전량" sheetId="13" r:id="rId17"/>
    <sheet name="Ⅵ-3.에너지원별 발전량" sheetId="16" r:id="rId18"/>
    <sheet name="Ⅵ-4.연료사용량" sheetId="18" r:id="rId19"/>
    <sheet name="Ⅵ-5.열효율" sheetId="20" r:id="rId20"/>
    <sheet name="Ⅵ-6.이용률" sheetId="22" r:id="rId21"/>
    <sheet name="Ⅵ-7.발전소내 소비전력률" sheetId="7" r:id="rId22"/>
    <sheet name="Ⅶ-1.연도별 전력수급실적" sheetId="17" r:id="rId23"/>
    <sheet name="Ⅶ-2.최대전력 발생일시" sheetId="24" r:id="rId24"/>
  </sheets>
  <definedNames>
    <definedName name="array1">#REF!</definedName>
    <definedName name="가">#REF!</definedName>
    <definedName name="가격">#REF!</definedName>
    <definedName name="개수">#REF!</definedName>
    <definedName name="점수">#REF!</definedName>
  </definedNames>
  <calcPr calcId="191029"/>
</workbook>
</file>

<file path=xl/calcChain.xml><?xml version="1.0" encoding="utf-8"?>
<calcChain xmlns="http://schemas.openxmlformats.org/spreadsheetml/2006/main">
  <c r="C5" i="6" l="1"/>
  <c r="C3" i="19" l="1"/>
  <c r="C4" i="14" l="1"/>
  <c r="C5" i="13" l="1"/>
  <c r="D17" i="12" l="1"/>
  <c r="C17" i="12"/>
  <c r="D16" i="12"/>
  <c r="C16" i="12"/>
  <c r="D15" i="12"/>
  <c r="C15" i="12"/>
  <c r="D14" i="12"/>
  <c r="C14" i="12"/>
  <c r="D13" i="12"/>
  <c r="C13" i="12"/>
  <c r="D12" i="12"/>
  <c r="C12" i="12"/>
  <c r="D11" i="12"/>
  <c r="C11" i="12"/>
  <c r="D9" i="12"/>
  <c r="C9" i="12"/>
  <c r="D8" i="12"/>
  <c r="C8" i="12"/>
  <c r="D7" i="12"/>
  <c r="C7" i="12"/>
  <c r="D6" i="12"/>
  <c r="C6" i="12"/>
  <c r="H5" i="12"/>
  <c r="G5" i="12"/>
  <c r="F5" i="12"/>
  <c r="E5" i="12"/>
  <c r="D5" i="12"/>
  <c r="C5" i="12"/>
  <c r="V25" i="11" l="1"/>
  <c r="P25" i="11"/>
  <c r="J25" i="11"/>
  <c r="V24" i="11"/>
  <c r="E24" i="11"/>
  <c r="V23" i="11"/>
  <c r="E23" i="11"/>
  <c r="V22" i="11"/>
  <c r="V21" i="11"/>
  <c r="P21" i="11"/>
  <c r="V20" i="11"/>
  <c r="J20" i="11"/>
  <c r="V19" i="11"/>
  <c r="J19" i="11"/>
  <c r="V18" i="11"/>
  <c r="J18" i="11"/>
  <c r="V17" i="11"/>
  <c r="J17" i="11"/>
  <c r="V16" i="11"/>
  <c r="E16" i="11"/>
  <c r="V15" i="11"/>
  <c r="P15" i="11"/>
  <c r="V14" i="11"/>
  <c r="J14" i="11"/>
  <c r="V13" i="11"/>
  <c r="J13" i="11"/>
  <c r="V12" i="11"/>
  <c r="J12" i="11"/>
  <c r="E12" i="11"/>
  <c r="V11" i="11"/>
  <c r="J11" i="11"/>
  <c r="E11" i="11"/>
  <c r="V10" i="11"/>
  <c r="P10" i="11"/>
  <c r="J10" i="11"/>
  <c r="E10" i="11"/>
  <c r="V9" i="11"/>
  <c r="P9" i="11"/>
  <c r="P5" i="11" s="1"/>
  <c r="P4" i="11" s="1"/>
  <c r="M9" i="11"/>
  <c r="J9" i="11"/>
  <c r="E9" i="11"/>
  <c r="E5" i="11" s="1"/>
  <c r="E4" i="11" s="1"/>
  <c r="V8" i="11"/>
  <c r="J8" i="11"/>
  <c r="J5" i="11" s="1"/>
  <c r="J4" i="11" s="1"/>
  <c r="E8" i="11"/>
  <c r="V7" i="11"/>
  <c r="V6" i="11"/>
  <c r="V5" i="11" s="1"/>
  <c r="V4" i="11" s="1"/>
  <c r="M6" i="11"/>
  <c r="M5" i="11" s="1"/>
  <c r="M4" i="11" s="1"/>
  <c r="AA5" i="11"/>
  <c r="AA4" i="11" s="1"/>
  <c r="Z5" i="11"/>
  <c r="Y5" i="11"/>
  <c r="X5" i="11"/>
  <c r="W5" i="11"/>
  <c r="U5" i="11"/>
  <c r="U4" i="11" s="1"/>
  <c r="T5" i="11"/>
  <c r="T4" i="11" s="1"/>
  <c r="S5" i="11"/>
  <c r="S4" i="11" s="1"/>
  <c r="R5" i="11"/>
  <c r="R4" i="11" s="1"/>
  <c r="Q5" i="11"/>
  <c r="Q4" i="11" s="1"/>
  <c r="O5" i="11"/>
  <c r="O4" i="11" s="1"/>
  <c r="N5" i="11"/>
  <c r="N4" i="11" s="1"/>
  <c r="L5" i="11"/>
  <c r="L4" i="11" s="1"/>
  <c r="K5" i="11"/>
  <c r="K4" i="11" s="1"/>
  <c r="I5" i="11"/>
  <c r="I4" i="11" s="1"/>
  <c r="G5" i="11"/>
  <c r="G4" i="11" s="1"/>
  <c r="F5" i="11"/>
  <c r="D5" i="11"/>
  <c r="D4" i="11" s="1"/>
  <c r="Z4" i="11"/>
  <c r="Y4" i="11"/>
  <c r="X4" i="11"/>
  <c r="W4" i="11"/>
  <c r="F4" i="11"/>
  <c r="AO32" i="6" l="1"/>
  <c r="D32" i="6"/>
  <c r="C32" i="6"/>
  <c r="D31" i="6"/>
  <c r="C31" i="6"/>
  <c r="D30" i="6"/>
  <c r="C30" i="6"/>
  <c r="D29" i="6"/>
  <c r="C29" i="6"/>
  <c r="D28" i="6"/>
  <c r="C28" i="6"/>
  <c r="D27" i="6"/>
  <c r="C27" i="6"/>
  <c r="AO26" i="6"/>
  <c r="AO5" i="6" s="1"/>
  <c r="D26" i="6"/>
  <c r="C26" i="6"/>
  <c r="D25" i="6"/>
  <c r="C25" i="6"/>
  <c r="D24" i="6"/>
  <c r="C24" i="6"/>
  <c r="D23" i="6"/>
  <c r="C23" i="6"/>
  <c r="D22" i="6"/>
  <c r="C22" i="6"/>
  <c r="D21" i="6"/>
  <c r="C21" i="6"/>
  <c r="D20" i="6"/>
  <c r="C20" i="6"/>
  <c r="D19" i="6"/>
  <c r="C19" i="6"/>
  <c r="D18" i="6"/>
  <c r="C18" i="6"/>
  <c r="D17" i="6"/>
  <c r="C17" i="6"/>
  <c r="D16" i="6"/>
  <c r="C16" i="6"/>
  <c r="D15" i="6"/>
  <c r="C15" i="6"/>
  <c r="D14" i="6"/>
  <c r="C14" i="6"/>
  <c r="D13" i="6"/>
  <c r="C13" i="6"/>
  <c r="D12" i="6"/>
  <c r="C12" i="6"/>
  <c r="D11" i="6"/>
  <c r="C11" i="6"/>
  <c r="D10" i="6"/>
  <c r="C10" i="6"/>
  <c r="D9" i="6"/>
  <c r="C9" i="6"/>
  <c r="D8" i="6"/>
  <c r="C8" i="6"/>
  <c r="D7" i="6"/>
  <c r="C7" i="6"/>
  <c r="AJ6" i="6"/>
  <c r="AI6" i="6"/>
  <c r="D6" i="6"/>
  <c r="C6" i="6"/>
  <c r="AJ5" i="6"/>
  <c r="AI5" i="6"/>
  <c r="I5" i="6"/>
  <c r="D5" i="6"/>
  <c r="C25" i="2" l="1"/>
  <c r="E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3" authorId="0" shapeId="0" xr:uid="{C950925F-8876-4D82-A841-A2CA4D9FF0F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바뀐거</t>
        </r>
        <r>
          <rPr>
            <sz val="9"/>
            <color indexed="81"/>
            <rFont val="Tahoma"/>
            <family val="2"/>
          </rPr>
          <t xml:space="preserve">x
</t>
        </r>
      </text>
    </comment>
    <comment ref="C15" authorId="0" shapeId="0" xr:uid="{4E47114E-0AC2-4C1F-82E0-90882ECFF1D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b/>
            <sz val="9"/>
            <color indexed="81"/>
            <rFont val="돋움"/>
            <family val="3"/>
            <charset val="129"/>
          </rPr>
          <t>바뀐거</t>
        </r>
        <r>
          <rPr>
            <b/>
            <sz val="9"/>
            <color indexed="81"/>
            <rFont val="Tahoma"/>
            <family val="2"/>
          </rPr>
          <t xml:space="preserve"> x
</t>
        </r>
      </text>
    </comment>
    <comment ref="C16" authorId="0" shapeId="0" xr:uid="{147FB729-24F7-495F-8D68-9EF0FE5E772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7" authorId="0" shapeId="0" xr:uid="{57BB536E-CAC8-460B-B115-4F1DE881D8F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8" authorId="0" shapeId="0" xr:uid="{5028642B-419B-47B6-A33B-C72FABFA888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9" authorId="0" shapeId="0" xr:uid="{75C33346-2985-4673-B119-5AA88BF8CE0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 xr:uid="{666C81D2-34C5-4A77-B345-37A8A82BBB0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<sst xmlns="http://schemas.openxmlformats.org/spreadsheetml/2006/main" count="2276" uniqueCount="783">
  <si>
    <t/>
  </si>
  <si>
    <t>시점</t>
  </si>
  <si>
    <t>2022</t>
  </si>
  <si>
    <t>설비형식별</t>
  </si>
  <si>
    <t>합계</t>
  </si>
  <si>
    <t>원자력</t>
  </si>
  <si>
    <t>기력</t>
  </si>
  <si>
    <t>▶유연탄</t>
  </si>
  <si>
    <t>▶무연탄</t>
  </si>
  <si>
    <t>▶중유</t>
  </si>
  <si>
    <t>▶LNG</t>
  </si>
  <si>
    <t>복합화력</t>
  </si>
  <si>
    <t>▶경유</t>
  </si>
  <si>
    <t>내연력</t>
  </si>
  <si>
    <t>집단에너지</t>
  </si>
  <si>
    <t>▶유류</t>
  </si>
  <si>
    <t>▶기타</t>
  </si>
  <si>
    <t>양수</t>
  </si>
  <si>
    <t>신재생</t>
  </si>
  <si>
    <t>▶수력</t>
  </si>
  <si>
    <t>▶태양광</t>
  </si>
  <si>
    <t>▶풍력</t>
  </si>
  <si>
    <t>기타</t>
  </si>
  <si>
    <t>급전방식별</t>
  </si>
  <si>
    <t>중앙급전발전기</t>
  </si>
  <si>
    <t>한수원㈜</t>
  </si>
  <si>
    <t>남동발전㈜</t>
    <phoneticPr fontId="7" type="noConversion"/>
  </si>
  <si>
    <t>중부발전㈜</t>
  </si>
  <si>
    <t>서부발전㈜</t>
  </si>
  <si>
    <t>남부발전㈜</t>
  </si>
  <si>
    <t>동서발전㈜</t>
  </si>
  <si>
    <t>포스코에너지㈜</t>
  </si>
  <si>
    <t>GS EPS㈜</t>
  </si>
  <si>
    <t>지역난방공사</t>
  </si>
  <si>
    <t>고성그린파워㈜</t>
  </si>
  <si>
    <t>씨지앤</t>
  </si>
  <si>
    <t>동두천드림파워㈜</t>
  </si>
  <si>
    <t>파주에너지서비스</t>
  </si>
  <si>
    <t>포천파워㈜</t>
  </si>
  <si>
    <t>GS 파워㈜</t>
  </si>
  <si>
    <t>수자원공사</t>
  </si>
  <si>
    <t>㈜GS동해전력</t>
  </si>
  <si>
    <t>강릉에코파워(주)</t>
  </si>
  <si>
    <t>비중앙급전발전기</t>
  </si>
  <si>
    <t>한국전력㈜</t>
  </si>
  <si>
    <t>남동발전㈜</t>
  </si>
  <si>
    <t>발전소별</t>
  </si>
  <si>
    <t>서울</t>
  </si>
  <si>
    <t>인천</t>
  </si>
  <si>
    <t>영남</t>
  </si>
  <si>
    <t>울산</t>
  </si>
  <si>
    <t>호남</t>
  </si>
  <si>
    <t>영동</t>
  </si>
  <si>
    <t>여수</t>
  </si>
  <si>
    <t>평택</t>
  </si>
  <si>
    <t>남제주</t>
  </si>
  <si>
    <t>서천</t>
  </si>
  <si>
    <t>삼천포</t>
  </si>
  <si>
    <t>보령</t>
  </si>
  <si>
    <t>태안</t>
  </si>
  <si>
    <t>하동</t>
  </si>
  <si>
    <t>동해</t>
  </si>
  <si>
    <t>당진</t>
  </si>
  <si>
    <t>영흥</t>
  </si>
  <si>
    <t>제주1</t>
  </si>
  <si>
    <t>삼척그린파워</t>
  </si>
  <si>
    <t>북평</t>
  </si>
  <si>
    <t>신보령</t>
  </si>
  <si>
    <t>고성</t>
  </si>
  <si>
    <t>신서천</t>
  </si>
  <si>
    <t>강릉안인</t>
  </si>
  <si>
    <t>2021</t>
  </si>
  <si>
    <t>도서</t>
  </si>
  <si>
    <t>제주내연</t>
  </si>
  <si>
    <t>제주GT</t>
  </si>
  <si>
    <t>울릉도</t>
  </si>
  <si>
    <t>조도</t>
  </si>
  <si>
    <t>흑산도</t>
  </si>
  <si>
    <t>추자도</t>
  </si>
  <si>
    <t>거문도</t>
  </si>
  <si>
    <t>덕적도</t>
  </si>
  <si>
    <t>위도</t>
  </si>
  <si>
    <t>한림복합</t>
  </si>
  <si>
    <t>백령도</t>
  </si>
  <si>
    <t>대청도</t>
  </si>
  <si>
    <t>소청도</t>
  </si>
  <si>
    <t>연평도</t>
  </si>
  <si>
    <t>자월도</t>
  </si>
  <si>
    <t>홍도</t>
  </si>
  <si>
    <t>비양도</t>
  </si>
  <si>
    <t>덕우도</t>
  </si>
  <si>
    <t>여서도</t>
  </si>
  <si>
    <t>가파도</t>
  </si>
  <si>
    <t>신시도</t>
  </si>
  <si>
    <t>비안도</t>
  </si>
  <si>
    <t>연도</t>
  </si>
  <si>
    <t>어청도</t>
  </si>
  <si>
    <t>장자도</t>
  </si>
  <si>
    <t>개야도</t>
  </si>
  <si>
    <t>외연도</t>
  </si>
  <si>
    <t>삽시도</t>
  </si>
  <si>
    <t>대모도</t>
  </si>
  <si>
    <t>승봉도</t>
  </si>
  <si>
    <t>풍도</t>
  </si>
  <si>
    <t>가의도</t>
  </si>
  <si>
    <t>가거도</t>
  </si>
  <si>
    <t>여자도</t>
  </si>
  <si>
    <t>추도</t>
  </si>
  <si>
    <t>매물도</t>
    <phoneticPr fontId="7" type="noConversion"/>
  </si>
  <si>
    <t>어의도</t>
  </si>
  <si>
    <t>수우도</t>
  </si>
  <si>
    <t>장고도</t>
  </si>
  <si>
    <t>고대도</t>
  </si>
  <si>
    <t>문갑도</t>
  </si>
  <si>
    <t>성남도</t>
  </si>
  <si>
    <t>독거도</t>
  </si>
  <si>
    <t>호도</t>
  </si>
  <si>
    <t>녹도</t>
  </si>
  <si>
    <t>낙월도</t>
  </si>
  <si>
    <t>송이도</t>
  </si>
  <si>
    <t>구자도</t>
  </si>
  <si>
    <t>슬도</t>
  </si>
  <si>
    <t>시산도</t>
  </si>
  <si>
    <t>득량도</t>
  </si>
  <si>
    <t>어룡도</t>
  </si>
  <si>
    <t>상화도</t>
  </si>
  <si>
    <t>손죽도</t>
  </si>
  <si>
    <t>왕등도</t>
  </si>
  <si>
    <t>울도</t>
  </si>
  <si>
    <t>초도</t>
  </si>
  <si>
    <t>평도</t>
  </si>
  <si>
    <t>화도</t>
  </si>
  <si>
    <t>소연평도</t>
  </si>
  <si>
    <t>외도</t>
  </si>
  <si>
    <t>영산도</t>
  </si>
  <si>
    <t>마라도</t>
  </si>
  <si>
    <t>제주복합</t>
  </si>
  <si>
    <t>남제주복합</t>
  </si>
  <si>
    <t>계통</t>
  </si>
  <si>
    <t>울산복합</t>
  </si>
  <si>
    <t>서인천복합</t>
  </si>
  <si>
    <t>신인천복합</t>
  </si>
  <si>
    <t>안양복합</t>
  </si>
  <si>
    <t>분당복합</t>
  </si>
  <si>
    <t>평택복합</t>
  </si>
  <si>
    <t>부천복합</t>
  </si>
  <si>
    <t>일산복합</t>
  </si>
  <si>
    <t>포스코복합</t>
    <phoneticPr fontId="7" type="noConversion"/>
  </si>
  <si>
    <t>보령복합</t>
  </si>
  <si>
    <t>당진복합</t>
  </si>
  <si>
    <t>부산복합</t>
  </si>
  <si>
    <t>율촌복합</t>
  </si>
  <si>
    <t>인천복합</t>
  </si>
  <si>
    <t>광양복합</t>
  </si>
  <si>
    <t>대산복합</t>
  </si>
  <si>
    <t>군산복합</t>
  </si>
  <si>
    <t>영월복합</t>
  </si>
  <si>
    <t>오성복합</t>
  </si>
  <si>
    <t>안동복합</t>
  </si>
  <si>
    <t>포천복합</t>
  </si>
  <si>
    <t>안산복합</t>
  </si>
  <si>
    <t>동두천복합</t>
  </si>
  <si>
    <t>파주문산복합</t>
  </si>
  <si>
    <t>포천천연복합</t>
  </si>
  <si>
    <t>부산정관에너지</t>
  </si>
  <si>
    <t>영남파워</t>
  </si>
  <si>
    <t>서울복합</t>
  </si>
  <si>
    <t>신평택복합</t>
  </si>
  <si>
    <t>여주복합</t>
    <phoneticPr fontId="7" type="noConversion"/>
  </si>
  <si>
    <t>항목</t>
  </si>
  <si>
    <t>단위용량 (kW)</t>
  </si>
  <si>
    <t>대수 (대)</t>
  </si>
  <si>
    <t>용량합계 (kW)</t>
  </si>
  <si>
    <t>발전기별</t>
  </si>
  <si>
    <t>총계</t>
  </si>
  <si>
    <t>본계통</t>
  </si>
  <si>
    <t>유연탄</t>
  </si>
  <si>
    <t>무연탄</t>
  </si>
  <si>
    <t>중유</t>
  </si>
  <si>
    <t>LNG</t>
  </si>
  <si>
    <t>울산발전소(2)</t>
  </si>
  <si>
    <t>평택발전소</t>
  </si>
  <si>
    <t>영동발전소(2)</t>
  </si>
  <si>
    <t>동해발전소</t>
  </si>
  <si>
    <t>호남발전소</t>
  </si>
  <si>
    <t>삼천포발전소(1)</t>
  </si>
  <si>
    <t>삼천포발전소(2)</t>
  </si>
  <si>
    <t>보령발전소(1)</t>
  </si>
  <si>
    <t>보령발전소(2)</t>
  </si>
  <si>
    <t>태안발전소(1)</t>
  </si>
  <si>
    <t>태안발전소(2)</t>
  </si>
  <si>
    <t>태안발전소(3)</t>
  </si>
  <si>
    <t>하동발전소</t>
  </si>
  <si>
    <t>당진발전소(1)</t>
  </si>
  <si>
    <t>당진발전소(2)</t>
  </si>
  <si>
    <t>영흥발전소(1)</t>
  </si>
  <si>
    <t>영흥발전소(2)</t>
  </si>
  <si>
    <t>영흥발전소(3)</t>
  </si>
  <si>
    <t>여수발전소(1)</t>
  </si>
  <si>
    <t>여수발전소(2)</t>
  </si>
  <si>
    <t>삼척그린발전소(1)</t>
  </si>
  <si>
    <t>삼척그린발전소(2)</t>
  </si>
  <si>
    <t>신보령(1)</t>
  </si>
  <si>
    <t>신보령(2)</t>
  </si>
  <si>
    <t>고성(1)</t>
  </si>
  <si>
    <t>신서천(1)</t>
  </si>
  <si>
    <r>
      <rPr>
        <sz val="11"/>
        <rFont val="맑은 고딕"/>
        <family val="3"/>
        <charset val="129"/>
      </rPr>
      <t>강릉안인발전소</t>
    </r>
    <r>
      <rPr>
        <sz val="11"/>
        <rFont val="Calibri"/>
        <family val="2"/>
      </rPr>
      <t>(2)</t>
    </r>
    <phoneticPr fontId="7" type="noConversion"/>
  </si>
  <si>
    <t>경유</t>
  </si>
  <si>
    <t>발전자회사</t>
  </si>
  <si>
    <t>서인천발전소GT</t>
  </si>
  <si>
    <t>서인천발전소ST</t>
  </si>
  <si>
    <t>신인천발전소GT</t>
  </si>
  <si>
    <t>신인천발전소ST</t>
  </si>
  <si>
    <t>분당발전소GT</t>
  </si>
  <si>
    <t>분당발전소ST1</t>
  </si>
  <si>
    <t>분당발전소ST2</t>
  </si>
  <si>
    <t>일산발전소GT</t>
  </si>
  <si>
    <t>일산발전소ST1</t>
  </si>
  <si>
    <t>일산발전소ST2</t>
  </si>
  <si>
    <t>평택발전소GT(2)</t>
  </si>
  <si>
    <t>평택발전소ST(2)</t>
  </si>
  <si>
    <t>보령발전소GT</t>
  </si>
  <si>
    <t>보령발전소ST</t>
  </si>
  <si>
    <t>울산발전소GT(1)</t>
  </si>
  <si>
    <t>울산발전소GT(2)</t>
  </si>
  <si>
    <t>울산발전소ST(1)</t>
  </si>
  <si>
    <t>울산발전소ST(2)</t>
  </si>
  <si>
    <t>울산발전소GT</t>
  </si>
  <si>
    <t>울산발전소ST</t>
  </si>
  <si>
    <t>부산발전소GT</t>
  </si>
  <si>
    <t>부산발전소ST</t>
  </si>
  <si>
    <t>인천발전소GT</t>
  </si>
  <si>
    <t>인천발전소ST</t>
  </si>
  <si>
    <t>인천발전소GT(2)</t>
  </si>
  <si>
    <t>인천발전소ST(2)</t>
  </si>
  <si>
    <t>인천발전소GT(3)</t>
  </si>
  <si>
    <t>인천발전소ST(3)</t>
  </si>
  <si>
    <t>군산발전소GT</t>
  </si>
  <si>
    <t>군산발전소ST</t>
  </si>
  <si>
    <t>영월발전소GT</t>
  </si>
  <si>
    <t>영월발전소ST</t>
  </si>
  <si>
    <t>안동발전소GT</t>
  </si>
  <si>
    <t>안동발전소ST</t>
  </si>
  <si>
    <t>서울복합GT</t>
  </si>
  <si>
    <t>서울복합ST</t>
  </si>
  <si>
    <t>타사</t>
  </si>
  <si>
    <t>포스코파워발전소GT(1)</t>
  </si>
  <si>
    <t>포스코파워발전소ST(1)</t>
  </si>
  <si>
    <t>포스코파워발전소GT(2)</t>
  </si>
  <si>
    <t>포스코파워발전소ST(2)</t>
  </si>
  <si>
    <t>포스코파워발전소GT(3)</t>
  </si>
  <si>
    <t>포스코파워발전소ST(3)</t>
  </si>
  <si>
    <t>당진발전소GT(1)</t>
  </si>
  <si>
    <t>당진발전소ST(1)</t>
  </si>
  <si>
    <t>당진발전소GT(2)</t>
  </si>
  <si>
    <t>당진발전소ST(2)</t>
  </si>
  <si>
    <t>당진발전소GT(3)</t>
  </si>
  <si>
    <t>당진발전소ST(3)</t>
  </si>
  <si>
    <t>당진발전소GT(4)</t>
  </si>
  <si>
    <t>당진발전소ST(4)</t>
  </si>
  <si>
    <t>율촌발전소GT(1)</t>
  </si>
  <si>
    <t>율촌발전소ST(1)</t>
  </si>
  <si>
    <t>율촌발전소GT(2)</t>
  </si>
  <si>
    <t>율촌발전소ST(2)</t>
  </si>
  <si>
    <t>광양발전소GT</t>
  </si>
  <si>
    <t>광양발전소ST</t>
  </si>
  <si>
    <t>포천파워 포천GT</t>
  </si>
  <si>
    <t>포천파워 포천ST</t>
  </si>
  <si>
    <t>에스파워 안산GT</t>
  </si>
  <si>
    <t>에스파워 안산ST</t>
  </si>
  <si>
    <t>오성발전소GT</t>
  </si>
  <si>
    <t>오성발전소ST</t>
  </si>
  <si>
    <t>동두천드림GT</t>
  </si>
  <si>
    <t>동두천드림ST</t>
  </si>
  <si>
    <t>파주문산발전소GT(1)</t>
  </si>
  <si>
    <t>파주문산발전소ST(1)</t>
  </si>
  <si>
    <t>파주문산발전소GT(2)</t>
  </si>
  <si>
    <t>파주문산발전소ST(2)</t>
  </si>
  <si>
    <t>포천천연발전소GT</t>
  </si>
  <si>
    <t>포천천연발전소ST</t>
  </si>
  <si>
    <t>부산정관에너지GT</t>
  </si>
  <si>
    <t>부산정관에너지ST</t>
  </si>
  <si>
    <t>영남파워발전소GT</t>
  </si>
  <si>
    <t>영남파워발전소ST</t>
  </si>
  <si>
    <t>신평택발전소GT</t>
  </si>
  <si>
    <r>
      <rPr>
        <sz val="11"/>
        <rFont val="맑은 고딕"/>
        <family val="3"/>
        <charset val="129"/>
      </rPr>
      <t>신평택발전소</t>
    </r>
    <r>
      <rPr>
        <sz val="11"/>
        <rFont val="Calibri"/>
        <family val="2"/>
      </rPr>
      <t>ST</t>
    </r>
    <phoneticPr fontId="7" type="noConversion"/>
  </si>
  <si>
    <t>여주복합ST</t>
  </si>
  <si>
    <r>
      <rPr>
        <sz val="11"/>
        <rFont val="맑은 고딕"/>
        <family val="3"/>
        <charset val="129"/>
      </rPr>
      <t>여주복합</t>
    </r>
    <r>
      <rPr>
        <sz val="11"/>
        <rFont val="Calibri"/>
        <family val="2"/>
      </rPr>
      <t>GT</t>
    </r>
    <phoneticPr fontId="7" type="noConversion"/>
  </si>
  <si>
    <t>대산발전소GT</t>
  </si>
  <si>
    <t>대산발전소ST</t>
  </si>
  <si>
    <t>한림발전소GT</t>
  </si>
  <si>
    <t>한림발전소ST</t>
  </si>
  <si>
    <t>제주복합GT(1)</t>
  </si>
  <si>
    <t>제주복합ST(1)</t>
  </si>
  <si>
    <t>제주복합GT(2)</t>
  </si>
  <si>
    <t>제주복합ST(2)</t>
  </si>
  <si>
    <r>
      <t>남제주복합</t>
    </r>
    <r>
      <rPr>
        <sz val="11"/>
        <rFont val="Calibri"/>
        <family val="2"/>
      </rPr>
      <t>GT</t>
    </r>
    <phoneticPr fontId="7" type="noConversion"/>
  </si>
  <si>
    <r>
      <rPr>
        <sz val="11"/>
        <rFont val="맑은 고딕"/>
        <family val="3"/>
        <charset val="129"/>
      </rPr>
      <t>남제주복합</t>
    </r>
    <r>
      <rPr>
        <sz val="11"/>
        <rFont val="Calibri"/>
        <family val="2"/>
      </rPr>
      <t>ST</t>
    </r>
    <phoneticPr fontId="7" type="noConversion"/>
  </si>
  <si>
    <t>제주발전소GT-'89이설</t>
  </si>
  <si>
    <t>제주발전소GT-'91이설</t>
  </si>
  <si>
    <t>제주발전소GT-'94이설</t>
  </si>
  <si>
    <t>울릉도발전소DG(3)</t>
  </si>
  <si>
    <t>울릉도발전소DG(4)</t>
  </si>
  <si>
    <t>울릉도발전소DG(5)</t>
  </si>
  <si>
    <t>울릉도발전소DG(6)</t>
  </si>
  <si>
    <t>울릉도발전소DG(7)</t>
  </si>
  <si>
    <t>조도발전소DG(1)</t>
  </si>
  <si>
    <t>조도발전소DG(2)</t>
  </si>
  <si>
    <t>조도발전소DG(3)</t>
  </si>
  <si>
    <t>흑산도발전소DG(2)</t>
  </si>
  <si>
    <t>흑산도발전소DG(3)</t>
  </si>
  <si>
    <t>흑산도발전소DG(4)</t>
  </si>
  <si>
    <t>추자도발전소DG(1)</t>
  </si>
  <si>
    <t>추자도발전소DG(2)</t>
  </si>
  <si>
    <t>추자도발전소DG(3)</t>
  </si>
  <si>
    <t>거문도발전소DG(1)</t>
  </si>
  <si>
    <t>거문도발전소DG(2)</t>
  </si>
  <si>
    <t>거문도발전소DG(3)</t>
  </si>
  <si>
    <t>거문도발전소DG(4)</t>
  </si>
  <si>
    <t>덕적도발전소DG(1)</t>
  </si>
  <si>
    <t>덕적도발전소DG(2)</t>
  </si>
  <si>
    <t>덕적도발전소DG(3)</t>
  </si>
  <si>
    <t>덕적도발전소DG(4)</t>
  </si>
  <si>
    <t>위도발전소DG(1)</t>
  </si>
  <si>
    <t>위도발전소DG(2)</t>
  </si>
  <si>
    <t>위도발전소DG(3)</t>
  </si>
  <si>
    <t>백령도발전소DG(1)</t>
  </si>
  <si>
    <t>백령도발전소DG(2)</t>
  </si>
  <si>
    <t>백령도발전소DG(3)</t>
  </si>
  <si>
    <t>백령도발전소DG(4)</t>
  </si>
  <si>
    <t>대청도발전소DG(1)</t>
  </si>
  <si>
    <t>대청도발전소DG(2)</t>
  </si>
  <si>
    <t>대청도발전소DG(3)</t>
  </si>
  <si>
    <t>소청도발전소DG(1)</t>
  </si>
  <si>
    <t>연평도발전소DG(1)</t>
  </si>
  <si>
    <t>연평도발전소DG(2)</t>
  </si>
  <si>
    <t>자월도발전소DG(1)</t>
  </si>
  <si>
    <t>자월도발전소DG(2)</t>
  </si>
  <si>
    <t>홍도발전소DG(1)</t>
  </si>
  <si>
    <t>홍도발전소DG(2)</t>
  </si>
  <si>
    <t>홍도발전소DG(3)</t>
  </si>
  <si>
    <t>비양도발전소DG</t>
  </si>
  <si>
    <t>덕우도발전소DG(1)</t>
  </si>
  <si>
    <t>덕우도발전소DG(2)</t>
  </si>
  <si>
    <t>여서도발전소DG</t>
  </si>
  <si>
    <t>가파도발전소DG</t>
  </si>
  <si>
    <t>비안도발전소DG(1)</t>
  </si>
  <si>
    <t>비안도발전소DG(2)</t>
  </si>
  <si>
    <t>연도발전소DG</t>
  </si>
  <si>
    <t>연도발전소DG(2)</t>
  </si>
  <si>
    <t>어청도발전소DG(1)</t>
  </si>
  <si>
    <t>어청도발전소DG(2)</t>
  </si>
  <si>
    <t>어청도발전소DG(3)</t>
  </si>
  <si>
    <t>개야도발전소DG(1)</t>
  </si>
  <si>
    <t>개야도발전소DG(2)</t>
  </si>
  <si>
    <t>외연도발전소DG(1)</t>
  </si>
  <si>
    <t>외연도발전소DG(2)</t>
  </si>
  <si>
    <t>삽시도발전소DG(1)</t>
  </si>
  <si>
    <t>삽시도발전소DG(2)</t>
  </si>
  <si>
    <t>승봉도발전소DG(1)</t>
  </si>
  <si>
    <t>승봉도발전소DG(2)</t>
  </si>
  <si>
    <t>풍도발전소DG</t>
  </si>
  <si>
    <t>가의도발전소DG</t>
  </si>
  <si>
    <t>가거도발전소DG(1)</t>
  </si>
  <si>
    <t>가거도발전소DG(2)</t>
  </si>
  <si>
    <t>가거도발전소DG(3)</t>
  </si>
  <si>
    <t>여자도발전소DG</t>
  </si>
  <si>
    <t>추도발전소DG</t>
  </si>
  <si>
    <t>추도발전소DG(2)</t>
  </si>
  <si>
    <t>매몰도발전소DG</t>
  </si>
  <si>
    <t>어의도발전소DG</t>
  </si>
  <si>
    <t>어의도발전소DG(2)</t>
  </si>
  <si>
    <t>수우도발전소DG</t>
  </si>
  <si>
    <t>수우도발전소DG(2)</t>
  </si>
  <si>
    <t>장고도발전소DG</t>
  </si>
  <si>
    <t>고대도발전소DG(1)</t>
  </si>
  <si>
    <t>고대도발전소DG(2)</t>
  </si>
  <si>
    <t>문갑도발전소DG</t>
  </si>
  <si>
    <t>성남도발전소DG</t>
  </si>
  <si>
    <t>성남도발전소DG(2)</t>
  </si>
  <si>
    <t>독거도발전소DG</t>
  </si>
  <si>
    <t>독거도발전소DG(2)</t>
  </si>
  <si>
    <t>호도발전소DG</t>
  </si>
  <si>
    <t>낙월도발전소DG</t>
  </si>
  <si>
    <t>송이도발전소DG</t>
  </si>
  <si>
    <t>송이도발전소DG(2)</t>
  </si>
  <si>
    <t>구자도발전소DG</t>
  </si>
  <si>
    <t>슬도발전소DG</t>
  </si>
  <si>
    <t>시산도발전소DG</t>
  </si>
  <si>
    <t>득량도발전소DG</t>
  </si>
  <si>
    <t>어룡도발전소DG</t>
  </si>
  <si>
    <t>상화도발전소DG</t>
  </si>
  <si>
    <t>손죽도발전소DG</t>
  </si>
  <si>
    <t>울도발전소DG</t>
  </si>
  <si>
    <t>초도발전소DG</t>
  </si>
  <si>
    <t>평도발전소DG</t>
  </si>
  <si>
    <t>화도발전소DG</t>
  </si>
  <si>
    <t>왕등도발전소DG</t>
  </si>
  <si>
    <t>소연평도발전소DG(1)</t>
  </si>
  <si>
    <t>소연평도발전소DG(2)</t>
  </si>
  <si>
    <t>외도발전소DG(1)</t>
  </si>
  <si>
    <t>외도발전소DG(2)</t>
  </si>
  <si>
    <t>영산도발전소DG</t>
  </si>
  <si>
    <t>마라도발전소DG(1)</t>
  </si>
  <si>
    <t>마라도발전소DG(2)</t>
  </si>
  <si>
    <t>고리발전소(2)</t>
  </si>
  <si>
    <t>고리발전소(3)</t>
  </si>
  <si>
    <t>고리발전소(4)</t>
  </si>
  <si>
    <t>신고리발전소(1)</t>
  </si>
  <si>
    <t>신고리발전소(2)</t>
  </si>
  <si>
    <t>신고리발전소(3)</t>
  </si>
  <si>
    <t>신고리발전소(4)</t>
  </si>
  <si>
    <t>월성발전소(2)</t>
  </si>
  <si>
    <t>월성발전소(3)</t>
  </si>
  <si>
    <t>월성발전소(4)</t>
  </si>
  <si>
    <t>신월성발전소(1)</t>
  </si>
  <si>
    <t>신월성발전소(2)</t>
  </si>
  <si>
    <t>영광발전소(1)</t>
  </si>
  <si>
    <t>영광발전소(2)</t>
  </si>
  <si>
    <t>영광발전소(3)</t>
  </si>
  <si>
    <t>영광발전소(4)</t>
  </si>
  <si>
    <t>영광발전소(5)</t>
  </si>
  <si>
    <t>영광발전소(6)</t>
  </si>
  <si>
    <t>울진발전소(1)</t>
  </si>
  <si>
    <t>울진발전소(2)</t>
  </si>
  <si>
    <t>울진발전소(3)</t>
  </si>
  <si>
    <t>울진발전소(4)</t>
  </si>
  <si>
    <t>울진발전소(5)</t>
  </si>
  <si>
    <t>울진발전소(6)</t>
  </si>
  <si>
    <t>신한울발전소(1)</t>
  </si>
  <si>
    <t>청평양수발전소</t>
  </si>
  <si>
    <t>삼랑진양수발전소</t>
  </si>
  <si>
    <t>무주양수발전소</t>
  </si>
  <si>
    <t>산청양수발전소</t>
  </si>
  <si>
    <t>양양양수발전소</t>
  </si>
  <si>
    <t>청송양수발전소</t>
  </si>
  <si>
    <t>예천양수발전소</t>
  </si>
  <si>
    <t>용량 (kW)</t>
  </si>
  <si>
    <t>계통별</t>
  </si>
  <si>
    <t>기타</t>
    <phoneticPr fontId="7" type="noConversion"/>
  </si>
  <si>
    <t>에너지원별</t>
  </si>
  <si>
    <t>한전및발전자회사</t>
  </si>
  <si>
    <t>화력</t>
  </si>
  <si>
    <t>양수 및 수력</t>
  </si>
  <si>
    <t>기타발전회사</t>
  </si>
  <si>
    <t>실적현황별</t>
  </si>
  <si>
    <t>설비용량(피크기준)</t>
  </si>
  <si>
    <t>설비용량(연말기준)</t>
  </si>
  <si>
    <t>공급능력</t>
  </si>
  <si>
    <t>최대전력</t>
  </si>
  <si>
    <t>예비전력</t>
  </si>
  <si>
    <t>공급예비율</t>
  </si>
  <si>
    <t>평균전력</t>
  </si>
  <si>
    <t>발전량</t>
  </si>
  <si>
    <t>연료사용량</t>
  </si>
  <si>
    <t>유류</t>
  </si>
  <si>
    <t>열효율</t>
  </si>
  <si>
    <t>발전단</t>
  </si>
  <si>
    <t>송전단</t>
  </si>
  <si>
    <t>소내전력률</t>
  </si>
  <si>
    <t>주파수유지율</t>
  </si>
  <si>
    <t>고장정지</t>
  </si>
  <si>
    <t>수·화력</t>
  </si>
  <si>
    <t>수·화력(민자포함)</t>
  </si>
  <si>
    <t>사업자별</t>
  </si>
  <si>
    <t>발전원별</t>
  </si>
  <si>
    <t>화력(집단포함)</t>
  </si>
  <si>
    <t>내연력 및 복합화력</t>
  </si>
  <si>
    <t>집단에너지, 신재생, 기타</t>
  </si>
  <si>
    <t>용도및회사별</t>
  </si>
  <si>
    <t>사업용발전설비</t>
  </si>
  <si>
    <t>구역전기설비</t>
  </si>
  <si>
    <t>용량 (천kW)</t>
  </si>
  <si>
    <t>발전기대수 (대)</t>
  </si>
  <si>
    <t>민간</t>
  </si>
  <si>
    <t>기력(유연탄)</t>
  </si>
  <si>
    <t>청평양수</t>
  </si>
  <si>
    <t>삼랑진양수</t>
  </si>
  <si>
    <t>무주양수</t>
  </si>
  <si>
    <t>산청양수</t>
  </si>
  <si>
    <t>양양양수</t>
  </si>
  <si>
    <t>청송양수</t>
  </si>
  <si>
    <t>예천양수</t>
  </si>
  <si>
    <t>일반수력</t>
  </si>
  <si>
    <t>화천</t>
  </si>
  <si>
    <t>춘천</t>
  </si>
  <si>
    <t>의암</t>
  </si>
  <si>
    <t>청평</t>
  </si>
  <si>
    <t>팔당</t>
  </si>
  <si>
    <t>칠보</t>
  </si>
  <si>
    <t>강릉</t>
  </si>
  <si>
    <t>충주</t>
  </si>
  <si>
    <t>소양강</t>
  </si>
  <si>
    <t>안동</t>
  </si>
  <si>
    <t>대청</t>
  </si>
  <si>
    <t>합천</t>
  </si>
  <si>
    <t>주암</t>
  </si>
  <si>
    <t>임하</t>
  </si>
  <si>
    <t>남강</t>
  </si>
  <si>
    <t>용담</t>
  </si>
  <si>
    <r>
      <t>충주제</t>
    </r>
    <r>
      <rPr>
        <sz val="11"/>
        <rFont val="맑은 고딕"/>
        <family val="2"/>
        <charset val="129"/>
      </rPr>
      <t>2수력</t>
    </r>
    <phoneticPr fontId="7" type="noConversion"/>
  </si>
  <si>
    <t>소수력</t>
  </si>
  <si>
    <t>보성강</t>
  </si>
  <si>
    <t>괴산</t>
  </si>
  <si>
    <t>강림</t>
  </si>
  <si>
    <t>추산</t>
  </si>
  <si>
    <t>양양양수소수력</t>
  </si>
  <si>
    <t>무주양수소수력</t>
  </si>
  <si>
    <t>산청양수소수력</t>
  </si>
  <si>
    <t>산청양수소수력#1</t>
  </si>
  <si>
    <t>산천양수소수력#2</t>
  </si>
  <si>
    <t>삼천포해양</t>
  </si>
  <si>
    <t>보령화력소수력#2</t>
  </si>
  <si>
    <t>영흥해양</t>
  </si>
  <si>
    <t>영천</t>
  </si>
  <si>
    <t>밀양</t>
  </si>
  <si>
    <t>광천</t>
  </si>
  <si>
    <t>반변</t>
  </si>
  <si>
    <t>부안</t>
  </si>
  <si>
    <t>운문</t>
  </si>
  <si>
    <t>횡성</t>
  </si>
  <si>
    <t>성남</t>
  </si>
  <si>
    <t>장흥</t>
  </si>
  <si>
    <t>서리보</t>
  </si>
  <si>
    <t>탑정</t>
  </si>
  <si>
    <t>행원</t>
  </si>
  <si>
    <t>경천#2</t>
  </si>
  <si>
    <t>대곡</t>
  </si>
  <si>
    <t>달방</t>
  </si>
  <si>
    <t>대청댐</t>
  </si>
  <si>
    <t>성남제2</t>
  </si>
  <si>
    <t>영월</t>
  </si>
  <si>
    <t>덕송</t>
  </si>
  <si>
    <t>정선</t>
  </si>
  <si>
    <t>대아(순천시)</t>
  </si>
  <si>
    <t>경천</t>
  </si>
  <si>
    <t>포천</t>
  </si>
  <si>
    <t>임기</t>
  </si>
  <si>
    <t>성주</t>
  </si>
  <si>
    <t>정읍</t>
  </si>
  <si>
    <t>방우리</t>
  </si>
  <si>
    <t>소천</t>
  </si>
  <si>
    <t>봉화</t>
  </si>
  <si>
    <t>금강</t>
  </si>
  <si>
    <t>한석</t>
  </si>
  <si>
    <t>산내</t>
  </si>
  <si>
    <t>동화</t>
  </si>
  <si>
    <t>천상</t>
  </si>
  <si>
    <t>-</t>
  </si>
  <si>
    <t>장성</t>
  </si>
  <si>
    <t>하동호</t>
  </si>
  <si>
    <t>담양</t>
  </si>
  <si>
    <t>백곡</t>
  </si>
  <si>
    <t>원정수</t>
  </si>
  <si>
    <t>고문</t>
  </si>
  <si>
    <t>홍익동진</t>
  </si>
  <si>
    <t>율현</t>
  </si>
  <si>
    <t>경천지구</t>
  </si>
  <si>
    <t>울돌목조류</t>
  </si>
  <si>
    <t>보성</t>
  </si>
  <si>
    <t>보령화력소수력#1</t>
  </si>
  <si>
    <t>고산</t>
  </si>
  <si>
    <t>군위</t>
  </si>
  <si>
    <t>농어촌공사</t>
  </si>
  <si>
    <t>횡성댐2</t>
  </si>
  <si>
    <t>극동</t>
  </si>
  <si>
    <t>세종보</t>
  </si>
  <si>
    <t>삿갓보</t>
  </si>
  <si>
    <t>용림</t>
  </si>
  <si>
    <t>원통보</t>
  </si>
  <si>
    <t>판교</t>
  </si>
  <si>
    <t>영흥해양#2</t>
  </si>
  <si>
    <t>강정고령보</t>
  </si>
  <si>
    <t>강천보</t>
  </si>
  <si>
    <t>구미보</t>
  </si>
  <si>
    <t>공주보</t>
  </si>
  <si>
    <t>물야</t>
  </si>
  <si>
    <t>백제보</t>
  </si>
  <si>
    <t>솔향강릉</t>
  </si>
  <si>
    <t>승촌보</t>
  </si>
  <si>
    <t>이포보</t>
  </si>
  <si>
    <t>죽산보</t>
  </si>
  <si>
    <t>토평</t>
  </si>
  <si>
    <t>궁평</t>
  </si>
  <si>
    <t>낙단보</t>
  </si>
  <si>
    <t>달성보</t>
  </si>
  <si>
    <t>동상</t>
  </si>
  <si>
    <t>상주보</t>
  </si>
  <si>
    <t>여주보</t>
  </si>
  <si>
    <t>예당</t>
  </si>
  <si>
    <t>오봉지구</t>
  </si>
  <si>
    <t>주암역조정지댐</t>
  </si>
  <si>
    <t>칠곡보</t>
  </si>
  <si>
    <t>함안보</t>
  </si>
  <si>
    <t>합천·창녕보</t>
  </si>
  <si>
    <t>자인정수</t>
  </si>
  <si>
    <t>광주호</t>
  </si>
  <si>
    <t>안계</t>
  </si>
  <si>
    <t>극동제2</t>
  </si>
  <si>
    <t>KC하이드로</t>
  </si>
  <si>
    <t>정우#2</t>
  </si>
  <si>
    <t>장성호</t>
  </si>
  <si>
    <t>개취보</t>
  </si>
  <si>
    <t>부항댐</t>
  </si>
  <si>
    <t>리오에너지</t>
  </si>
  <si>
    <t>회동댐</t>
  </si>
  <si>
    <t>노량진</t>
  </si>
  <si>
    <t>가북</t>
  </si>
  <si>
    <t>금계</t>
  </si>
  <si>
    <t>낙덕</t>
  </si>
  <si>
    <t>백운제#1</t>
  </si>
  <si>
    <t>구만#1</t>
  </si>
  <si>
    <t>덕남정수장</t>
  </si>
  <si>
    <t>영흥해양#3</t>
  </si>
  <si>
    <t>고수</t>
  </si>
  <si>
    <t>죽전</t>
  </si>
  <si>
    <t>당진화력2</t>
  </si>
  <si>
    <t>서포</t>
  </si>
  <si>
    <t>성덕댐</t>
  </si>
  <si>
    <t>운서보</t>
  </si>
  <si>
    <t>소전</t>
  </si>
  <si>
    <t>용담고산</t>
  </si>
  <si>
    <t>북창보</t>
  </si>
  <si>
    <t>잠곡</t>
  </si>
  <si>
    <t>희광에너지</t>
  </si>
  <si>
    <t>동화#1</t>
  </si>
  <si>
    <t>구이</t>
  </si>
  <si>
    <t>불갑호</t>
  </si>
  <si>
    <t>동화정수장</t>
  </si>
  <si>
    <t>케이디이</t>
  </si>
  <si>
    <t>유량몰이부산</t>
  </si>
  <si>
    <t>오태</t>
  </si>
  <si>
    <t>문경당포</t>
  </si>
  <si>
    <t>유량몰이서울서남</t>
    <phoneticPr fontId="7" type="noConversion"/>
  </si>
  <si>
    <t>솔라유니캐트</t>
  </si>
  <si>
    <t>자연에너지</t>
  </si>
  <si>
    <t>단산</t>
  </si>
  <si>
    <t>북평해양</t>
  </si>
  <si>
    <t>맹동</t>
  </si>
  <si>
    <t>보청</t>
  </si>
  <si>
    <t>용연정수장</t>
  </si>
  <si>
    <t>용담고산#1</t>
  </si>
  <si>
    <t>섬진강댐</t>
  </si>
  <si>
    <t>영주</t>
  </si>
  <si>
    <t>창녕</t>
  </si>
  <si>
    <t>주월</t>
  </si>
  <si>
    <t>목동탄소제로마을</t>
  </si>
  <si>
    <t>일산정수장</t>
  </si>
  <si>
    <t>유량몰이서울중랑</t>
  </si>
  <si>
    <t>삼척그린파워해양</t>
  </si>
  <si>
    <t>묘곡지구</t>
  </si>
  <si>
    <t>대청댐2</t>
  </si>
  <si>
    <t>금광</t>
  </si>
  <si>
    <t>합천2</t>
  </si>
  <si>
    <t>양구동면정수장</t>
  </si>
  <si>
    <t>대산</t>
  </si>
  <si>
    <t>도원</t>
  </si>
  <si>
    <t>예천양수미니</t>
  </si>
  <si>
    <t>비룡</t>
  </si>
  <si>
    <t>소향</t>
  </si>
  <si>
    <t>하이드로에너지</t>
  </si>
  <si>
    <t>신손항</t>
  </si>
  <si>
    <t>대아(해남군)</t>
  </si>
  <si>
    <t>단양수중보</t>
  </si>
  <si>
    <t>별빛</t>
  </si>
  <si>
    <t>대정1</t>
  </si>
  <si>
    <t>애플에너지</t>
  </si>
  <si>
    <t>보현산댐</t>
  </si>
  <si>
    <t>유량몰이 대구영천</t>
  </si>
  <si>
    <t>의신1호</t>
  </si>
  <si>
    <t>의신2호</t>
  </si>
  <si>
    <t>남사배수지</t>
  </si>
  <si>
    <t>어승생</t>
  </si>
  <si>
    <t>영풍</t>
  </si>
  <si>
    <t>양양양수신소수력</t>
  </si>
  <si>
    <t>읍애</t>
  </si>
  <si>
    <t>신서천화력</t>
  </si>
  <si>
    <t>상율목</t>
  </si>
  <si>
    <t>한국해양소수력</t>
  </si>
  <si>
    <t>한일종합기계</t>
  </si>
  <si>
    <t>아진수산</t>
  </si>
  <si>
    <t>충주3</t>
  </si>
  <si>
    <t>남강(2)</t>
  </si>
  <si>
    <t>아진2호</t>
  </si>
  <si>
    <t>MD신지1호</t>
  </si>
  <si>
    <t>정우</t>
  </si>
  <si>
    <t>단양</t>
  </si>
  <si>
    <t>동진</t>
  </si>
  <si>
    <t>가보소수력제1호</t>
    <phoneticPr fontId="7" type="noConversion"/>
  </si>
  <si>
    <r>
      <rPr>
        <sz val="11"/>
        <rFont val="맑은 고딕"/>
        <family val="3"/>
        <charset val="129"/>
      </rPr>
      <t>가보소수력제</t>
    </r>
    <r>
      <rPr>
        <sz val="11"/>
        <rFont val="Calibri"/>
        <family val="3"/>
      </rPr>
      <t>2</t>
    </r>
    <r>
      <rPr>
        <sz val="11"/>
        <rFont val="맑은 고딕"/>
        <family val="3"/>
        <charset val="129"/>
      </rPr>
      <t>호</t>
    </r>
    <phoneticPr fontId="7" type="noConversion"/>
  </si>
  <si>
    <t>울릉도</t>
    <phoneticPr fontId="7" type="noConversion"/>
  </si>
  <si>
    <t>석탄</t>
  </si>
  <si>
    <t>신재생 및 기타</t>
  </si>
  <si>
    <t>실적구분별</t>
  </si>
  <si>
    <t>경제성장률</t>
  </si>
  <si>
    <t>설비용량(연말)</t>
  </si>
  <si>
    <t>설비용량(연말)-성장률</t>
  </si>
  <si>
    <t>최대전력-성장률</t>
  </si>
  <si>
    <t>설비예비율</t>
  </si>
  <si>
    <t>총발전량</t>
  </si>
  <si>
    <t>총발전량-성장률</t>
  </si>
  <si>
    <t>이용률</t>
  </si>
  <si>
    <t>발전소내 소비전력률</t>
  </si>
  <si>
    <t>발전소내 소비전력량</t>
  </si>
  <si>
    <t>판매전력량</t>
  </si>
  <si>
    <t>판매전력량-수요성장률</t>
  </si>
  <si>
    <t>송전전력량(양수제외)</t>
  </si>
  <si>
    <t>송배전손실률</t>
  </si>
  <si>
    <t>주택용판매전력량</t>
  </si>
  <si>
    <t>일반용판매전력량</t>
  </si>
  <si>
    <t>교육용판매전력량</t>
  </si>
  <si>
    <t>산업용판매전력량</t>
  </si>
  <si>
    <t>농사용판매전력량</t>
  </si>
  <si>
    <t>가로등판매전력량</t>
  </si>
  <si>
    <t>심야판매전력량</t>
  </si>
  <si>
    <t>부하율</t>
  </si>
  <si>
    <t>열효율(발전단Gross)</t>
  </si>
  <si>
    <t>인구1인당전력소비량</t>
  </si>
  <si>
    <t>연료별</t>
  </si>
  <si>
    <t>B·C유</t>
  </si>
  <si>
    <t>기타중유</t>
  </si>
  <si>
    <t>연료원별</t>
  </si>
  <si>
    <t>고리</t>
  </si>
  <si>
    <t>고리#1</t>
  </si>
  <si>
    <t>고리#2</t>
  </si>
  <si>
    <t>고리#3</t>
  </si>
  <si>
    <t>고리#4</t>
  </si>
  <si>
    <t>신고리#1</t>
  </si>
  <si>
    <t>신고리#2</t>
  </si>
  <si>
    <t>새울#1</t>
  </si>
  <si>
    <t>새울#2</t>
  </si>
  <si>
    <t>월성</t>
  </si>
  <si>
    <t>월성#1</t>
  </si>
  <si>
    <t>월성#2</t>
  </si>
  <si>
    <t>월성#3</t>
  </si>
  <si>
    <t>월성#4</t>
  </si>
  <si>
    <t>신월성#1</t>
  </si>
  <si>
    <t>신월성#2</t>
  </si>
  <si>
    <t>한빛</t>
  </si>
  <si>
    <t>한빛#1</t>
  </si>
  <si>
    <t>한빛#2</t>
  </si>
  <si>
    <t>한빛#3</t>
  </si>
  <si>
    <t>한빛#4</t>
  </si>
  <si>
    <t>한빛#5</t>
  </si>
  <si>
    <t>한빛#6</t>
  </si>
  <si>
    <t>한울</t>
  </si>
  <si>
    <t>한울#1</t>
  </si>
  <si>
    <t>한울#2</t>
  </si>
  <si>
    <t>한울#3</t>
  </si>
  <si>
    <t>한울#4</t>
  </si>
  <si>
    <t>한울#5</t>
  </si>
  <si>
    <t>한울#6</t>
  </si>
  <si>
    <t>신한울</t>
  </si>
  <si>
    <t>신한울#1</t>
  </si>
  <si>
    <t>지역별</t>
  </si>
  <si>
    <t>경기</t>
  </si>
  <si>
    <t>강원</t>
  </si>
  <si>
    <t>대전</t>
  </si>
  <si>
    <t>충북</t>
  </si>
  <si>
    <t>충남</t>
  </si>
  <si>
    <t>세종</t>
  </si>
  <si>
    <t>광주</t>
  </si>
  <si>
    <t>전북</t>
  </si>
  <si>
    <t>전남</t>
  </si>
  <si>
    <t>부산</t>
  </si>
  <si>
    <t>대구</t>
  </si>
  <si>
    <t>경북</t>
  </si>
  <si>
    <t>경남</t>
  </si>
  <si>
    <t>제주</t>
  </si>
  <si>
    <t>발전설비별</t>
  </si>
  <si>
    <t>구성비</t>
  </si>
  <si>
    <r>
      <t xml:space="preserve">LNG </t>
    </r>
    <r>
      <rPr>
        <sz val="11"/>
        <rFont val="맑은 고딕"/>
        <family val="3"/>
        <charset val="129"/>
      </rPr>
      <t>복합</t>
    </r>
    <phoneticPr fontId="7" type="noConversion"/>
  </si>
  <si>
    <t>신재생(태양광, 풍력, 기타)</t>
  </si>
  <si>
    <t>월 (월)</t>
  </si>
  <si>
    <t>일 (일)</t>
  </si>
  <si>
    <t>시 (시)</t>
  </si>
  <si>
    <t>최대전력 (천kW)</t>
  </si>
  <si>
    <r>
      <rPr>
        <sz val="11"/>
        <rFont val="맑은 고딕"/>
        <family val="3"/>
        <charset val="129"/>
      </rPr>
      <t>최고</t>
    </r>
    <r>
      <rPr>
        <sz val="11"/>
        <rFont val="Calibri"/>
        <family val="2"/>
      </rPr>
      <t>/</t>
    </r>
    <r>
      <rPr>
        <sz val="11"/>
        <rFont val="맑은 고딕"/>
        <family val="3"/>
        <charset val="129"/>
      </rPr>
      <t>최저기온</t>
    </r>
    <r>
      <rPr>
        <sz val="11"/>
        <rFont val="Calibri"/>
        <family val="2"/>
      </rPr>
      <t xml:space="preserve"> (</t>
    </r>
    <r>
      <rPr>
        <sz val="11"/>
        <rFont val="Segoe UI Symbol"/>
        <family val="1"/>
      </rPr>
      <t>℃</t>
    </r>
    <r>
      <rPr>
        <sz val="11"/>
        <rFont val="Calibri"/>
        <family val="2"/>
      </rPr>
      <t>)</t>
    </r>
    <phoneticPr fontId="7" type="noConversion"/>
  </si>
  <si>
    <t>불쾌지수 (%)</t>
  </si>
  <si>
    <t>회원사별</t>
  </si>
  <si>
    <t>정회원</t>
  </si>
  <si>
    <t>포스코인터내셔널㈜</t>
    <phoneticPr fontId="7" type="noConversion"/>
  </si>
  <si>
    <t>비회원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</si>
</sst>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name val="맑은 고딕"/>
      <family val="1"/>
      <scheme val="minor"/>
    </font>
    <font>
      <sz val="11"/>
      <color indexed="8"/>
      <name val="맑은 고딕"/>
      <family val="2"/>
      <scheme val="minor"/>
    </font>
    <font>
      <sz val="11"/>
      <name val="Calibri"/>
      <family val="2"/>
    </font>
    <font>
      <sz val="11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name val="Calibri"/>
      <family val="3"/>
      <charset val="129"/>
    </font>
    <font>
      <sz val="11"/>
      <color rgb="FFFF0000"/>
      <name val="맑은 고딕"/>
      <family val="2"/>
      <scheme val="minor"/>
    </font>
    <font>
      <sz val="11"/>
      <name val="맑은 고딕"/>
      <family val="2"/>
      <charset val="129"/>
    </font>
    <font>
      <sz val="11"/>
      <name val="Calibri"/>
      <family val="3"/>
    </font>
    <font>
      <sz val="11"/>
      <name val="Segoe UI Symbol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5EBCC"/>
      </patternFill>
    </fill>
    <fill>
      <patternFill patternType="solid">
        <fgColor rgb="FFBCCCE0"/>
      </patternFill>
    </fill>
    <fill>
      <patternFill patternType="solid">
        <fgColor rgb="FFE2ECF8"/>
      </patternFill>
    </fill>
    <fill>
      <patternFill patternType="solid">
        <fgColor indexed="9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</cellStyleXfs>
  <cellXfs count="21">
    <xf numFmtId="0" fontId="0" fillId="0" borderId="0" xfId="0">
      <alignment vertical="center"/>
    </xf>
    <xf numFmtId="0" fontId="5" fillId="3" borderId="1" xfId="3" applyFont="1" applyFill="1" applyBorder="1" applyAlignment="1">
      <alignment horizontal="center" vertical="center"/>
    </xf>
    <xf numFmtId="0" fontId="4" fillId="0" borderId="0" xfId="3">
      <alignment vertical="center"/>
    </xf>
    <xf numFmtId="0" fontId="5" fillId="4" borderId="1" xfId="3" applyFont="1" applyFill="1" applyBorder="1" applyAlignment="1">
      <alignment horizontal="center" vertical="center"/>
    </xf>
    <xf numFmtId="0" fontId="5" fillId="6" borderId="1" xfId="3" applyFont="1" applyFill="1" applyBorder="1" applyAlignment="1">
      <alignment horizontal="right" vertical="center"/>
    </xf>
    <xf numFmtId="0" fontId="5" fillId="2" borderId="1" xfId="3" applyFont="1" applyFill="1" applyBorder="1" applyAlignment="1">
      <alignment horizontal="center" vertical="center"/>
    </xf>
    <xf numFmtId="0" fontId="10" fillId="0" borderId="0" xfId="3" applyFont="1">
      <alignment vertical="center"/>
    </xf>
    <xf numFmtId="0" fontId="5" fillId="6" borderId="1" xfId="3" applyFont="1" applyFill="1" applyBorder="1" applyAlignment="1">
      <alignment vertical="center"/>
    </xf>
    <xf numFmtId="0" fontId="5" fillId="6" borderId="2" xfId="3" applyFont="1" applyFill="1" applyBorder="1" applyAlignment="1">
      <alignment horizontal="right" vertical="center"/>
    </xf>
    <xf numFmtId="1" fontId="5" fillId="6" borderId="1" xfId="3" applyNumberFormat="1" applyFont="1" applyFill="1" applyBorder="1" applyAlignment="1">
      <alignment horizontal="right" vertical="center"/>
    </xf>
    <xf numFmtId="2" fontId="5" fillId="6" borderId="1" xfId="3" applyNumberFormat="1" applyFont="1" applyFill="1" applyBorder="1" applyAlignment="1">
      <alignment horizontal="right" vertical="center"/>
    </xf>
    <xf numFmtId="0" fontId="5" fillId="6" borderId="1" xfId="3" applyNumberFormat="1" applyFont="1" applyFill="1" applyBorder="1" applyAlignment="1">
      <alignment horizontal="right" vertical="center"/>
    </xf>
    <xf numFmtId="0" fontId="4" fillId="0" borderId="0" xfId="3" applyAlignment="1">
      <alignment horizontal="left" vertical="center"/>
    </xf>
    <xf numFmtId="0" fontId="5" fillId="5" borderId="1" xfId="3" applyFont="1" applyFill="1" applyBorder="1" applyAlignment="1">
      <alignment horizontal="left" vertical="center"/>
    </xf>
    <xf numFmtId="0" fontId="5" fillId="3" borderId="1" xfId="3" applyFont="1" applyFill="1" applyBorder="1" applyAlignment="1">
      <alignment horizontal="left" vertical="center"/>
    </xf>
    <xf numFmtId="0" fontId="5" fillId="2" borderId="1" xfId="3" applyFont="1" applyFill="1" applyBorder="1" applyAlignment="1">
      <alignment horizontal="center" vertical="center"/>
    </xf>
    <xf numFmtId="0" fontId="8" fillId="5" borderId="1" xfId="3" applyFont="1" applyFill="1" applyBorder="1" applyAlignment="1">
      <alignment horizontal="left" vertical="center"/>
    </xf>
    <xf numFmtId="0" fontId="6" fillId="5" borderId="1" xfId="3" applyFont="1" applyFill="1" applyBorder="1" applyAlignment="1">
      <alignment horizontal="left" vertical="center"/>
    </xf>
    <xf numFmtId="0" fontId="5" fillId="5" borderId="1" xfId="3" applyFont="1" applyFill="1" applyBorder="1" applyAlignment="1">
      <alignment vertical="center"/>
    </xf>
    <xf numFmtId="0" fontId="9" fillId="5" borderId="1" xfId="3" applyFont="1" applyFill="1" applyBorder="1" applyAlignment="1">
      <alignment horizontal="left" vertical="center"/>
    </xf>
    <xf numFmtId="0" fontId="11" fillId="5" borderId="1" xfId="3" applyFont="1" applyFill="1" applyBorder="1" applyAlignment="1">
      <alignment horizontal="left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E591E020-87C5-4379-9F36-6D50C83592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B36F1-8EE7-4FA4-AE0B-AFC52B21DC38}">
  <dimension ref="A1:AA26"/>
  <sheetViews>
    <sheetView tabSelected="1" zoomScaleNormal="100" zoomScaleSheetLayoutView="70" workbookViewId="0">
      <selection activeCell="AC31" sqref="A1:AC31"/>
    </sheetView>
  </sheetViews>
  <sheetFormatPr defaultRowHeight="16.5" x14ac:dyDescent="0.3"/>
  <cols>
    <col min="1" max="16384" width="9" style="2"/>
  </cols>
  <sheetData>
    <row r="1" spans="1:27" x14ac:dyDescent="0.3">
      <c r="A1" s="15" t="s">
        <v>0</v>
      </c>
      <c r="B1" s="1" t="s">
        <v>1</v>
      </c>
      <c r="C1" s="14">
        <v>2023</v>
      </c>
      <c r="D1" s="14" t="s">
        <v>2</v>
      </c>
      <c r="E1" s="14" t="s">
        <v>2</v>
      </c>
      <c r="F1" s="14" t="s">
        <v>2</v>
      </c>
      <c r="G1" s="14" t="s">
        <v>2</v>
      </c>
      <c r="H1" s="14" t="s">
        <v>2</v>
      </c>
      <c r="I1" s="14" t="s">
        <v>2</v>
      </c>
      <c r="J1" s="14" t="s">
        <v>2</v>
      </c>
      <c r="K1" s="14" t="s">
        <v>2</v>
      </c>
      <c r="L1" s="14" t="s">
        <v>2</v>
      </c>
      <c r="M1" s="14" t="s">
        <v>2</v>
      </c>
      <c r="N1" s="14" t="s">
        <v>2</v>
      </c>
      <c r="O1" s="14" t="s">
        <v>2</v>
      </c>
      <c r="P1" s="14" t="s">
        <v>2</v>
      </c>
      <c r="Q1" s="14" t="s">
        <v>2</v>
      </c>
      <c r="R1" s="14" t="s">
        <v>2</v>
      </c>
      <c r="S1" s="14" t="s">
        <v>2</v>
      </c>
      <c r="T1" s="14" t="s">
        <v>2</v>
      </c>
      <c r="U1" s="14" t="s">
        <v>2</v>
      </c>
      <c r="V1" s="14" t="s">
        <v>2</v>
      </c>
      <c r="W1" s="14" t="s">
        <v>2</v>
      </c>
      <c r="X1" s="14" t="s">
        <v>2</v>
      </c>
      <c r="Y1" s="14" t="s">
        <v>2</v>
      </c>
      <c r="Z1" s="14" t="s">
        <v>2</v>
      </c>
      <c r="AA1" s="14" t="s">
        <v>2</v>
      </c>
    </row>
    <row r="2" spans="1:27" x14ac:dyDescent="0.3">
      <c r="A2" s="15" t="s">
        <v>0</v>
      </c>
      <c r="B2" s="1" t="s">
        <v>3</v>
      </c>
      <c r="C2" s="14" t="s">
        <v>4</v>
      </c>
      <c r="D2" s="14" t="s">
        <v>5</v>
      </c>
      <c r="E2" s="14" t="s">
        <v>6</v>
      </c>
      <c r="F2" s="14" t="s">
        <v>7</v>
      </c>
      <c r="G2" s="14" t="s">
        <v>8</v>
      </c>
      <c r="H2" s="14" t="s">
        <v>9</v>
      </c>
      <c r="I2" s="14" t="s">
        <v>10</v>
      </c>
      <c r="J2" s="14" t="s">
        <v>11</v>
      </c>
      <c r="K2" s="14" t="s">
        <v>12</v>
      </c>
      <c r="L2" s="14" t="s">
        <v>10</v>
      </c>
      <c r="M2" s="14" t="s">
        <v>13</v>
      </c>
      <c r="N2" s="14" t="s">
        <v>9</v>
      </c>
      <c r="O2" s="14" t="s">
        <v>12</v>
      </c>
      <c r="P2" s="14" t="s">
        <v>14</v>
      </c>
      <c r="Q2" s="14" t="s">
        <v>7</v>
      </c>
      <c r="R2" s="14" t="s">
        <v>15</v>
      </c>
      <c r="S2" s="14" t="s">
        <v>10</v>
      </c>
      <c r="T2" s="14" t="s">
        <v>16</v>
      </c>
      <c r="U2" s="14" t="s">
        <v>17</v>
      </c>
      <c r="V2" s="14" t="s">
        <v>18</v>
      </c>
      <c r="W2" s="14" t="s">
        <v>19</v>
      </c>
      <c r="X2" s="14" t="s">
        <v>20</v>
      </c>
      <c r="Y2" s="14" t="s">
        <v>21</v>
      </c>
      <c r="Z2" s="14" t="s">
        <v>16</v>
      </c>
      <c r="AA2" s="14" t="s">
        <v>22</v>
      </c>
    </row>
    <row r="3" spans="1:27" x14ac:dyDescent="0.3">
      <c r="A3" s="3" t="s">
        <v>469</v>
      </c>
      <c r="B3" s="3" t="s">
        <v>0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14" t="s">
        <v>9</v>
      </c>
      <c r="I3" s="14" t="s">
        <v>10</v>
      </c>
      <c r="J3" s="14" t="s">
        <v>11</v>
      </c>
      <c r="K3" s="14" t="s">
        <v>12</v>
      </c>
      <c r="L3" s="14" t="s">
        <v>10</v>
      </c>
      <c r="M3" s="14" t="s">
        <v>13</v>
      </c>
      <c r="N3" s="14" t="s">
        <v>9</v>
      </c>
      <c r="O3" s="14" t="s">
        <v>12</v>
      </c>
      <c r="P3" s="14" t="s">
        <v>14</v>
      </c>
      <c r="Q3" s="14" t="s">
        <v>7</v>
      </c>
      <c r="R3" s="14" t="s">
        <v>15</v>
      </c>
      <c r="S3" s="14" t="s">
        <v>10</v>
      </c>
      <c r="T3" s="14" t="s">
        <v>16</v>
      </c>
      <c r="U3" s="14" t="s">
        <v>17</v>
      </c>
      <c r="V3" s="14" t="s">
        <v>18</v>
      </c>
      <c r="W3" s="14" t="s">
        <v>19</v>
      </c>
      <c r="X3" s="14" t="s">
        <v>20</v>
      </c>
      <c r="Y3" s="14" t="s">
        <v>21</v>
      </c>
      <c r="Z3" s="14" t="s">
        <v>16</v>
      </c>
      <c r="AA3" s="14" t="s">
        <v>22</v>
      </c>
    </row>
    <row r="4" spans="1:27" x14ac:dyDescent="0.3">
      <c r="A4" s="13" t="s">
        <v>4</v>
      </c>
      <c r="B4" s="13"/>
      <c r="C4" s="4">
        <v>139909906.61000529</v>
      </c>
      <c r="D4" s="4">
        <f>D5</f>
        <v>24650000</v>
      </c>
      <c r="E4" s="4">
        <f t="shared" ref="E4:AA4" si="0">E5</f>
        <v>39308658</v>
      </c>
      <c r="F4" s="4">
        <f t="shared" si="0"/>
        <v>37508658</v>
      </c>
      <c r="G4" s="4">
        <f t="shared" si="0"/>
        <v>400000</v>
      </c>
      <c r="H4" s="4"/>
      <c r="I4" s="4">
        <f t="shared" si="0"/>
        <v>1400000</v>
      </c>
      <c r="J4" s="4">
        <f t="shared" si="0"/>
        <v>34038252</v>
      </c>
      <c r="K4" s="4">
        <f t="shared" si="0"/>
        <v>465800</v>
      </c>
      <c r="L4" s="4">
        <f t="shared" si="0"/>
        <v>33572452</v>
      </c>
      <c r="M4" s="4">
        <f t="shared" si="0"/>
        <v>136549.99999999994</v>
      </c>
      <c r="N4" s="4">
        <f t="shared" si="0"/>
        <v>40000</v>
      </c>
      <c r="O4" s="4">
        <f t="shared" si="0"/>
        <v>96549.999999999942</v>
      </c>
      <c r="P4" s="4">
        <f t="shared" si="0"/>
        <v>9821006</v>
      </c>
      <c r="Q4" s="4">
        <f t="shared" si="0"/>
        <v>1259224.0000000002</v>
      </c>
      <c r="R4" s="4">
        <f t="shared" si="0"/>
        <v>108700</v>
      </c>
      <c r="S4" s="4">
        <f t="shared" si="0"/>
        <v>8365082.0000000009</v>
      </c>
      <c r="T4" s="4">
        <f t="shared" si="0"/>
        <v>88000</v>
      </c>
      <c r="U4" s="4">
        <f t="shared" si="0"/>
        <v>4700000</v>
      </c>
      <c r="V4" s="4">
        <f t="shared" si="0"/>
        <v>31395507.00647549</v>
      </c>
      <c r="W4" s="4">
        <f t="shared" si="0"/>
        <v>1816996.4</v>
      </c>
      <c r="X4" s="4">
        <f t="shared" si="0"/>
        <v>23947073.606475491</v>
      </c>
      <c r="Y4" s="4">
        <f t="shared" si="0"/>
        <v>2151362</v>
      </c>
      <c r="Z4" s="4">
        <f t="shared" si="0"/>
        <v>3480075</v>
      </c>
      <c r="AA4" s="4">
        <f t="shared" si="0"/>
        <v>370934.99999999994</v>
      </c>
    </row>
    <row r="5" spans="1:27" x14ac:dyDescent="0.3">
      <c r="A5" s="13" t="s">
        <v>470</v>
      </c>
      <c r="B5" s="13"/>
      <c r="C5" s="4">
        <v>138193366.61000529</v>
      </c>
      <c r="D5" s="4">
        <f>SUM(D6:D25)</f>
        <v>24650000</v>
      </c>
      <c r="E5" s="4">
        <f t="shared" ref="E5:AA5" si="1">SUM(E6:E25)</f>
        <v>39308658</v>
      </c>
      <c r="F5" s="4">
        <f t="shared" si="1"/>
        <v>37508658</v>
      </c>
      <c r="G5" s="4">
        <f t="shared" si="1"/>
        <v>400000</v>
      </c>
      <c r="H5" s="4"/>
      <c r="I5" s="4">
        <f t="shared" si="1"/>
        <v>1400000</v>
      </c>
      <c r="J5" s="4">
        <f>SUM(J6:J25)</f>
        <v>34038252</v>
      </c>
      <c r="K5" s="4">
        <f t="shared" si="1"/>
        <v>465800</v>
      </c>
      <c r="L5" s="4">
        <f t="shared" si="1"/>
        <v>33572452</v>
      </c>
      <c r="M5" s="4">
        <f t="shared" si="1"/>
        <v>136549.99999999994</v>
      </c>
      <c r="N5" s="4">
        <f t="shared" si="1"/>
        <v>40000</v>
      </c>
      <c r="O5" s="4">
        <f t="shared" si="1"/>
        <v>96549.999999999942</v>
      </c>
      <c r="P5" s="4">
        <f t="shared" si="1"/>
        <v>9821006</v>
      </c>
      <c r="Q5" s="4">
        <f t="shared" si="1"/>
        <v>1259224.0000000002</v>
      </c>
      <c r="R5" s="4">
        <f t="shared" si="1"/>
        <v>108700</v>
      </c>
      <c r="S5" s="4">
        <f t="shared" si="1"/>
        <v>8365082.0000000009</v>
      </c>
      <c r="T5" s="4">
        <f t="shared" si="1"/>
        <v>88000</v>
      </c>
      <c r="U5" s="4">
        <f t="shared" si="1"/>
        <v>4700000</v>
      </c>
      <c r="V5" s="4">
        <f t="shared" si="1"/>
        <v>31395507.00647549</v>
      </c>
      <c r="W5" s="4">
        <f t="shared" si="1"/>
        <v>1816996.4</v>
      </c>
      <c r="X5" s="4">
        <f t="shared" si="1"/>
        <v>23947073.606475491</v>
      </c>
      <c r="Y5" s="4">
        <f t="shared" si="1"/>
        <v>2151362</v>
      </c>
      <c r="Z5" s="4">
        <f t="shared" si="1"/>
        <v>3480075</v>
      </c>
      <c r="AA5" s="4">
        <f t="shared" si="1"/>
        <v>370934.99999999994</v>
      </c>
    </row>
    <row r="6" spans="1:27" x14ac:dyDescent="0.3">
      <c r="A6" s="13" t="s">
        <v>44</v>
      </c>
      <c r="B6" s="13"/>
      <c r="C6" s="4">
        <v>96810</v>
      </c>
      <c r="D6" s="4" t="s">
        <v>0</v>
      </c>
      <c r="E6" s="4"/>
      <c r="F6" s="4" t="s">
        <v>0</v>
      </c>
      <c r="G6" s="4" t="s">
        <v>0</v>
      </c>
      <c r="H6" s="4" t="s">
        <v>0</v>
      </c>
      <c r="I6" s="4" t="s">
        <v>0</v>
      </c>
      <c r="J6" s="4"/>
      <c r="K6" s="4" t="s">
        <v>0</v>
      </c>
      <c r="L6" s="4" t="s">
        <v>0</v>
      </c>
      <c r="M6" s="4">
        <f t="shared" ref="M6:M9" si="2">SUM(N6:O6)</f>
        <v>96549.999999999942</v>
      </c>
      <c r="N6" s="4" t="s">
        <v>0</v>
      </c>
      <c r="O6" s="4">
        <v>96549.999999999942</v>
      </c>
      <c r="P6" s="4"/>
      <c r="Q6" s="4" t="s">
        <v>0</v>
      </c>
      <c r="R6" s="4" t="s">
        <v>0</v>
      </c>
      <c r="S6" s="4" t="s">
        <v>0</v>
      </c>
      <c r="T6" s="4" t="s">
        <v>0</v>
      </c>
      <c r="U6" s="4" t="s">
        <v>0</v>
      </c>
      <c r="V6" s="4">
        <f t="shared" ref="V6:V25" si="3">SUM(W6:Z6)</f>
        <v>1273</v>
      </c>
      <c r="W6" s="4">
        <v>700</v>
      </c>
      <c r="X6" s="4">
        <v>573</v>
      </c>
      <c r="Y6" s="4" t="s">
        <v>0</v>
      </c>
      <c r="Z6" s="4" t="s">
        <v>0</v>
      </c>
      <c r="AA6" s="4" t="s">
        <v>0</v>
      </c>
    </row>
    <row r="7" spans="1:27" x14ac:dyDescent="0.3">
      <c r="A7" s="13" t="s">
        <v>25</v>
      </c>
      <c r="B7" s="13"/>
      <c r="C7" s="4">
        <v>30028838.710000001</v>
      </c>
      <c r="D7" s="4">
        <v>24650000</v>
      </c>
      <c r="E7" s="4"/>
      <c r="F7" s="4" t="s">
        <v>0</v>
      </c>
      <c r="G7" s="4" t="s">
        <v>0</v>
      </c>
      <c r="H7" s="4" t="s">
        <v>0</v>
      </c>
      <c r="I7" s="4" t="s">
        <v>0</v>
      </c>
      <c r="J7" s="4"/>
      <c r="K7" s="4" t="s">
        <v>0</v>
      </c>
      <c r="L7" s="4" t="s">
        <v>0</v>
      </c>
      <c r="M7" s="4"/>
      <c r="N7" s="4" t="s">
        <v>0</v>
      </c>
      <c r="O7" s="4" t="s">
        <v>0</v>
      </c>
      <c r="P7" s="4"/>
      <c r="Q7" s="4" t="s">
        <v>0</v>
      </c>
      <c r="R7" s="4" t="s">
        <v>0</v>
      </c>
      <c r="S7" s="4" t="s">
        <v>0</v>
      </c>
      <c r="T7" s="4" t="s">
        <v>0</v>
      </c>
      <c r="U7" s="4">
        <v>4700000</v>
      </c>
      <c r="V7" s="4">
        <f t="shared" si="3"/>
        <v>704151.23</v>
      </c>
      <c r="W7" s="4">
        <v>606800</v>
      </c>
      <c r="X7" s="4">
        <v>77551.23</v>
      </c>
      <c r="Y7" s="4" t="s">
        <v>0</v>
      </c>
      <c r="Z7" s="4">
        <v>19800</v>
      </c>
      <c r="AA7" s="4" t="s">
        <v>0</v>
      </c>
    </row>
    <row r="8" spans="1:27" x14ac:dyDescent="0.3">
      <c r="A8" s="13" t="s">
        <v>45</v>
      </c>
      <c r="B8" s="13"/>
      <c r="C8" s="4">
        <v>9278180.629999999</v>
      </c>
      <c r="D8" s="4" t="s">
        <v>0</v>
      </c>
      <c r="E8" s="4">
        <f t="shared" ref="E8:E24" si="4">SUM(F8:I8)</f>
        <v>7868600</v>
      </c>
      <c r="F8" s="4">
        <v>7868600</v>
      </c>
      <c r="G8" s="4" t="s">
        <v>0</v>
      </c>
      <c r="H8" s="4" t="s">
        <v>0</v>
      </c>
      <c r="I8" s="4" t="s">
        <v>0</v>
      </c>
      <c r="J8" s="4">
        <f t="shared" ref="J8:J25" si="5">SUM(K8:L8)</f>
        <v>922064.00000000012</v>
      </c>
      <c r="K8" s="4" t="s">
        <v>0</v>
      </c>
      <c r="L8" s="4">
        <v>922064.00000000012</v>
      </c>
      <c r="M8" s="4"/>
      <c r="N8" s="4" t="s">
        <v>0</v>
      </c>
      <c r="O8" s="4" t="s">
        <v>0</v>
      </c>
      <c r="P8" s="4"/>
      <c r="Q8" s="4" t="s">
        <v>0</v>
      </c>
      <c r="R8" s="4" t="s">
        <v>0</v>
      </c>
      <c r="S8" s="4" t="s">
        <v>0</v>
      </c>
      <c r="T8" s="4" t="s">
        <v>0</v>
      </c>
      <c r="U8" s="4" t="s">
        <v>0</v>
      </c>
      <c r="V8" s="4">
        <f t="shared" si="3"/>
        <v>571998.24</v>
      </c>
      <c r="W8" s="4">
        <v>17599</v>
      </c>
      <c r="X8" s="4">
        <v>98189.239999999991</v>
      </c>
      <c r="Y8" s="4">
        <v>79300</v>
      </c>
      <c r="Z8" s="4">
        <v>376909.99999999994</v>
      </c>
      <c r="AA8" s="4" t="s">
        <v>0</v>
      </c>
    </row>
    <row r="9" spans="1:27" x14ac:dyDescent="0.3">
      <c r="A9" s="13" t="s">
        <v>27</v>
      </c>
      <c r="B9" s="13"/>
      <c r="C9" s="4">
        <v>10775105</v>
      </c>
      <c r="D9" s="4" t="s">
        <v>0</v>
      </c>
      <c r="E9" s="4">
        <f t="shared" si="4"/>
        <v>6106058</v>
      </c>
      <c r="F9" s="4">
        <v>6106058</v>
      </c>
      <c r="G9" s="4" t="s">
        <v>0</v>
      </c>
      <c r="H9" s="4" t="s">
        <v>0</v>
      </c>
      <c r="I9" s="4" t="s">
        <v>0</v>
      </c>
      <c r="J9" s="4">
        <f t="shared" si="5"/>
        <v>3779526.9999999995</v>
      </c>
      <c r="K9" s="4" t="s">
        <v>0</v>
      </c>
      <c r="L9" s="4">
        <v>3779526.9999999995</v>
      </c>
      <c r="M9" s="4">
        <f t="shared" si="2"/>
        <v>40000</v>
      </c>
      <c r="N9" s="4">
        <v>40000</v>
      </c>
      <c r="O9" s="4" t="s">
        <v>0</v>
      </c>
      <c r="P9" s="4">
        <f t="shared" ref="P9:P25" si="6">SUM(Q9:T9)</f>
        <v>530441</v>
      </c>
      <c r="Q9" s="4" t="s">
        <v>0</v>
      </c>
      <c r="R9" s="4" t="s">
        <v>0</v>
      </c>
      <c r="S9" s="4">
        <v>530441</v>
      </c>
      <c r="T9" s="4" t="s">
        <v>0</v>
      </c>
      <c r="U9" s="4" t="s">
        <v>0</v>
      </c>
      <c r="V9" s="4">
        <f t="shared" si="3"/>
        <v>309029</v>
      </c>
      <c r="W9" s="4">
        <v>15086</v>
      </c>
      <c r="X9" s="4">
        <v>20703</v>
      </c>
      <c r="Y9" s="4">
        <v>32800</v>
      </c>
      <c r="Z9" s="4">
        <v>240440</v>
      </c>
      <c r="AA9" s="4">
        <v>10000</v>
      </c>
    </row>
    <row r="10" spans="1:27" x14ac:dyDescent="0.3">
      <c r="A10" s="13" t="s">
        <v>28</v>
      </c>
      <c r="B10" s="13"/>
      <c r="C10" s="4">
        <v>11502989.109999999</v>
      </c>
      <c r="D10" s="4" t="s">
        <v>0</v>
      </c>
      <c r="E10" s="4">
        <f t="shared" si="4"/>
        <v>7500000</v>
      </c>
      <c r="F10" s="4">
        <v>6100000</v>
      </c>
      <c r="G10" s="4" t="s">
        <v>0</v>
      </c>
      <c r="H10" s="4" t="s">
        <v>0</v>
      </c>
      <c r="I10" s="4">
        <v>1400000</v>
      </c>
      <c r="J10" s="4">
        <f t="shared" si="5"/>
        <v>3386900.0000000005</v>
      </c>
      <c r="K10" s="4" t="s">
        <v>0</v>
      </c>
      <c r="L10" s="4">
        <v>3386900.0000000005</v>
      </c>
      <c r="M10" s="4"/>
      <c r="N10" s="4" t="s">
        <v>0</v>
      </c>
      <c r="O10" s="4" t="s">
        <v>0</v>
      </c>
      <c r="P10" s="4">
        <f t="shared" si="6"/>
        <v>350460.00000000006</v>
      </c>
      <c r="Q10" s="4" t="s">
        <v>0</v>
      </c>
      <c r="R10" s="4" t="s">
        <v>0</v>
      </c>
      <c r="S10" s="4">
        <v>350460.00000000006</v>
      </c>
      <c r="T10" s="4" t="s">
        <v>0</v>
      </c>
      <c r="U10" s="4" t="s">
        <v>0</v>
      </c>
      <c r="V10" s="4">
        <f t="shared" si="3"/>
        <v>634409.14999999991</v>
      </c>
      <c r="W10" s="4">
        <v>7200</v>
      </c>
      <c r="X10" s="4">
        <v>47979.149999999994</v>
      </c>
      <c r="Y10" s="4">
        <v>34000</v>
      </c>
      <c r="Z10" s="4">
        <v>545229.99999999988</v>
      </c>
      <c r="AA10" s="4" t="s">
        <v>0</v>
      </c>
    </row>
    <row r="11" spans="1:27" x14ac:dyDescent="0.3">
      <c r="A11" s="13" t="s">
        <v>29</v>
      </c>
      <c r="B11" s="13"/>
      <c r="C11" s="4">
        <v>11477485.75</v>
      </c>
      <c r="D11" s="4" t="s">
        <v>0</v>
      </c>
      <c r="E11" s="4">
        <f t="shared" si="4"/>
        <v>6044000</v>
      </c>
      <c r="F11" s="4">
        <v>6044000</v>
      </c>
      <c r="G11" s="4" t="s">
        <v>0</v>
      </c>
      <c r="H11" s="4" t="s">
        <v>0</v>
      </c>
      <c r="I11" s="4" t="s">
        <v>0</v>
      </c>
      <c r="J11" s="4">
        <f t="shared" si="5"/>
        <v>5060845</v>
      </c>
      <c r="K11" s="4" t="s">
        <v>0</v>
      </c>
      <c r="L11" s="4">
        <v>5060845</v>
      </c>
      <c r="M11" s="4"/>
      <c r="N11" s="4" t="s">
        <v>0</v>
      </c>
      <c r="O11" s="4" t="s">
        <v>0</v>
      </c>
      <c r="P11" s="4"/>
      <c r="Q11" s="4" t="s">
        <v>0</v>
      </c>
      <c r="R11" s="4" t="s">
        <v>0</v>
      </c>
      <c r="S11" s="4" t="s">
        <v>0</v>
      </c>
      <c r="T11" s="4" t="s">
        <v>0</v>
      </c>
      <c r="U11" s="4" t="s">
        <v>0</v>
      </c>
      <c r="V11" s="4">
        <f t="shared" si="3"/>
        <v>389955.255</v>
      </c>
      <c r="W11" s="4">
        <v>2810</v>
      </c>
      <c r="X11" s="4">
        <v>38685.254999999983</v>
      </c>
      <c r="Y11" s="4">
        <v>39500</v>
      </c>
      <c r="Z11" s="4">
        <v>308960</v>
      </c>
      <c r="AA11" s="4" t="s">
        <v>0</v>
      </c>
    </row>
    <row r="12" spans="1:27" x14ac:dyDescent="0.3">
      <c r="A12" s="13" t="s">
        <v>30</v>
      </c>
      <c r="B12" s="13"/>
      <c r="C12" s="4">
        <v>9562487.3649999984</v>
      </c>
      <c r="D12" s="4" t="s">
        <v>0</v>
      </c>
      <c r="E12" s="4">
        <f t="shared" si="4"/>
        <v>6440000</v>
      </c>
      <c r="F12" s="4">
        <v>6040000</v>
      </c>
      <c r="G12" s="4">
        <v>400000</v>
      </c>
      <c r="H12" s="4" t="s">
        <v>0</v>
      </c>
      <c r="I12" s="4" t="s">
        <v>0</v>
      </c>
      <c r="J12" s="4">
        <f t="shared" si="5"/>
        <v>2971899.9999999995</v>
      </c>
      <c r="K12" s="4" t="s">
        <v>0</v>
      </c>
      <c r="L12" s="4">
        <v>2971899.9999999995</v>
      </c>
      <c r="M12" s="4"/>
      <c r="N12" s="4" t="s">
        <v>0</v>
      </c>
      <c r="O12" s="4" t="s">
        <v>0</v>
      </c>
      <c r="P12" s="4"/>
      <c r="Q12" s="4" t="s">
        <v>0</v>
      </c>
      <c r="R12" s="4" t="s">
        <v>0</v>
      </c>
      <c r="S12" s="4" t="s">
        <v>0</v>
      </c>
      <c r="T12" s="4" t="s">
        <v>0</v>
      </c>
      <c r="U12" s="4" t="s">
        <v>0</v>
      </c>
      <c r="V12" s="4">
        <f t="shared" si="3"/>
        <v>166886.86499999999</v>
      </c>
      <c r="W12" s="4" t="s">
        <v>0</v>
      </c>
      <c r="X12" s="4">
        <v>81106.864999999991</v>
      </c>
      <c r="Y12" s="4">
        <v>3000</v>
      </c>
      <c r="Z12" s="4">
        <v>82780</v>
      </c>
      <c r="AA12" s="4" t="s">
        <v>0</v>
      </c>
    </row>
    <row r="13" spans="1:27" x14ac:dyDescent="0.3">
      <c r="A13" s="13" t="s">
        <v>31</v>
      </c>
      <c r="B13" s="13"/>
      <c r="C13" s="4">
        <v>3193168.9999999991</v>
      </c>
      <c r="D13" s="4" t="s">
        <v>0</v>
      </c>
      <c r="E13" s="4"/>
      <c r="F13" s="4" t="s">
        <v>0</v>
      </c>
      <c r="G13" s="4" t="s">
        <v>0</v>
      </c>
      <c r="H13" s="4" t="s">
        <v>0</v>
      </c>
      <c r="I13" s="4" t="s">
        <v>0</v>
      </c>
      <c r="J13" s="4">
        <f t="shared" si="5"/>
        <v>3176000</v>
      </c>
      <c r="K13" s="4" t="s">
        <v>0</v>
      </c>
      <c r="L13" s="4">
        <v>3176000</v>
      </c>
      <c r="M13" s="4"/>
      <c r="N13" s="4" t="s">
        <v>0</v>
      </c>
      <c r="O13" s="4" t="s">
        <v>0</v>
      </c>
      <c r="P13" s="4"/>
      <c r="Q13" s="4" t="s">
        <v>0</v>
      </c>
      <c r="R13" s="4" t="s">
        <v>0</v>
      </c>
      <c r="S13" s="4" t="s">
        <v>0</v>
      </c>
      <c r="T13" s="4" t="s">
        <v>0</v>
      </c>
      <c r="U13" s="4" t="s">
        <v>0</v>
      </c>
      <c r="V13" s="4">
        <f t="shared" si="3"/>
        <v>14469.000000000002</v>
      </c>
      <c r="W13" s="4" t="s">
        <v>0</v>
      </c>
      <c r="X13" s="4">
        <v>14469.000000000002</v>
      </c>
      <c r="Y13" s="4" t="s">
        <v>0</v>
      </c>
      <c r="Z13" s="4" t="s">
        <v>0</v>
      </c>
      <c r="AA13" s="4" t="s">
        <v>0</v>
      </c>
    </row>
    <row r="14" spans="1:27" x14ac:dyDescent="0.3">
      <c r="A14" s="13" t="s">
        <v>32</v>
      </c>
      <c r="B14" s="13"/>
      <c r="C14" s="4">
        <v>2471016.6</v>
      </c>
      <c r="D14" s="4" t="s">
        <v>0</v>
      </c>
      <c r="E14" s="4"/>
      <c r="F14" s="4" t="s">
        <v>0</v>
      </c>
      <c r="G14" s="4" t="s">
        <v>0</v>
      </c>
      <c r="H14" s="4" t="s">
        <v>0</v>
      </c>
      <c r="I14" s="4" t="s">
        <v>0</v>
      </c>
      <c r="J14" s="4">
        <f t="shared" si="5"/>
        <v>2261750</v>
      </c>
      <c r="K14" s="4" t="s">
        <v>0</v>
      </c>
      <c r="L14" s="4">
        <v>2261750</v>
      </c>
      <c r="M14" s="4"/>
      <c r="N14" s="4" t="s">
        <v>0</v>
      </c>
      <c r="O14" s="4" t="s">
        <v>0</v>
      </c>
      <c r="P14" s="4"/>
      <c r="Q14" s="4" t="s">
        <v>0</v>
      </c>
      <c r="R14" s="4" t="s">
        <v>0</v>
      </c>
      <c r="S14" s="4" t="s">
        <v>0</v>
      </c>
      <c r="T14" s="4" t="s">
        <v>0</v>
      </c>
      <c r="U14" s="4" t="s">
        <v>0</v>
      </c>
      <c r="V14" s="4">
        <f t="shared" si="3"/>
        <v>209266.6</v>
      </c>
      <c r="W14" s="4" t="s">
        <v>0</v>
      </c>
      <c r="X14" s="4">
        <v>4266.6000000000004</v>
      </c>
      <c r="Y14" s="4" t="s">
        <v>0</v>
      </c>
      <c r="Z14" s="4">
        <v>205000</v>
      </c>
      <c r="AA14" s="4" t="s">
        <v>0</v>
      </c>
    </row>
    <row r="15" spans="1:27" x14ac:dyDescent="0.3">
      <c r="A15" s="13" t="s">
        <v>33</v>
      </c>
      <c r="B15" s="13"/>
      <c r="C15" s="4">
        <v>2284570.33</v>
      </c>
      <c r="D15" s="4" t="s">
        <v>0</v>
      </c>
      <c r="E15" s="4"/>
      <c r="F15" s="4" t="s">
        <v>0</v>
      </c>
      <c r="G15" s="4" t="s">
        <v>0</v>
      </c>
      <c r="H15" s="4" t="s">
        <v>0</v>
      </c>
      <c r="I15" s="4" t="s">
        <v>0</v>
      </c>
      <c r="J15" s="4"/>
      <c r="K15" s="4" t="s">
        <v>0</v>
      </c>
      <c r="L15" s="4" t="s">
        <v>0</v>
      </c>
      <c r="M15" s="4"/>
      <c r="N15" s="4" t="s">
        <v>0</v>
      </c>
      <c r="O15" s="4" t="s">
        <v>0</v>
      </c>
      <c r="P15" s="4">
        <f t="shared" si="6"/>
        <v>2276534</v>
      </c>
      <c r="Q15" s="4" t="s">
        <v>0</v>
      </c>
      <c r="R15" s="4">
        <v>82400</v>
      </c>
      <c r="S15" s="4">
        <v>2194134</v>
      </c>
      <c r="T15" s="4" t="s">
        <v>0</v>
      </c>
      <c r="U15" s="4" t="s">
        <v>0</v>
      </c>
      <c r="V15" s="4">
        <f t="shared" si="3"/>
        <v>25614.120000000003</v>
      </c>
      <c r="W15" s="4" t="s">
        <v>0</v>
      </c>
      <c r="X15" s="4">
        <v>8114.1200000000017</v>
      </c>
      <c r="Y15" s="4" t="s">
        <v>0</v>
      </c>
      <c r="Z15" s="4">
        <v>17500</v>
      </c>
      <c r="AA15" s="4">
        <v>40440</v>
      </c>
    </row>
    <row r="16" spans="1:27" x14ac:dyDescent="0.3">
      <c r="A16" s="13" t="s">
        <v>34</v>
      </c>
      <c r="B16" s="13"/>
      <c r="C16" s="4">
        <v>2086638</v>
      </c>
      <c r="D16" s="4" t="s">
        <v>0</v>
      </c>
      <c r="E16" s="4">
        <f t="shared" si="4"/>
        <v>2080000</v>
      </c>
      <c r="F16" s="4">
        <v>2080000</v>
      </c>
      <c r="G16" s="4" t="s">
        <v>0</v>
      </c>
      <c r="H16" s="4" t="s">
        <v>0</v>
      </c>
      <c r="I16" s="4" t="s">
        <v>0</v>
      </c>
      <c r="J16" s="4"/>
      <c r="K16" s="4" t="s">
        <v>0</v>
      </c>
      <c r="L16" s="4" t="s">
        <v>0</v>
      </c>
      <c r="M16" s="4"/>
      <c r="N16" s="4" t="s">
        <v>0</v>
      </c>
      <c r="O16" s="4" t="s">
        <v>0</v>
      </c>
      <c r="P16" s="4"/>
      <c r="Q16" s="4" t="s">
        <v>0</v>
      </c>
      <c r="R16" s="4" t="s">
        <v>0</v>
      </c>
      <c r="S16" s="4" t="s">
        <v>0</v>
      </c>
      <c r="T16" s="4" t="s">
        <v>0</v>
      </c>
      <c r="U16" s="4" t="s">
        <v>0</v>
      </c>
      <c r="V16" s="4">
        <f t="shared" si="3"/>
        <v>6638</v>
      </c>
      <c r="W16" s="4">
        <v>5000</v>
      </c>
      <c r="X16" s="4">
        <v>1638</v>
      </c>
      <c r="Y16" s="4" t="s">
        <v>0</v>
      </c>
      <c r="Z16" s="4" t="s">
        <v>0</v>
      </c>
      <c r="AA16" s="4" t="s">
        <v>0</v>
      </c>
    </row>
    <row r="17" spans="1:27" x14ac:dyDescent="0.3">
      <c r="A17" s="13" t="s">
        <v>35</v>
      </c>
      <c r="B17" s="13"/>
      <c r="C17" s="4">
        <v>1980899.9999999998</v>
      </c>
      <c r="D17" s="4" t="s">
        <v>0</v>
      </c>
      <c r="E17" s="4"/>
      <c r="F17" s="4" t="s">
        <v>0</v>
      </c>
      <c r="G17" s="4" t="s">
        <v>0</v>
      </c>
      <c r="H17" s="4" t="s">
        <v>0</v>
      </c>
      <c r="I17" s="4" t="s">
        <v>0</v>
      </c>
      <c r="J17" s="4">
        <f t="shared" si="5"/>
        <v>1855500</v>
      </c>
      <c r="K17" s="4">
        <v>465800</v>
      </c>
      <c r="L17" s="4">
        <v>1389700</v>
      </c>
      <c r="M17" s="4"/>
      <c r="N17" s="4" t="s">
        <v>0</v>
      </c>
      <c r="O17" s="4" t="s">
        <v>0</v>
      </c>
      <c r="P17" s="4"/>
      <c r="Q17" s="4" t="s">
        <v>0</v>
      </c>
      <c r="R17" s="4" t="s">
        <v>0</v>
      </c>
      <c r="S17" s="4" t="s">
        <v>0</v>
      </c>
      <c r="T17" s="4" t="s">
        <v>0</v>
      </c>
      <c r="U17" s="4" t="s">
        <v>0</v>
      </c>
      <c r="V17" s="4">
        <f t="shared" si="3"/>
        <v>125399.99999999999</v>
      </c>
      <c r="W17" s="4" t="s">
        <v>0</v>
      </c>
      <c r="X17" s="4" t="s">
        <v>0</v>
      </c>
      <c r="Y17" s="4" t="s">
        <v>0</v>
      </c>
      <c r="Z17" s="4">
        <v>125399.99999999999</v>
      </c>
      <c r="AA17" s="4" t="s">
        <v>0</v>
      </c>
    </row>
    <row r="18" spans="1:27" x14ac:dyDescent="0.3">
      <c r="A18" s="13" t="s">
        <v>36</v>
      </c>
      <c r="B18" s="13"/>
      <c r="C18" s="4">
        <v>1718661.83</v>
      </c>
      <c r="D18" s="4" t="s">
        <v>0</v>
      </c>
      <c r="E18" s="4"/>
      <c r="F18" s="4" t="s">
        <v>0</v>
      </c>
      <c r="G18" s="4" t="s">
        <v>0</v>
      </c>
      <c r="H18" s="4" t="s">
        <v>0</v>
      </c>
      <c r="I18" s="4" t="s">
        <v>0</v>
      </c>
      <c r="J18" s="4">
        <f t="shared" si="5"/>
        <v>1716800</v>
      </c>
      <c r="K18" s="4" t="s">
        <v>0</v>
      </c>
      <c r="L18" s="4">
        <v>1716800</v>
      </c>
      <c r="M18" s="4"/>
      <c r="N18" s="4" t="s">
        <v>0</v>
      </c>
      <c r="O18" s="4" t="s">
        <v>0</v>
      </c>
      <c r="P18" s="4"/>
      <c r="Q18" s="4" t="s">
        <v>0</v>
      </c>
      <c r="R18" s="4" t="s">
        <v>0</v>
      </c>
      <c r="S18" s="4" t="s">
        <v>0</v>
      </c>
      <c r="T18" s="4" t="s">
        <v>0</v>
      </c>
      <c r="U18" s="4" t="s">
        <v>0</v>
      </c>
      <c r="V18" s="4">
        <f t="shared" si="3"/>
        <v>1861.83</v>
      </c>
      <c r="W18" s="4" t="s">
        <v>0</v>
      </c>
      <c r="X18" s="4">
        <v>1861.83</v>
      </c>
      <c r="Y18" s="4" t="s">
        <v>0</v>
      </c>
      <c r="Z18" s="4" t="s">
        <v>0</v>
      </c>
      <c r="AA18" s="4" t="s">
        <v>0</v>
      </c>
    </row>
    <row r="19" spans="1:27" x14ac:dyDescent="0.3">
      <c r="A19" s="13" t="s">
        <v>37</v>
      </c>
      <c r="B19" s="13"/>
      <c r="C19" s="4">
        <v>1714999.9999999998</v>
      </c>
      <c r="D19" s="4" t="s">
        <v>0</v>
      </c>
      <c r="E19" s="4"/>
      <c r="F19" s="4" t="s">
        <v>0</v>
      </c>
      <c r="G19" s="4" t="s">
        <v>0</v>
      </c>
      <c r="H19" s="4" t="s">
        <v>0</v>
      </c>
      <c r="I19" s="4" t="s">
        <v>0</v>
      </c>
      <c r="J19" s="4">
        <f t="shared" si="5"/>
        <v>1695199.9999999998</v>
      </c>
      <c r="K19" s="4" t="s">
        <v>0</v>
      </c>
      <c r="L19" s="4">
        <v>1695199.9999999998</v>
      </c>
      <c r="M19" s="4"/>
      <c r="N19" s="4" t="s">
        <v>0</v>
      </c>
      <c r="O19" s="4" t="s">
        <v>0</v>
      </c>
      <c r="P19" s="4"/>
      <c r="Q19" s="4" t="s">
        <v>0</v>
      </c>
      <c r="R19" s="4" t="s">
        <v>0</v>
      </c>
      <c r="S19" s="4" t="s">
        <v>0</v>
      </c>
      <c r="T19" s="4" t="s">
        <v>0</v>
      </c>
      <c r="U19" s="4" t="s">
        <v>0</v>
      </c>
      <c r="V19" s="4">
        <f t="shared" si="3"/>
        <v>19800</v>
      </c>
      <c r="W19" s="4" t="s">
        <v>0</v>
      </c>
      <c r="X19" s="4" t="s">
        <v>0</v>
      </c>
      <c r="Y19" s="4" t="s">
        <v>0</v>
      </c>
      <c r="Z19" s="4">
        <v>19800</v>
      </c>
      <c r="AA19" s="4" t="s">
        <v>0</v>
      </c>
    </row>
    <row r="20" spans="1:27" x14ac:dyDescent="0.3">
      <c r="A20" s="13" t="s">
        <v>38</v>
      </c>
      <c r="B20" s="13"/>
      <c r="C20" s="4">
        <v>1450664</v>
      </c>
      <c r="D20" s="4" t="s">
        <v>0</v>
      </c>
      <c r="E20" s="4"/>
      <c r="F20" s="4" t="s">
        <v>0</v>
      </c>
      <c r="G20" s="4" t="s">
        <v>0</v>
      </c>
      <c r="H20" s="4" t="s">
        <v>0</v>
      </c>
      <c r="I20" s="4" t="s">
        <v>0</v>
      </c>
      <c r="J20" s="4">
        <f t="shared" si="5"/>
        <v>1450000</v>
      </c>
      <c r="K20" s="4" t="s">
        <v>0</v>
      </c>
      <c r="L20" s="4">
        <v>1450000</v>
      </c>
      <c r="M20" s="4"/>
      <c r="N20" s="4" t="s">
        <v>0</v>
      </c>
      <c r="O20" s="4" t="s">
        <v>0</v>
      </c>
      <c r="P20" s="4"/>
      <c r="Q20" s="4" t="s">
        <v>0</v>
      </c>
      <c r="R20" s="4" t="s">
        <v>0</v>
      </c>
      <c r="S20" s="4" t="s">
        <v>0</v>
      </c>
      <c r="T20" s="4" t="s">
        <v>0</v>
      </c>
      <c r="U20" s="4" t="s">
        <v>0</v>
      </c>
      <c r="V20" s="4">
        <f t="shared" si="3"/>
        <v>664</v>
      </c>
      <c r="W20" s="4" t="s">
        <v>0</v>
      </c>
      <c r="X20" s="4">
        <v>664</v>
      </c>
      <c r="Y20" s="4" t="s">
        <v>0</v>
      </c>
      <c r="Z20" s="4" t="s">
        <v>0</v>
      </c>
      <c r="AA20" s="4" t="s">
        <v>0</v>
      </c>
    </row>
    <row r="21" spans="1:27" x14ac:dyDescent="0.3">
      <c r="A21" s="13" t="s">
        <v>39</v>
      </c>
      <c r="B21" s="13"/>
      <c r="C21" s="4">
        <v>1440837.12</v>
      </c>
      <c r="D21" s="4" t="s">
        <v>0</v>
      </c>
      <c r="E21" s="4"/>
      <c r="F21" s="4" t="s">
        <v>0</v>
      </c>
      <c r="G21" s="4" t="s">
        <v>0</v>
      </c>
      <c r="H21" s="4" t="s">
        <v>0</v>
      </c>
      <c r="I21" s="4" t="s">
        <v>0</v>
      </c>
      <c r="J21" s="4"/>
      <c r="K21" s="4" t="s">
        <v>0</v>
      </c>
      <c r="L21" s="4" t="s">
        <v>0</v>
      </c>
      <c r="M21" s="4"/>
      <c r="N21" s="4" t="s">
        <v>0</v>
      </c>
      <c r="O21" s="4" t="s">
        <v>0</v>
      </c>
      <c r="P21" s="4">
        <f t="shared" si="6"/>
        <v>1413380</v>
      </c>
      <c r="Q21" s="4" t="s">
        <v>0</v>
      </c>
      <c r="R21" s="4" t="s">
        <v>0</v>
      </c>
      <c r="S21" s="4">
        <v>1413380</v>
      </c>
      <c r="T21" s="4" t="s">
        <v>0</v>
      </c>
      <c r="U21" s="4" t="s">
        <v>0</v>
      </c>
      <c r="V21" s="4">
        <f t="shared" si="3"/>
        <v>28451.68</v>
      </c>
      <c r="W21" s="4">
        <v>1030</v>
      </c>
      <c r="X21" s="4">
        <v>5011.6799999999994</v>
      </c>
      <c r="Y21" s="4">
        <v>7050</v>
      </c>
      <c r="Z21" s="4">
        <v>15360</v>
      </c>
      <c r="AA21" s="4" t="s">
        <v>0</v>
      </c>
    </row>
    <row r="22" spans="1:27" x14ac:dyDescent="0.3">
      <c r="A22" s="13" t="s">
        <v>40</v>
      </c>
      <c r="B22" s="13"/>
      <c r="C22" s="4">
        <v>1377488.03</v>
      </c>
      <c r="D22" s="4" t="s">
        <v>0</v>
      </c>
      <c r="E22" s="4"/>
      <c r="F22" s="4" t="s">
        <v>0</v>
      </c>
      <c r="G22" s="4" t="s">
        <v>0</v>
      </c>
      <c r="H22" s="4" t="s">
        <v>0</v>
      </c>
      <c r="I22" s="4" t="s">
        <v>0</v>
      </c>
      <c r="J22" s="4"/>
      <c r="K22" s="4" t="s">
        <v>0</v>
      </c>
      <c r="L22" s="4" t="s">
        <v>0</v>
      </c>
      <c r="M22" s="4"/>
      <c r="N22" s="4" t="s">
        <v>0</v>
      </c>
      <c r="O22" s="4" t="s">
        <v>0</v>
      </c>
      <c r="P22" s="4"/>
      <c r="Q22" s="4" t="s">
        <v>0</v>
      </c>
      <c r="R22" s="4" t="s">
        <v>0</v>
      </c>
      <c r="S22" s="4" t="s">
        <v>0</v>
      </c>
      <c r="T22" s="4" t="s">
        <v>0</v>
      </c>
      <c r="U22" s="4" t="s">
        <v>0</v>
      </c>
      <c r="V22" s="4">
        <f t="shared" si="3"/>
        <v>1381984.895</v>
      </c>
      <c r="W22" s="4">
        <v>1094457</v>
      </c>
      <c r="X22" s="4">
        <v>25527.894999999997</v>
      </c>
      <c r="Y22" s="4">
        <v>8000</v>
      </c>
      <c r="Z22" s="4">
        <v>254000</v>
      </c>
      <c r="AA22" s="4" t="s">
        <v>0</v>
      </c>
    </row>
    <row r="23" spans="1:27" x14ac:dyDescent="0.3">
      <c r="A23" s="13" t="s">
        <v>41</v>
      </c>
      <c r="B23" s="13"/>
      <c r="C23" s="4">
        <v>1199973.2</v>
      </c>
      <c r="D23" s="4" t="s">
        <v>0</v>
      </c>
      <c r="E23" s="4">
        <f t="shared" si="4"/>
        <v>1190000</v>
      </c>
      <c r="F23" s="4">
        <v>1190000</v>
      </c>
      <c r="G23" s="4" t="s">
        <v>0</v>
      </c>
      <c r="H23" s="4" t="s">
        <v>0</v>
      </c>
      <c r="I23" s="4" t="s">
        <v>0</v>
      </c>
      <c r="J23" s="4"/>
      <c r="K23" s="4" t="s">
        <v>0</v>
      </c>
      <c r="L23" s="4" t="s">
        <v>0</v>
      </c>
      <c r="M23" s="4"/>
      <c r="N23" s="4" t="s">
        <v>0</v>
      </c>
      <c r="O23" s="4" t="s">
        <v>0</v>
      </c>
      <c r="P23" s="4"/>
      <c r="Q23" s="4" t="s">
        <v>0</v>
      </c>
      <c r="R23" s="4" t="s">
        <v>0</v>
      </c>
      <c r="S23" s="4" t="s">
        <v>0</v>
      </c>
      <c r="T23" s="4" t="s">
        <v>0</v>
      </c>
      <c r="U23" s="4" t="s">
        <v>0</v>
      </c>
      <c r="V23" s="4">
        <f t="shared" si="3"/>
        <v>9973.2000000000007</v>
      </c>
      <c r="W23" s="4">
        <v>4872</v>
      </c>
      <c r="X23" s="4">
        <v>5101.2000000000007</v>
      </c>
      <c r="Y23" s="4" t="s">
        <v>0</v>
      </c>
      <c r="Z23" s="4" t="s">
        <v>0</v>
      </c>
      <c r="AA23" s="4" t="s">
        <v>0</v>
      </c>
    </row>
    <row r="24" spans="1:27" x14ac:dyDescent="0.3">
      <c r="A24" s="13" t="s">
        <v>42</v>
      </c>
      <c r="B24" s="13"/>
      <c r="C24" s="4">
        <v>1040000</v>
      </c>
      <c r="D24" s="4" t="s">
        <v>0</v>
      </c>
      <c r="E24" s="4">
        <f t="shared" si="4"/>
        <v>2080000</v>
      </c>
      <c r="F24" s="4">
        <v>2080000</v>
      </c>
      <c r="G24" s="4" t="s">
        <v>0</v>
      </c>
      <c r="H24" s="4" t="s">
        <v>0</v>
      </c>
      <c r="I24" s="4" t="s">
        <v>0</v>
      </c>
      <c r="J24" s="4"/>
      <c r="K24" s="4" t="s">
        <v>0</v>
      </c>
      <c r="L24" s="4" t="s">
        <v>0</v>
      </c>
      <c r="M24" s="4"/>
      <c r="N24" s="4" t="s">
        <v>0</v>
      </c>
      <c r="O24" s="4" t="s">
        <v>0</v>
      </c>
      <c r="P24" s="4"/>
      <c r="Q24" s="4" t="s">
        <v>0</v>
      </c>
      <c r="R24" s="4" t="s">
        <v>0</v>
      </c>
      <c r="S24" s="4" t="s">
        <v>0</v>
      </c>
      <c r="T24" s="4" t="s">
        <v>0</v>
      </c>
      <c r="U24" s="4" t="s">
        <v>0</v>
      </c>
      <c r="V24" s="4">
        <f t="shared" si="3"/>
        <v>0</v>
      </c>
      <c r="W24" s="4" t="s">
        <v>0</v>
      </c>
      <c r="X24" s="4" t="s">
        <v>0</v>
      </c>
      <c r="Y24" s="4" t="s">
        <v>0</v>
      </c>
      <c r="Z24" s="4" t="s">
        <v>0</v>
      </c>
      <c r="AA24" s="4"/>
    </row>
    <row r="25" spans="1:27" x14ac:dyDescent="0.3">
      <c r="A25" s="13" t="s">
        <v>22</v>
      </c>
      <c r="B25" s="13"/>
      <c r="C25" s="4">
        <v>33512551.935005292</v>
      </c>
      <c r="D25" s="4" t="s">
        <v>0</v>
      </c>
      <c r="E25" s="4"/>
      <c r="F25" s="4" t="s">
        <v>0</v>
      </c>
      <c r="G25" s="4" t="s">
        <v>0</v>
      </c>
      <c r="H25" s="4" t="s">
        <v>0</v>
      </c>
      <c r="I25" s="4" t="s">
        <v>0</v>
      </c>
      <c r="J25" s="4">
        <f t="shared" si="5"/>
        <v>5761766.0000000019</v>
      </c>
      <c r="K25" s="4" t="s">
        <v>0</v>
      </c>
      <c r="L25" s="4">
        <v>5761766.0000000019</v>
      </c>
      <c r="M25" s="4"/>
      <c r="N25" s="4" t="s">
        <v>0</v>
      </c>
      <c r="O25" s="4" t="s">
        <v>0</v>
      </c>
      <c r="P25" s="4">
        <f t="shared" si="6"/>
        <v>5250191.0000000009</v>
      </c>
      <c r="Q25" s="4">
        <v>1259224.0000000002</v>
      </c>
      <c r="R25" s="4">
        <v>26300</v>
      </c>
      <c r="S25" s="4">
        <v>3876667.0000000009</v>
      </c>
      <c r="T25" s="4">
        <v>88000</v>
      </c>
      <c r="U25" s="4" t="s">
        <v>0</v>
      </c>
      <c r="V25" s="4">
        <f t="shared" si="3"/>
        <v>26793680.941475488</v>
      </c>
      <c r="W25" s="4">
        <v>61442.400000000023</v>
      </c>
      <c r="X25" s="4">
        <v>23515631.54147549</v>
      </c>
      <c r="Y25" s="4">
        <v>1947711.9999999998</v>
      </c>
      <c r="Z25" s="4">
        <v>1268894.9999999998</v>
      </c>
      <c r="AA25" s="4">
        <v>320494.99999999994</v>
      </c>
    </row>
    <row r="26" spans="1:27" x14ac:dyDescent="0.3">
      <c r="A26" s="13" t="s">
        <v>471</v>
      </c>
      <c r="B26" s="1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</sheetData>
  <mergeCells count="50">
    <mergeCell ref="U2:U3"/>
    <mergeCell ref="V2:V3"/>
    <mergeCell ref="K2:K3"/>
    <mergeCell ref="L2:L3"/>
    <mergeCell ref="M2:M3"/>
    <mergeCell ref="N2:N3"/>
    <mergeCell ref="O2:O3"/>
    <mergeCell ref="P2:P3"/>
    <mergeCell ref="A4:B4"/>
    <mergeCell ref="Q2:Q3"/>
    <mergeCell ref="R2:R3"/>
    <mergeCell ref="S2:S3"/>
    <mergeCell ref="T2:T3"/>
    <mergeCell ref="A1:A2"/>
    <mergeCell ref="C1:AA1"/>
    <mergeCell ref="C2:C3"/>
    <mergeCell ref="D2:D3"/>
    <mergeCell ref="E2:E3"/>
    <mergeCell ref="F2:F3"/>
    <mergeCell ref="G2:G3"/>
    <mergeCell ref="H2:H3"/>
    <mergeCell ref="I2:I3"/>
    <mergeCell ref="J2:J3"/>
    <mergeCell ref="W2:W3"/>
    <mergeCell ref="X2:X3"/>
    <mergeCell ref="Y2:Y3"/>
    <mergeCell ref="Z2:Z3"/>
    <mergeCell ref="AA2:AA3"/>
    <mergeCell ref="A16:B16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2F5E1-3417-4DBE-85C5-0F2B872E4BAA}">
  <dimension ref="A1:AA27"/>
  <sheetViews>
    <sheetView zoomScale="85" zoomScaleNormal="85" workbookViewId="0">
      <selection activeCell="E32" sqref="E32"/>
    </sheetView>
  </sheetViews>
  <sheetFormatPr defaultRowHeight="16.5" x14ac:dyDescent="0.3"/>
  <cols>
    <col min="1" max="2" width="9" style="2"/>
    <col min="3" max="3" width="9.625" style="2" bestFit="1" customWidth="1"/>
    <col min="4" max="27" width="9" style="2"/>
    <col min="28" max="28" width="19.25" style="2" bestFit="1" customWidth="1"/>
    <col min="29" max="30" width="12.75" style="2" bestFit="1" customWidth="1"/>
    <col min="31" max="31" width="7.125" style="2" bestFit="1" customWidth="1"/>
    <col min="32" max="32" width="26.25" style="2" bestFit="1" customWidth="1"/>
    <col min="33" max="16384" width="9" style="2"/>
  </cols>
  <sheetData>
    <row r="1" spans="1:27" x14ac:dyDescent="0.3">
      <c r="A1" s="15" t="s">
        <v>0</v>
      </c>
      <c r="B1" s="1" t="s">
        <v>1</v>
      </c>
      <c r="C1" s="14">
        <v>2023</v>
      </c>
      <c r="D1" s="14" t="s">
        <v>2</v>
      </c>
      <c r="E1" s="14" t="s">
        <v>2</v>
      </c>
      <c r="F1" s="14" t="s">
        <v>2</v>
      </c>
      <c r="G1" s="14" t="s">
        <v>2</v>
      </c>
      <c r="H1" s="14" t="s">
        <v>2</v>
      </c>
      <c r="I1" s="14" t="s">
        <v>2</v>
      </c>
      <c r="J1" s="14" t="s">
        <v>2</v>
      </c>
      <c r="K1" s="14" t="s">
        <v>2</v>
      </c>
      <c r="L1" s="14" t="s">
        <v>2</v>
      </c>
      <c r="M1" s="14" t="s">
        <v>2</v>
      </c>
      <c r="N1" s="14" t="s">
        <v>2</v>
      </c>
      <c r="O1" s="14" t="s">
        <v>2</v>
      </c>
      <c r="P1" s="14" t="s">
        <v>2</v>
      </c>
      <c r="Q1" s="14" t="s">
        <v>2</v>
      </c>
      <c r="R1" s="14" t="s">
        <v>2</v>
      </c>
      <c r="S1" s="14" t="s">
        <v>2</v>
      </c>
      <c r="T1" s="14" t="s">
        <v>2</v>
      </c>
      <c r="U1" s="14" t="s">
        <v>2</v>
      </c>
      <c r="V1" s="14" t="s">
        <v>2</v>
      </c>
      <c r="W1" s="14" t="s">
        <v>2</v>
      </c>
      <c r="X1" s="14" t="s">
        <v>2</v>
      </c>
      <c r="Y1" s="14" t="s">
        <v>2</v>
      </c>
      <c r="Z1" s="14" t="s">
        <v>2</v>
      </c>
      <c r="AA1" s="14" t="s">
        <v>2</v>
      </c>
    </row>
    <row r="2" spans="1:27" x14ac:dyDescent="0.3">
      <c r="A2" s="15" t="s">
        <v>0</v>
      </c>
      <c r="B2" s="1" t="s">
        <v>3</v>
      </c>
      <c r="C2" s="14" t="s">
        <v>4</v>
      </c>
      <c r="D2" s="14" t="s">
        <v>5</v>
      </c>
      <c r="E2" s="14" t="s">
        <v>6</v>
      </c>
      <c r="F2" s="14" t="s">
        <v>7</v>
      </c>
      <c r="G2" s="14" t="s">
        <v>8</v>
      </c>
      <c r="H2" s="14" t="s">
        <v>9</v>
      </c>
      <c r="I2" s="14" t="s">
        <v>10</v>
      </c>
      <c r="J2" s="14" t="s">
        <v>11</v>
      </c>
      <c r="K2" s="14" t="s">
        <v>12</v>
      </c>
      <c r="L2" s="14" t="s">
        <v>10</v>
      </c>
      <c r="M2" s="14" t="s">
        <v>13</v>
      </c>
      <c r="N2" s="14" t="s">
        <v>9</v>
      </c>
      <c r="O2" s="14" t="s">
        <v>12</v>
      </c>
      <c r="P2" s="14" t="s">
        <v>14</v>
      </c>
      <c r="Q2" s="14" t="s">
        <v>7</v>
      </c>
      <c r="R2" s="14" t="s">
        <v>15</v>
      </c>
      <c r="S2" s="14" t="s">
        <v>10</v>
      </c>
      <c r="T2" s="14" t="s">
        <v>16</v>
      </c>
      <c r="U2" s="14" t="s">
        <v>17</v>
      </c>
      <c r="V2" s="14" t="s">
        <v>18</v>
      </c>
      <c r="W2" s="14" t="s">
        <v>19</v>
      </c>
      <c r="X2" s="14" t="s">
        <v>20</v>
      </c>
      <c r="Y2" s="14" t="s">
        <v>21</v>
      </c>
      <c r="Z2" s="14" t="s">
        <v>16</v>
      </c>
      <c r="AA2" s="14" t="s">
        <v>22</v>
      </c>
    </row>
    <row r="3" spans="1:27" x14ac:dyDescent="0.3">
      <c r="A3" s="3" t="s">
        <v>779</v>
      </c>
      <c r="B3" s="3" t="s">
        <v>0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14" t="s">
        <v>9</v>
      </c>
      <c r="I3" s="14" t="s">
        <v>10</v>
      </c>
      <c r="J3" s="14" t="s">
        <v>11</v>
      </c>
      <c r="K3" s="14" t="s">
        <v>12</v>
      </c>
      <c r="L3" s="14" t="s">
        <v>10</v>
      </c>
      <c r="M3" s="14" t="s">
        <v>13</v>
      </c>
      <c r="N3" s="14" t="s">
        <v>9</v>
      </c>
      <c r="O3" s="14" t="s">
        <v>12</v>
      </c>
      <c r="P3" s="14" t="s">
        <v>14</v>
      </c>
      <c r="Q3" s="14" t="s">
        <v>7</v>
      </c>
      <c r="R3" s="14" t="s">
        <v>15</v>
      </c>
      <c r="S3" s="14" t="s">
        <v>10</v>
      </c>
      <c r="T3" s="14" t="s">
        <v>16</v>
      </c>
      <c r="U3" s="14" t="s">
        <v>17</v>
      </c>
      <c r="V3" s="14" t="s">
        <v>18</v>
      </c>
      <c r="W3" s="14" t="s">
        <v>19</v>
      </c>
      <c r="X3" s="14" t="s">
        <v>20</v>
      </c>
      <c r="Y3" s="14" t="s">
        <v>21</v>
      </c>
      <c r="Z3" s="14" t="s">
        <v>16</v>
      </c>
      <c r="AA3" s="14" t="s">
        <v>22</v>
      </c>
    </row>
    <row r="4" spans="1:27" x14ac:dyDescent="0.3">
      <c r="A4" s="13" t="s">
        <v>4</v>
      </c>
      <c r="B4" s="13"/>
      <c r="C4" s="4">
        <v>144420908.00650293</v>
      </c>
      <c r="D4" s="4">
        <v>24650000</v>
      </c>
      <c r="E4" s="4">
        <v>39308658</v>
      </c>
      <c r="F4" s="4">
        <v>37508658</v>
      </c>
      <c r="G4" s="4">
        <v>400000</v>
      </c>
      <c r="H4" s="4"/>
      <c r="I4" s="4">
        <v>1400000</v>
      </c>
      <c r="J4" s="4">
        <v>34038252</v>
      </c>
      <c r="K4" s="4">
        <v>465799.99999999994</v>
      </c>
      <c r="L4" s="4">
        <v>33572452</v>
      </c>
      <c r="M4" s="4">
        <v>136549.99999999994</v>
      </c>
      <c r="N4" s="4">
        <v>40000</v>
      </c>
      <c r="O4" s="4">
        <v>96549.999999999942</v>
      </c>
      <c r="P4" s="4">
        <v>9821006</v>
      </c>
      <c r="Q4" s="4">
        <v>1259224.0000000002</v>
      </c>
      <c r="R4" s="4">
        <v>108700</v>
      </c>
      <c r="S4" s="4">
        <v>8365082</v>
      </c>
      <c r="T4" s="4">
        <v>88000</v>
      </c>
      <c r="U4" s="4">
        <v>4700000</v>
      </c>
      <c r="V4" s="4">
        <v>31395507.006502938</v>
      </c>
      <c r="W4" s="4">
        <v>1816996.4</v>
      </c>
      <c r="X4" s="4">
        <v>23947073.606502935</v>
      </c>
      <c r="Y4" s="4">
        <v>2151362</v>
      </c>
      <c r="Z4" s="4">
        <v>3480074.9999999995</v>
      </c>
      <c r="AA4" s="4">
        <v>370934.99999999994</v>
      </c>
    </row>
    <row r="5" spans="1:27" x14ac:dyDescent="0.3">
      <c r="A5" s="13" t="s">
        <v>780</v>
      </c>
      <c r="B5" s="13"/>
      <c r="C5" s="4">
        <v>128897936.93299991</v>
      </c>
      <c r="D5" s="4">
        <v>24650000</v>
      </c>
      <c r="E5" s="4">
        <v>39308658</v>
      </c>
      <c r="F5" s="4">
        <v>37508658</v>
      </c>
      <c r="G5" s="4">
        <v>400000</v>
      </c>
      <c r="H5" s="4"/>
      <c r="I5" s="4">
        <v>1400000</v>
      </c>
      <c r="J5" s="4">
        <v>34038252</v>
      </c>
      <c r="K5" s="4">
        <v>465799.99999999994</v>
      </c>
      <c r="L5" s="4">
        <v>33572452</v>
      </c>
      <c r="M5" s="4">
        <v>40000</v>
      </c>
      <c r="N5" s="4">
        <v>40000</v>
      </c>
      <c r="O5" s="4"/>
      <c r="P5" s="4">
        <v>9821006</v>
      </c>
      <c r="Q5" s="4">
        <v>1259224.0000000002</v>
      </c>
      <c r="R5" s="4">
        <v>108700</v>
      </c>
      <c r="S5" s="4">
        <v>8365082</v>
      </c>
      <c r="T5" s="4">
        <v>88000</v>
      </c>
      <c r="U5" s="4">
        <v>4700000</v>
      </c>
      <c r="V5" s="4">
        <v>15972318.932999909</v>
      </c>
      <c r="W5" s="4">
        <v>1807824.4</v>
      </c>
      <c r="X5" s="4">
        <v>8554952.5329999067</v>
      </c>
      <c r="Y5" s="4">
        <v>2151243</v>
      </c>
      <c r="Z5" s="4">
        <v>3458298.9999999995</v>
      </c>
      <c r="AA5" s="4">
        <v>367701.99999999988</v>
      </c>
    </row>
    <row r="6" spans="1:27" x14ac:dyDescent="0.3">
      <c r="A6" s="13" t="s">
        <v>25</v>
      </c>
      <c r="B6" s="13"/>
      <c r="C6" s="4">
        <v>30051541.809999999</v>
      </c>
      <c r="D6" s="4">
        <v>24650000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>
        <v>4700000</v>
      </c>
      <c r="V6" s="4">
        <v>701541.81</v>
      </c>
      <c r="W6" s="4">
        <v>606775</v>
      </c>
      <c r="X6" s="4">
        <v>74966.81</v>
      </c>
      <c r="Y6" s="4"/>
      <c r="Z6" s="4">
        <v>19800</v>
      </c>
      <c r="AA6" s="4"/>
    </row>
    <row r="7" spans="1:27" x14ac:dyDescent="0.3">
      <c r="A7" s="13" t="s">
        <v>45</v>
      </c>
      <c r="B7" s="13"/>
      <c r="C7" s="4">
        <v>9362492.2400000002</v>
      </c>
      <c r="D7" s="4"/>
      <c r="E7" s="4">
        <v>7868600</v>
      </c>
      <c r="F7" s="4">
        <v>7868600</v>
      </c>
      <c r="G7" s="4"/>
      <c r="H7" s="4"/>
      <c r="I7" s="4"/>
      <c r="J7" s="4">
        <v>922064</v>
      </c>
      <c r="K7" s="4"/>
      <c r="L7" s="4">
        <v>922064</v>
      </c>
      <c r="M7" s="4"/>
      <c r="N7" s="4"/>
      <c r="O7" s="4"/>
      <c r="P7" s="4"/>
      <c r="Q7" s="4"/>
      <c r="R7" s="4"/>
      <c r="S7" s="4"/>
      <c r="T7" s="4"/>
      <c r="U7" s="4"/>
      <c r="V7" s="4">
        <v>571828.23999999987</v>
      </c>
      <c r="W7" s="4">
        <v>17599</v>
      </c>
      <c r="X7" s="4">
        <v>98019.239999999962</v>
      </c>
      <c r="Y7" s="4">
        <v>79300</v>
      </c>
      <c r="Z7" s="4">
        <v>376909.99999999994</v>
      </c>
      <c r="AA7" s="4"/>
    </row>
    <row r="8" spans="1:27" x14ac:dyDescent="0.3">
      <c r="A8" s="13" t="s">
        <v>27</v>
      </c>
      <c r="B8" s="13"/>
      <c r="C8" s="4">
        <v>10774704.800000001</v>
      </c>
      <c r="D8" s="4"/>
      <c r="E8" s="4">
        <v>6106058.0000000009</v>
      </c>
      <c r="F8" s="4">
        <v>6106058.0000000009</v>
      </c>
      <c r="G8" s="4"/>
      <c r="H8" s="4"/>
      <c r="I8" s="4"/>
      <c r="J8" s="4">
        <v>3779526.9999999991</v>
      </c>
      <c r="K8" s="4"/>
      <c r="L8" s="4">
        <v>3779526.9999999991</v>
      </c>
      <c r="M8" s="4">
        <v>40000</v>
      </c>
      <c r="N8" s="4">
        <v>40000</v>
      </c>
      <c r="O8" s="4"/>
      <c r="P8" s="4">
        <v>530441</v>
      </c>
      <c r="Q8" s="4"/>
      <c r="R8" s="4"/>
      <c r="S8" s="4">
        <v>530441</v>
      </c>
      <c r="T8" s="4"/>
      <c r="U8" s="4"/>
      <c r="V8" s="4">
        <v>308678.8</v>
      </c>
      <c r="W8" s="4">
        <v>15086</v>
      </c>
      <c r="X8" s="4">
        <v>20352.800000000003</v>
      </c>
      <c r="Y8" s="4">
        <v>32800</v>
      </c>
      <c r="Z8" s="4">
        <v>240440</v>
      </c>
      <c r="AA8" s="4">
        <v>10000</v>
      </c>
    </row>
    <row r="9" spans="1:27" x14ac:dyDescent="0.3">
      <c r="A9" s="13" t="s">
        <v>28</v>
      </c>
      <c r="B9" s="13"/>
      <c r="C9" s="4">
        <v>11870874.15</v>
      </c>
      <c r="D9" s="4"/>
      <c r="E9" s="4">
        <v>7500000</v>
      </c>
      <c r="F9" s="4">
        <v>6100000</v>
      </c>
      <c r="G9" s="4"/>
      <c r="H9" s="4"/>
      <c r="I9" s="4">
        <v>1400000</v>
      </c>
      <c r="J9" s="4">
        <v>3386900.0000000005</v>
      </c>
      <c r="K9" s="4"/>
      <c r="L9" s="4">
        <v>3386900.0000000005</v>
      </c>
      <c r="M9" s="4"/>
      <c r="N9" s="4"/>
      <c r="O9" s="4"/>
      <c r="P9" s="4">
        <v>350460.00000000006</v>
      </c>
      <c r="Q9" s="4"/>
      <c r="R9" s="4"/>
      <c r="S9" s="4">
        <v>350460.00000000006</v>
      </c>
      <c r="T9" s="4"/>
      <c r="U9" s="4"/>
      <c r="V9" s="4">
        <v>633514.15</v>
      </c>
      <c r="W9" s="4">
        <v>7200</v>
      </c>
      <c r="X9" s="4">
        <v>47084.15</v>
      </c>
      <c r="Y9" s="4">
        <v>34000</v>
      </c>
      <c r="Z9" s="4">
        <v>545230</v>
      </c>
      <c r="AA9" s="4"/>
    </row>
    <row r="10" spans="1:27" x14ac:dyDescent="0.3">
      <c r="A10" s="13" t="s">
        <v>29</v>
      </c>
      <c r="B10" s="13"/>
      <c r="C10" s="4">
        <v>11494366.255000001</v>
      </c>
      <c r="D10" s="4"/>
      <c r="E10" s="4">
        <v>6044000</v>
      </c>
      <c r="F10" s="4">
        <v>6044000</v>
      </c>
      <c r="G10" s="4"/>
      <c r="H10" s="4"/>
      <c r="I10" s="4"/>
      <c r="J10" s="4">
        <v>5060845</v>
      </c>
      <c r="K10" s="4"/>
      <c r="L10" s="4">
        <v>5060845</v>
      </c>
      <c r="M10" s="4"/>
      <c r="N10" s="4"/>
      <c r="O10" s="4"/>
      <c r="P10" s="4"/>
      <c r="Q10" s="4"/>
      <c r="R10" s="4"/>
      <c r="S10" s="4"/>
      <c r="T10" s="4"/>
      <c r="U10" s="4"/>
      <c r="V10" s="4">
        <v>389521.255</v>
      </c>
      <c r="W10" s="4">
        <v>2810</v>
      </c>
      <c r="X10" s="4">
        <v>38251.25499999999</v>
      </c>
      <c r="Y10" s="4">
        <v>39500</v>
      </c>
      <c r="Z10" s="4">
        <v>308960</v>
      </c>
      <c r="AA10" s="4"/>
    </row>
    <row r="11" spans="1:27" x14ac:dyDescent="0.3">
      <c r="A11" s="13" t="s">
        <v>30</v>
      </c>
      <c r="B11" s="13"/>
      <c r="C11" s="4">
        <v>9578689.8650000002</v>
      </c>
      <c r="D11" s="4"/>
      <c r="E11" s="4">
        <v>6440000</v>
      </c>
      <c r="F11" s="4">
        <v>6040000</v>
      </c>
      <c r="G11" s="4">
        <v>400000</v>
      </c>
      <c r="H11" s="4"/>
      <c r="I11" s="4"/>
      <c r="J11" s="4">
        <v>2971899.9999999995</v>
      </c>
      <c r="K11" s="4"/>
      <c r="L11" s="4">
        <v>2971899.9999999995</v>
      </c>
      <c r="M11" s="4"/>
      <c r="N11" s="4"/>
      <c r="O11" s="4"/>
      <c r="P11" s="4"/>
      <c r="Q11" s="4"/>
      <c r="R11" s="4"/>
      <c r="S11" s="4"/>
      <c r="T11" s="4"/>
      <c r="U11" s="4"/>
      <c r="V11" s="4">
        <v>166789.86499999999</v>
      </c>
      <c r="W11" s="4"/>
      <c r="X11" s="4">
        <v>81009.864999999991</v>
      </c>
      <c r="Y11" s="4">
        <v>3000</v>
      </c>
      <c r="Z11" s="4">
        <v>82780</v>
      </c>
      <c r="AA11" s="4"/>
    </row>
    <row r="12" spans="1:27" x14ac:dyDescent="0.3">
      <c r="A12" s="16" t="s">
        <v>781</v>
      </c>
      <c r="B12" s="13"/>
      <c r="C12" s="4">
        <v>3190468.9999999991</v>
      </c>
      <c r="D12" s="4"/>
      <c r="E12" s="4"/>
      <c r="F12" s="4"/>
      <c r="G12" s="4"/>
      <c r="H12" s="4"/>
      <c r="I12" s="4"/>
      <c r="J12" s="4">
        <v>3175999.9999999991</v>
      </c>
      <c r="K12" s="4"/>
      <c r="L12" s="4">
        <v>3175999.9999999991</v>
      </c>
      <c r="M12" s="4"/>
      <c r="N12" s="4"/>
      <c r="O12" s="4"/>
      <c r="P12" s="4"/>
      <c r="Q12" s="4"/>
      <c r="R12" s="4"/>
      <c r="S12" s="4"/>
      <c r="T12" s="4"/>
      <c r="U12" s="4"/>
      <c r="V12" s="4">
        <v>14469.000000000002</v>
      </c>
      <c r="W12" s="4"/>
      <c r="X12" s="4">
        <v>14469.000000000002</v>
      </c>
      <c r="Y12" s="4"/>
      <c r="Z12" s="4"/>
      <c r="AA12" s="4"/>
    </row>
    <row r="13" spans="1:27" x14ac:dyDescent="0.3">
      <c r="A13" s="13" t="s">
        <v>32</v>
      </c>
      <c r="B13" s="13"/>
      <c r="C13" s="4">
        <v>2471016.6</v>
      </c>
      <c r="D13" s="4"/>
      <c r="E13" s="4"/>
      <c r="F13" s="4"/>
      <c r="G13" s="4"/>
      <c r="H13" s="4"/>
      <c r="I13" s="4"/>
      <c r="J13" s="4">
        <v>2261750</v>
      </c>
      <c r="K13" s="4"/>
      <c r="L13" s="4">
        <v>2261750</v>
      </c>
      <c r="M13" s="4"/>
      <c r="N13" s="4"/>
      <c r="O13" s="4"/>
      <c r="P13" s="4"/>
      <c r="Q13" s="4"/>
      <c r="R13" s="4"/>
      <c r="S13" s="4"/>
      <c r="T13" s="4"/>
      <c r="U13" s="4"/>
      <c r="V13" s="4">
        <v>209266.6</v>
      </c>
      <c r="W13" s="4"/>
      <c r="X13" s="4">
        <v>4266.6000000000004</v>
      </c>
      <c r="Y13" s="4"/>
      <c r="Z13" s="4">
        <v>205000</v>
      </c>
      <c r="AA13" s="4"/>
    </row>
    <row r="14" spans="1:27" x14ac:dyDescent="0.3">
      <c r="A14" s="13" t="s">
        <v>33</v>
      </c>
      <c r="B14" s="13"/>
      <c r="C14" s="4">
        <v>2341868.7999999998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>
        <v>2276534</v>
      </c>
      <c r="Q14" s="4"/>
      <c r="R14" s="4">
        <v>82400</v>
      </c>
      <c r="S14" s="4">
        <v>2194134</v>
      </c>
      <c r="T14" s="4"/>
      <c r="U14" s="4"/>
      <c r="V14" s="4">
        <v>24894.800000000003</v>
      </c>
      <c r="W14" s="4"/>
      <c r="X14" s="4">
        <v>7394.8000000000011</v>
      </c>
      <c r="Y14" s="4"/>
      <c r="Z14" s="4">
        <v>17500</v>
      </c>
      <c r="AA14" s="4">
        <v>40440</v>
      </c>
    </row>
    <row r="15" spans="1:27" x14ac:dyDescent="0.3">
      <c r="A15" s="13" t="s">
        <v>34</v>
      </c>
      <c r="B15" s="13"/>
      <c r="C15" s="4">
        <v>2086638</v>
      </c>
      <c r="D15" s="4"/>
      <c r="E15" s="4">
        <v>2080000</v>
      </c>
      <c r="F15" s="4">
        <v>2080000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>
        <v>6638</v>
      </c>
      <c r="W15" s="4">
        <v>5000</v>
      </c>
      <c r="X15" s="4">
        <v>1638</v>
      </c>
      <c r="Y15" s="4"/>
      <c r="Z15" s="4"/>
      <c r="AA15" s="4"/>
    </row>
    <row r="16" spans="1:27" x14ac:dyDescent="0.3">
      <c r="A16" s="13" t="s">
        <v>35</v>
      </c>
      <c r="B16" s="13"/>
      <c r="C16" s="4">
        <v>1980899.9999999998</v>
      </c>
      <c r="D16" s="4"/>
      <c r="E16" s="4"/>
      <c r="F16" s="4"/>
      <c r="G16" s="4"/>
      <c r="H16" s="4"/>
      <c r="I16" s="4"/>
      <c r="J16" s="4">
        <v>1855499.9999999998</v>
      </c>
      <c r="K16" s="4">
        <v>465799.99999999994</v>
      </c>
      <c r="L16" s="4">
        <v>1389699.9999999998</v>
      </c>
      <c r="M16" s="4"/>
      <c r="N16" s="4"/>
      <c r="O16" s="4"/>
      <c r="P16" s="4"/>
      <c r="Q16" s="4"/>
      <c r="R16" s="4"/>
      <c r="S16" s="4"/>
      <c r="T16" s="4"/>
      <c r="U16" s="4"/>
      <c r="V16" s="4">
        <v>125400</v>
      </c>
      <c r="W16" s="4"/>
      <c r="X16" s="4"/>
      <c r="Y16" s="4"/>
      <c r="Z16" s="4">
        <v>125400</v>
      </c>
      <c r="AA16" s="4"/>
    </row>
    <row r="17" spans="1:27" x14ac:dyDescent="0.3">
      <c r="A17" s="13" t="s">
        <v>36</v>
      </c>
      <c r="B17" s="13"/>
      <c r="C17" s="4">
        <v>1718661.83</v>
      </c>
      <c r="D17" s="4"/>
      <c r="E17" s="4"/>
      <c r="F17" s="4"/>
      <c r="G17" s="4"/>
      <c r="H17" s="4"/>
      <c r="I17" s="4"/>
      <c r="J17" s="4">
        <v>1716800</v>
      </c>
      <c r="K17" s="4"/>
      <c r="L17" s="4">
        <v>1716800</v>
      </c>
      <c r="M17" s="4"/>
      <c r="N17" s="4"/>
      <c r="O17" s="4"/>
      <c r="P17" s="4"/>
      <c r="Q17" s="4"/>
      <c r="R17" s="4"/>
      <c r="S17" s="4"/>
      <c r="T17" s="4"/>
      <c r="U17" s="4"/>
      <c r="V17" s="4">
        <v>1861.83</v>
      </c>
      <c r="W17" s="4"/>
      <c r="X17" s="4">
        <v>1861.83</v>
      </c>
      <c r="Y17" s="4"/>
      <c r="Z17" s="4"/>
      <c r="AA17" s="4"/>
    </row>
    <row r="18" spans="1:27" x14ac:dyDescent="0.3">
      <c r="A18" s="13" t="s">
        <v>37</v>
      </c>
      <c r="B18" s="13"/>
      <c r="C18" s="4">
        <v>1714999.9999999998</v>
      </c>
      <c r="D18" s="4"/>
      <c r="E18" s="4"/>
      <c r="F18" s="4"/>
      <c r="G18" s="4"/>
      <c r="H18" s="4"/>
      <c r="I18" s="4"/>
      <c r="J18" s="4">
        <v>1695199.9999999998</v>
      </c>
      <c r="K18" s="4"/>
      <c r="L18" s="4">
        <v>1695199.9999999998</v>
      </c>
      <c r="M18" s="4"/>
      <c r="N18" s="4"/>
      <c r="O18" s="4"/>
      <c r="P18" s="4"/>
      <c r="Q18" s="4"/>
      <c r="R18" s="4"/>
      <c r="S18" s="4"/>
      <c r="T18" s="4"/>
      <c r="U18" s="4"/>
      <c r="V18" s="4">
        <v>19800</v>
      </c>
      <c r="W18" s="4"/>
      <c r="X18" s="4"/>
      <c r="Y18" s="4"/>
      <c r="Z18" s="4">
        <v>19800</v>
      </c>
      <c r="AA18" s="4"/>
    </row>
    <row r="19" spans="1:27" x14ac:dyDescent="0.3">
      <c r="A19" s="13" t="s">
        <v>38</v>
      </c>
      <c r="B19" s="13"/>
      <c r="C19" s="4">
        <v>1450664</v>
      </c>
      <c r="D19" s="4"/>
      <c r="E19" s="4"/>
      <c r="F19" s="4"/>
      <c r="G19" s="4"/>
      <c r="H19" s="4"/>
      <c r="I19" s="4"/>
      <c r="J19" s="4">
        <v>1450000</v>
      </c>
      <c r="K19" s="4"/>
      <c r="L19" s="4">
        <v>1450000</v>
      </c>
      <c r="M19" s="4"/>
      <c r="N19" s="4"/>
      <c r="O19" s="4"/>
      <c r="P19" s="4"/>
      <c r="Q19" s="4"/>
      <c r="R19" s="4"/>
      <c r="S19" s="4"/>
      <c r="T19" s="4"/>
      <c r="U19" s="4"/>
      <c r="V19" s="4">
        <v>664</v>
      </c>
      <c r="W19" s="4"/>
      <c r="X19" s="4">
        <v>664</v>
      </c>
      <c r="Y19" s="4"/>
      <c r="Z19" s="4"/>
      <c r="AA19" s="4"/>
    </row>
    <row r="20" spans="1:27" x14ac:dyDescent="0.3">
      <c r="A20" s="13" t="s">
        <v>39</v>
      </c>
      <c r="B20" s="13"/>
      <c r="C20" s="4">
        <v>1441831.68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>
        <v>1413380</v>
      </c>
      <c r="Q20" s="4"/>
      <c r="R20" s="4"/>
      <c r="S20" s="4">
        <v>1413380</v>
      </c>
      <c r="T20" s="4"/>
      <c r="U20" s="4"/>
      <c r="V20" s="4">
        <v>28451.68</v>
      </c>
      <c r="W20" s="4">
        <v>1030</v>
      </c>
      <c r="X20" s="4">
        <v>5011.6799999999994</v>
      </c>
      <c r="Y20" s="4">
        <v>7050</v>
      </c>
      <c r="Z20" s="4">
        <v>15360</v>
      </c>
      <c r="AA20" s="4"/>
    </row>
    <row r="21" spans="1:27" x14ac:dyDescent="0.3">
      <c r="A21" s="13" t="s">
        <v>40</v>
      </c>
      <c r="B21" s="13"/>
      <c r="C21" s="4">
        <v>1381646.7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>
        <v>1381646.7</v>
      </c>
      <c r="W21" s="4">
        <v>1094457</v>
      </c>
      <c r="X21" s="4">
        <v>25189.699999999993</v>
      </c>
      <c r="Y21" s="4">
        <v>8000</v>
      </c>
      <c r="Z21" s="4">
        <v>254000</v>
      </c>
      <c r="AA21" s="4"/>
    </row>
    <row r="22" spans="1:27" x14ac:dyDescent="0.3">
      <c r="A22" s="13" t="s">
        <v>41</v>
      </c>
      <c r="B22" s="13"/>
      <c r="C22" s="4">
        <v>1199973.2</v>
      </c>
      <c r="D22" s="4"/>
      <c r="E22" s="4">
        <v>1190000</v>
      </c>
      <c r="F22" s="4">
        <v>1190000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>
        <v>9973.2000000000007</v>
      </c>
      <c r="W22" s="4">
        <v>4872</v>
      </c>
      <c r="X22" s="4">
        <v>5101.2000000000007</v>
      </c>
      <c r="Y22" s="4"/>
      <c r="Z22" s="4"/>
      <c r="AA22" s="4"/>
    </row>
    <row r="23" spans="1:27" x14ac:dyDescent="0.3">
      <c r="A23" s="13" t="s">
        <v>42</v>
      </c>
      <c r="B23" s="13"/>
      <c r="C23" s="4">
        <v>2080000</v>
      </c>
      <c r="D23" s="4"/>
      <c r="E23" s="4">
        <v>2080000</v>
      </c>
      <c r="F23" s="4">
        <v>2080000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x14ac:dyDescent="0.3">
      <c r="A24" s="13" t="s">
        <v>22</v>
      </c>
      <c r="B24" s="13"/>
      <c r="C24" s="4">
        <v>22706598.002999909</v>
      </c>
      <c r="D24" s="4"/>
      <c r="E24" s="4"/>
      <c r="F24" s="4"/>
      <c r="G24" s="4"/>
      <c r="H24" s="4"/>
      <c r="I24" s="4"/>
      <c r="J24" s="4">
        <v>5761766</v>
      </c>
      <c r="K24" s="4"/>
      <c r="L24" s="4">
        <v>5761766</v>
      </c>
      <c r="M24" s="4"/>
      <c r="N24" s="4"/>
      <c r="O24" s="4"/>
      <c r="P24" s="4">
        <v>5250191</v>
      </c>
      <c r="Q24" s="4">
        <v>1259224.0000000002</v>
      </c>
      <c r="R24" s="4">
        <v>26300</v>
      </c>
      <c r="S24" s="4">
        <v>3876667</v>
      </c>
      <c r="T24" s="4">
        <v>88000</v>
      </c>
      <c r="U24" s="4"/>
      <c r="V24" s="4">
        <v>11377379.002999907</v>
      </c>
      <c r="W24" s="4">
        <v>52995.400000000023</v>
      </c>
      <c r="X24" s="4">
        <v>8129671.602999907</v>
      </c>
      <c r="Y24" s="4">
        <v>1947592.9999999998</v>
      </c>
      <c r="Z24" s="4">
        <v>1247118.9999999995</v>
      </c>
      <c r="AA24" s="4">
        <v>317261.99999999988</v>
      </c>
    </row>
    <row r="25" spans="1:27" x14ac:dyDescent="0.3">
      <c r="A25" s="13" t="s">
        <v>782</v>
      </c>
      <c r="B25" s="13"/>
      <c r="C25" s="4">
        <v>15522971.073503029</v>
      </c>
      <c r="D25" s="4"/>
      <c r="E25" s="4"/>
      <c r="F25" s="4"/>
      <c r="G25" s="4"/>
      <c r="H25" s="4"/>
      <c r="I25" s="4"/>
      <c r="J25" s="4"/>
      <c r="K25" s="4"/>
      <c r="L25" s="4"/>
      <c r="M25" s="4">
        <v>96549.999999999942</v>
      </c>
      <c r="N25" s="4"/>
      <c r="O25" s="4">
        <v>96549.999999999942</v>
      </c>
      <c r="P25" s="4"/>
      <c r="Q25" s="4"/>
      <c r="R25" s="4"/>
      <c r="S25" s="4"/>
      <c r="T25" s="4"/>
      <c r="U25" s="4"/>
      <c r="V25" s="4">
        <v>15423188.073503029</v>
      </c>
      <c r="W25" s="4">
        <v>9172</v>
      </c>
      <c r="X25" s="4">
        <v>15392121.073503029</v>
      </c>
      <c r="Y25" s="4">
        <v>119.00000000000001</v>
      </c>
      <c r="Z25" s="4">
        <v>21776.000000000004</v>
      </c>
      <c r="AA25" s="4">
        <v>3232.9999999999995</v>
      </c>
    </row>
    <row r="26" spans="1:27" x14ac:dyDescent="0.3">
      <c r="A26" s="13" t="s">
        <v>44</v>
      </c>
      <c r="B26" s="13"/>
      <c r="C26" s="4">
        <v>97822.999999999942</v>
      </c>
      <c r="D26" s="4"/>
      <c r="E26" s="4"/>
      <c r="F26" s="4"/>
      <c r="G26" s="4"/>
      <c r="H26" s="4"/>
      <c r="I26" s="4"/>
      <c r="J26" s="4"/>
      <c r="K26" s="4"/>
      <c r="L26" s="4"/>
      <c r="M26" s="4">
        <v>96549.999999999942</v>
      </c>
      <c r="N26" s="4"/>
      <c r="O26" s="4">
        <v>96549.999999999942</v>
      </c>
      <c r="P26" s="4"/>
      <c r="Q26" s="4"/>
      <c r="R26" s="4"/>
      <c r="S26" s="4"/>
      <c r="T26" s="4"/>
      <c r="U26" s="4"/>
      <c r="V26" s="4">
        <v>1273</v>
      </c>
      <c r="W26" s="4">
        <v>700</v>
      </c>
      <c r="X26" s="4">
        <v>573</v>
      </c>
      <c r="Y26" s="4"/>
      <c r="Z26" s="4"/>
      <c r="AA26" s="4"/>
    </row>
    <row r="27" spans="1:27" x14ac:dyDescent="0.3">
      <c r="A27" s="13" t="s">
        <v>22</v>
      </c>
      <c r="B27" s="13"/>
      <c r="C27" s="4">
        <v>15425148.073503029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>
        <v>15421915.073503029</v>
      </c>
      <c r="W27" s="4">
        <v>8472</v>
      </c>
      <c r="X27" s="4">
        <v>15391548.073503029</v>
      </c>
      <c r="Y27" s="4">
        <v>119.00000000000001</v>
      </c>
      <c r="Z27" s="4">
        <v>21776.000000000004</v>
      </c>
      <c r="AA27" s="4">
        <v>3232.9999999999995</v>
      </c>
    </row>
  </sheetData>
  <mergeCells count="51">
    <mergeCell ref="A4:B4"/>
    <mergeCell ref="Q2:Q3"/>
    <mergeCell ref="R2:R3"/>
    <mergeCell ref="S2:S3"/>
    <mergeCell ref="T2:T3"/>
    <mergeCell ref="K2:K3"/>
    <mergeCell ref="L2:L3"/>
    <mergeCell ref="M2:M3"/>
    <mergeCell ref="N2:N3"/>
    <mergeCell ref="O2:O3"/>
    <mergeCell ref="G2:G3"/>
    <mergeCell ref="H2:H3"/>
    <mergeCell ref="I2:I3"/>
    <mergeCell ref="J2:J3"/>
    <mergeCell ref="P2:P3"/>
    <mergeCell ref="A1:A2"/>
    <mergeCell ref="C1:AA1"/>
    <mergeCell ref="C2:C3"/>
    <mergeCell ref="D2:D3"/>
    <mergeCell ref="E2:E3"/>
    <mergeCell ref="F2:F3"/>
    <mergeCell ref="X2:X3"/>
    <mergeCell ref="Y2:Y3"/>
    <mergeCell ref="Z2:Z3"/>
    <mergeCell ref="AA2:AA3"/>
    <mergeCell ref="U2:U3"/>
    <mergeCell ref="V2:V3"/>
    <mergeCell ref="W2:W3"/>
    <mergeCell ref="A16:B16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3:B23"/>
    <mergeCell ref="A24:B24"/>
    <mergeCell ref="A25:B25"/>
    <mergeCell ref="A26:B26"/>
    <mergeCell ref="A27:B27"/>
    <mergeCell ref="A22:B22"/>
    <mergeCell ref="A17:B17"/>
    <mergeCell ref="A18:B18"/>
    <mergeCell ref="A19:B19"/>
    <mergeCell ref="A20:B20"/>
    <mergeCell ref="A21:B21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20E83-8DA1-47A8-BEC0-61F8393C464C}">
  <dimension ref="A1:AA45"/>
  <sheetViews>
    <sheetView topLeftCell="B1" zoomScale="85" zoomScaleNormal="85" workbookViewId="0">
      <selection activeCell="C51" sqref="C51"/>
    </sheetView>
  </sheetViews>
  <sheetFormatPr defaultRowHeight="16.5" x14ac:dyDescent="0.3"/>
  <cols>
    <col min="1" max="2" width="9" style="2"/>
    <col min="3" max="3" width="9.375" style="2" bestFit="1" customWidth="1"/>
    <col min="4" max="16384" width="9" style="2"/>
  </cols>
  <sheetData>
    <row r="1" spans="1:27" x14ac:dyDescent="0.3">
      <c r="A1" s="15" t="s">
        <v>0</v>
      </c>
      <c r="B1" s="1" t="s">
        <v>1</v>
      </c>
      <c r="C1" s="14">
        <v>2023</v>
      </c>
      <c r="D1" s="14" t="s">
        <v>2</v>
      </c>
      <c r="E1" s="14" t="s">
        <v>2</v>
      </c>
      <c r="F1" s="14" t="s">
        <v>2</v>
      </c>
      <c r="G1" s="14" t="s">
        <v>2</v>
      </c>
      <c r="H1" s="14" t="s">
        <v>2</v>
      </c>
      <c r="I1" s="14" t="s">
        <v>2</v>
      </c>
      <c r="J1" s="14" t="s">
        <v>2</v>
      </c>
      <c r="K1" s="14" t="s">
        <v>2</v>
      </c>
      <c r="L1" s="14" t="s">
        <v>2</v>
      </c>
      <c r="M1" s="14" t="s">
        <v>2</v>
      </c>
      <c r="N1" s="14" t="s">
        <v>2</v>
      </c>
      <c r="O1" s="14" t="s">
        <v>2</v>
      </c>
      <c r="P1" s="14" t="s">
        <v>2</v>
      </c>
      <c r="Q1" s="14" t="s">
        <v>2</v>
      </c>
      <c r="R1" s="14" t="s">
        <v>2</v>
      </c>
      <c r="S1" s="14" t="s">
        <v>2</v>
      </c>
      <c r="T1" s="14" t="s">
        <v>2</v>
      </c>
      <c r="U1" s="14" t="s">
        <v>2</v>
      </c>
      <c r="V1" s="14" t="s">
        <v>2</v>
      </c>
      <c r="W1" s="14" t="s">
        <v>2</v>
      </c>
      <c r="X1" s="14" t="s">
        <v>2</v>
      </c>
      <c r="Y1" s="14" t="s">
        <v>2</v>
      </c>
      <c r="Z1" s="14" t="s">
        <v>2</v>
      </c>
      <c r="AA1" s="14" t="s">
        <v>2</v>
      </c>
    </row>
    <row r="2" spans="1:27" x14ac:dyDescent="0.3">
      <c r="A2" s="15" t="s">
        <v>0</v>
      </c>
      <c r="B2" s="1" t="s">
        <v>3</v>
      </c>
      <c r="C2" s="14" t="s">
        <v>4</v>
      </c>
      <c r="D2" s="14" t="s">
        <v>5</v>
      </c>
      <c r="E2" s="14" t="s">
        <v>6</v>
      </c>
      <c r="F2" s="14" t="s">
        <v>7</v>
      </c>
      <c r="G2" s="14" t="s">
        <v>8</v>
      </c>
      <c r="H2" s="14" t="s">
        <v>9</v>
      </c>
      <c r="I2" s="14" t="s">
        <v>10</v>
      </c>
      <c r="J2" s="14" t="s">
        <v>11</v>
      </c>
      <c r="K2" s="14" t="s">
        <v>12</v>
      </c>
      <c r="L2" s="14" t="s">
        <v>10</v>
      </c>
      <c r="M2" s="14" t="s">
        <v>13</v>
      </c>
      <c r="N2" s="14" t="s">
        <v>9</v>
      </c>
      <c r="O2" s="14" t="s">
        <v>12</v>
      </c>
      <c r="P2" s="14" t="s">
        <v>14</v>
      </c>
      <c r="Q2" s="14" t="s">
        <v>7</v>
      </c>
      <c r="R2" s="14" t="s">
        <v>15</v>
      </c>
      <c r="S2" s="14" t="s">
        <v>10</v>
      </c>
      <c r="T2" s="14" t="s">
        <v>16</v>
      </c>
      <c r="U2" s="14" t="s">
        <v>17</v>
      </c>
      <c r="V2" s="14" t="s">
        <v>18</v>
      </c>
      <c r="W2" s="14" t="s">
        <v>19</v>
      </c>
      <c r="X2" s="14" t="s">
        <v>20</v>
      </c>
      <c r="Y2" s="14" t="s">
        <v>21</v>
      </c>
      <c r="Z2" s="14" t="s">
        <v>16</v>
      </c>
      <c r="AA2" s="14" t="s">
        <v>22</v>
      </c>
    </row>
    <row r="3" spans="1:27" x14ac:dyDescent="0.3">
      <c r="A3" s="3" t="s">
        <v>23</v>
      </c>
      <c r="B3" s="3" t="s">
        <v>0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14" t="s">
        <v>9</v>
      </c>
      <c r="I3" s="14" t="s">
        <v>10</v>
      </c>
      <c r="J3" s="14" t="s">
        <v>11</v>
      </c>
      <c r="K3" s="14" t="s">
        <v>12</v>
      </c>
      <c r="L3" s="14" t="s">
        <v>10</v>
      </c>
      <c r="M3" s="14" t="s">
        <v>13</v>
      </c>
      <c r="N3" s="14" t="s">
        <v>9</v>
      </c>
      <c r="O3" s="14" t="s">
        <v>12</v>
      </c>
      <c r="P3" s="14" t="s">
        <v>14</v>
      </c>
      <c r="Q3" s="14" t="s">
        <v>7</v>
      </c>
      <c r="R3" s="14" t="s">
        <v>15</v>
      </c>
      <c r="S3" s="14" t="s">
        <v>10</v>
      </c>
      <c r="T3" s="14" t="s">
        <v>16</v>
      </c>
      <c r="U3" s="14" t="s">
        <v>17</v>
      </c>
      <c r="V3" s="14" t="s">
        <v>18</v>
      </c>
      <c r="W3" s="14" t="s">
        <v>19</v>
      </c>
      <c r="X3" s="14" t="s">
        <v>20</v>
      </c>
      <c r="Y3" s="14" t="s">
        <v>21</v>
      </c>
      <c r="Z3" s="14" t="s">
        <v>16</v>
      </c>
      <c r="AA3" s="14" t="s">
        <v>22</v>
      </c>
    </row>
    <row r="4" spans="1:27" x14ac:dyDescent="0.3">
      <c r="A4" s="13" t="s">
        <v>4</v>
      </c>
      <c r="B4" s="13"/>
      <c r="C4" s="4">
        <v>144420908</v>
      </c>
      <c r="D4" s="4">
        <v>24650000</v>
      </c>
      <c r="E4" s="4">
        <f>SUM(E7:E11,E15,E22:E23)</f>
        <v>39308658</v>
      </c>
      <c r="F4" s="4">
        <v>36468658</v>
      </c>
      <c r="G4" s="4">
        <v>400000</v>
      </c>
      <c r="H4" s="4"/>
      <c r="I4" s="4">
        <v>1400000</v>
      </c>
      <c r="J4" s="4">
        <v>34038252</v>
      </c>
      <c r="K4" s="4">
        <v>96550</v>
      </c>
      <c r="L4" s="4">
        <v>33572452</v>
      </c>
      <c r="M4" s="4">
        <v>136549.99999999994</v>
      </c>
      <c r="N4" s="4">
        <v>40000</v>
      </c>
      <c r="O4" s="4">
        <v>96549.999999999942</v>
      </c>
      <c r="P4" s="4">
        <v>9821006</v>
      </c>
      <c r="Q4" s="4">
        <v>1259224.0000000002</v>
      </c>
      <c r="R4" s="4">
        <v>171300</v>
      </c>
      <c r="S4" s="4">
        <v>7400650</v>
      </c>
      <c r="T4" s="4">
        <v>88000</v>
      </c>
      <c r="U4" s="4">
        <v>4700000</v>
      </c>
      <c r="V4" s="4">
        <v>31395507.00647549</v>
      </c>
      <c r="W4" s="4">
        <v>1812423.4</v>
      </c>
      <c r="X4" s="4">
        <v>23947073.606475491</v>
      </c>
      <c r="Y4" s="4">
        <v>2151362</v>
      </c>
      <c r="Z4" s="4">
        <v>3480075</v>
      </c>
      <c r="AA4" s="4">
        <v>370934.99999999994</v>
      </c>
    </row>
    <row r="5" spans="1:27" x14ac:dyDescent="0.3">
      <c r="A5" s="13" t="s">
        <v>24</v>
      </c>
      <c r="B5" s="13"/>
      <c r="C5" s="4">
        <v>113599002</v>
      </c>
      <c r="D5" s="4">
        <v>24650000</v>
      </c>
      <c r="E5" s="4">
        <v>39308658</v>
      </c>
      <c r="F5" s="4">
        <v>36468658</v>
      </c>
      <c r="G5" s="4">
        <v>400000</v>
      </c>
      <c r="H5" s="4"/>
      <c r="I5" s="4">
        <v>1400000</v>
      </c>
      <c r="J5" s="4">
        <v>34038252</v>
      </c>
      <c r="K5" s="4"/>
      <c r="L5" s="4">
        <v>33572452</v>
      </c>
      <c r="M5" s="4">
        <v>40000</v>
      </c>
      <c r="N5" s="4">
        <v>40000</v>
      </c>
      <c r="O5" s="4"/>
      <c r="P5" s="4">
        <v>8555782</v>
      </c>
      <c r="Q5" s="4"/>
      <c r="R5" s="4">
        <v>171300</v>
      </c>
      <c r="S5" s="4">
        <v>7394650</v>
      </c>
      <c r="T5" s="4">
        <v>88000</v>
      </c>
      <c r="U5" s="4">
        <v>4700000</v>
      </c>
      <c r="V5" s="4">
        <v>2306310</v>
      </c>
      <c r="W5" s="4">
        <v>1569980</v>
      </c>
      <c r="X5" s="4"/>
      <c r="Y5" s="4"/>
      <c r="Z5" s="4">
        <v>736330</v>
      </c>
      <c r="AA5" s="4"/>
    </row>
    <row r="6" spans="1:27" x14ac:dyDescent="0.3">
      <c r="A6" s="13" t="s">
        <v>25</v>
      </c>
      <c r="B6" s="13"/>
      <c r="C6" s="4">
        <v>29945380</v>
      </c>
      <c r="D6" s="4">
        <v>24650000</v>
      </c>
      <c r="E6" s="4"/>
      <c r="F6" s="4" t="s">
        <v>0</v>
      </c>
      <c r="G6" s="4" t="s">
        <v>0</v>
      </c>
      <c r="H6" s="4" t="s">
        <v>0</v>
      </c>
      <c r="I6" s="4" t="s">
        <v>0</v>
      </c>
      <c r="J6" s="4"/>
      <c r="K6" s="4"/>
      <c r="L6" s="4" t="s">
        <v>0</v>
      </c>
      <c r="M6" s="4"/>
      <c r="N6" s="4" t="s">
        <v>0</v>
      </c>
      <c r="O6" s="4" t="s">
        <v>0</v>
      </c>
      <c r="P6" s="4"/>
      <c r="Q6" s="4" t="s">
        <v>0</v>
      </c>
      <c r="R6" s="4" t="s">
        <v>0</v>
      </c>
      <c r="S6" s="4" t="s">
        <v>0</v>
      </c>
      <c r="T6" s="4"/>
      <c r="U6" s="4">
        <v>4700000</v>
      </c>
      <c r="V6" s="4">
        <v>595380</v>
      </c>
      <c r="W6" s="4">
        <v>595380</v>
      </c>
      <c r="X6" s="4" t="s">
        <v>0</v>
      </c>
      <c r="Y6" s="4" t="s">
        <v>0</v>
      </c>
      <c r="Z6" s="4" t="s">
        <v>0</v>
      </c>
      <c r="AA6" s="4"/>
    </row>
    <row r="7" spans="1:27" x14ac:dyDescent="0.3">
      <c r="A7" s="17" t="s">
        <v>26</v>
      </c>
      <c r="B7" s="13"/>
      <c r="C7" s="4">
        <v>8790664</v>
      </c>
      <c r="D7" s="4" t="s">
        <v>0</v>
      </c>
      <c r="E7" s="4">
        <v>7868600</v>
      </c>
      <c r="F7" s="4">
        <v>7868600</v>
      </c>
      <c r="G7" s="4" t="s">
        <v>0</v>
      </c>
      <c r="H7" s="4" t="s">
        <v>0</v>
      </c>
      <c r="I7" s="4" t="s">
        <v>0</v>
      </c>
      <c r="J7" s="4">
        <v>922064.00000000012</v>
      </c>
      <c r="K7" s="4"/>
      <c r="L7" s="4">
        <v>922064</v>
      </c>
      <c r="M7" s="4"/>
      <c r="N7" s="4" t="s">
        <v>0</v>
      </c>
      <c r="O7" s="4" t="s">
        <v>0</v>
      </c>
      <c r="P7" s="4"/>
      <c r="Q7" s="4" t="s">
        <v>0</v>
      </c>
      <c r="R7" s="4" t="s">
        <v>0</v>
      </c>
      <c r="S7" s="4" t="s">
        <v>0</v>
      </c>
      <c r="T7" s="4"/>
      <c r="U7" s="4" t="s">
        <v>0</v>
      </c>
      <c r="V7" s="4"/>
      <c r="W7" s="4" t="s">
        <v>0</v>
      </c>
      <c r="X7" s="4" t="s">
        <v>0</v>
      </c>
      <c r="Y7" s="4" t="s">
        <v>0</v>
      </c>
      <c r="Z7" s="4" t="s">
        <v>0</v>
      </c>
      <c r="AA7" s="4"/>
    </row>
    <row r="8" spans="1:27" x14ac:dyDescent="0.3">
      <c r="A8" s="13" t="s">
        <v>27</v>
      </c>
      <c r="B8" s="13"/>
      <c r="C8" s="4">
        <v>10646026</v>
      </c>
      <c r="D8" s="4" t="s">
        <v>0</v>
      </c>
      <c r="E8" s="4">
        <v>6106058.0000000009</v>
      </c>
      <c r="F8" s="4">
        <v>6106058.0000000009</v>
      </c>
      <c r="G8" s="4" t="s">
        <v>0</v>
      </c>
      <c r="H8" s="4" t="s">
        <v>0</v>
      </c>
      <c r="I8" s="4" t="s">
        <v>0</v>
      </c>
      <c r="J8" s="4">
        <v>3779526.9999999995</v>
      </c>
      <c r="K8" s="4"/>
      <c r="L8" s="4">
        <v>3779526.9999999991</v>
      </c>
      <c r="M8" s="4">
        <v>40000</v>
      </c>
      <c r="N8" s="4">
        <v>40000</v>
      </c>
      <c r="O8" s="4" t="s">
        <v>0</v>
      </c>
      <c r="P8" s="4">
        <v>530441</v>
      </c>
      <c r="Q8" s="4" t="s">
        <v>0</v>
      </c>
      <c r="R8" s="4" t="s">
        <v>0</v>
      </c>
      <c r="S8" s="4">
        <v>530441</v>
      </c>
      <c r="T8" s="4"/>
      <c r="U8" s="4" t="s">
        <v>0</v>
      </c>
      <c r="V8" s="4">
        <v>190000</v>
      </c>
      <c r="W8" s="4" t="s">
        <v>0</v>
      </c>
      <c r="X8" s="4" t="s">
        <v>0</v>
      </c>
      <c r="Y8" s="4" t="s">
        <v>0</v>
      </c>
      <c r="Z8" s="4">
        <v>190000</v>
      </c>
      <c r="AA8" s="4"/>
    </row>
    <row r="9" spans="1:27" x14ac:dyDescent="0.3">
      <c r="A9" s="13" t="s">
        <v>28</v>
      </c>
      <c r="B9" s="13"/>
      <c r="C9" s="4">
        <v>11583690</v>
      </c>
      <c r="D9" s="4" t="s">
        <v>0</v>
      </c>
      <c r="E9" s="4">
        <v>7500000</v>
      </c>
      <c r="F9" s="4">
        <v>6100000</v>
      </c>
      <c r="G9" s="4" t="s">
        <v>0</v>
      </c>
      <c r="H9" s="4" t="s">
        <v>0</v>
      </c>
      <c r="I9" s="4">
        <v>1400000</v>
      </c>
      <c r="J9" s="4">
        <v>3386900.0000000005</v>
      </c>
      <c r="K9" s="4"/>
      <c r="L9" s="4">
        <v>3386900.0000000005</v>
      </c>
      <c r="M9" s="4"/>
      <c r="N9" s="4" t="s">
        <v>0</v>
      </c>
      <c r="O9" s="4" t="s">
        <v>0</v>
      </c>
      <c r="P9" s="4">
        <v>350460.00000000006</v>
      </c>
      <c r="Q9" s="4" t="s">
        <v>0</v>
      </c>
      <c r="R9" s="4" t="s">
        <v>0</v>
      </c>
      <c r="S9" s="4">
        <v>350460.00000000006</v>
      </c>
      <c r="T9" s="4"/>
      <c r="U9" s="4" t="s">
        <v>0</v>
      </c>
      <c r="V9" s="4">
        <v>346330</v>
      </c>
      <c r="W9" s="4" t="s">
        <v>0</v>
      </c>
      <c r="X9" s="4" t="s">
        <v>0</v>
      </c>
      <c r="Y9" s="4" t="s">
        <v>0</v>
      </c>
      <c r="Z9" s="4">
        <v>346330</v>
      </c>
      <c r="AA9" s="4"/>
    </row>
    <row r="10" spans="1:27" x14ac:dyDescent="0.3">
      <c r="A10" s="13" t="s">
        <v>29</v>
      </c>
      <c r="B10" s="13"/>
      <c r="C10" s="4">
        <v>11304845</v>
      </c>
      <c r="D10" s="4" t="s">
        <v>0</v>
      </c>
      <c r="E10" s="4">
        <v>6044000</v>
      </c>
      <c r="F10" s="4">
        <v>6044000</v>
      </c>
      <c r="G10" s="4" t="s">
        <v>0</v>
      </c>
      <c r="H10" s="4" t="s">
        <v>0</v>
      </c>
      <c r="I10" s="4" t="s">
        <v>0</v>
      </c>
      <c r="J10" s="4">
        <v>5060845</v>
      </c>
      <c r="K10" s="4"/>
      <c r="L10" s="4">
        <v>4914600</v>
      </c>
      <c r="M10" s="4"/>
      <c r="N10" s="4" t="s">
        <v>0</v>
      </c>
      <c r="O10" s="4" t="s">
        <v>0</v>
      </c>
      <c r="P10" s="4"/>
      <c r="Q10" s="4" t="s">
        <v>0</v>
      </c>
      <c r="R10" s="4" t="s">
        <v>0</v>
      </c>
      <c r="S10" s="4" t="s">
        <v>0</v>
      </c>
      <c r="T10" s="4"/>
      <c r="U10" s="4" t="s">
        <v>0</v>
      </c>
      <c r="V10" s="4">
        <v>200000</v>
      </c>
      <c r="W10" s="4" t="s">
        <v>0</v>
      </c>
      <c r="X10" s="4" t="s">
        <v>0</v>
      </c>
      <c r="Y10" s="4" t="s">
        <v>0</v>
      </c>
      <c r="Z10" s="4">
        <v>200000</v>
      </c>
      <c r="AA10" s="4"/>
    </row>
    <row r="11" spans="1:27" x14ac:dyDescent="0.3">
      <c r="A11" s="13" t="s">
        <v>30</v>
      </c>
      <c r="B11" s="13"/>
      <c r="C11" s="4">
        <v>9411900</v>
      </c>
      <c r="D11" s="4" t="s">
        <v>0</v>
      </c>
      <c r="E11" s="4">
        <v>6440000</v>
      </c>
      <c r="F11" s="4">
        <v>6040000</v>
      </c>
      <c r="G11" s="4">
        <v>400000</v>
      </c>
      <c r="H11" s="4" t="s">
        <v>0</v>
      </c>
      <c r="I11" s="4" t="s">
        <v>0</v>
      </c>
      <c r="J11" s="4">
        <v>2971899.9999999995</v>
      </c>
      <c r="K11" s="4"/>
      <c r="L11" s="4">
        <v>2971899.9999999995</v>
      </c>
      <c r="M11" s="4"/>
      <c r="N11" s="4" t="s">
        <v>0</v>
      </c>
      <c r="O11" s="4" t="s">
        <v>0</v>
      </c>
      <c r="P11" s="4"/>
      <c r="Q11" s="4" t="s">
        <v>0</v>
      </c>
      <c r="R11" s="4" t="s">
        <v>0</v>
      </c>
      <c r="S11" s="4" t="s">
        <v>0</v>
      </c>
      <c r="T11" s="4"/>
      <c r="U11" s="4" t="s">
        <v>0</v>
      </c>
      <c r="V11" s="4"/>
      <c r="W11" s="4" t="s">
        <v>0</v>
      </c>
      <c r="X11" s="4" t="s">
        <v>0</v>
      </c>
      <c r="Y11" s="4" t="s">
        <v>0</v>
      </c>
      <c r="Z11" s="4" t="s">
        <v>0</v>
      </c>
      <c r="AA11" s="4"/>
    </row>
    <row r="12" spans="1:27" x14ac:dyDescent="0.3">
      <c r="A12" s="13" t="s">
        <v>31</v>
      </c>
      <c r="B12" s="13"/>
      <c r="C12" s="4">
        <v>3176000</v>
      </c>
      <c r="D12" s="4" t="s">
        <v>0</v>
      </c>
      <c r="E12" s="4"/>
      <c r="F12" s="4" t="s">
        <v>0</v>
      </c>
      <c r="G12" s="4" t="s">
        <v>0</v>
      </c>
      <c r="H12" s="4" t="s">
        <v>0</v>
      </c>
      <c r="I12" s="4" t="s">
        <v>0</v>
      </c>
      <c r="J12" s="4">
        <v>3176000</v>
      </c>
      <c r="K12" s="4"/>
      <c r="L12" s="4">
        <v>3175999.9999999991</v>
      </c>
      <c r="M12" s="4"/>
      <c r="N12" s="4" t="s">
        <v>0</v>
      </c>
      <c r="O12" s="4" t="s">
        <v>0</v>
      </c>
      <c r="P12" s="4"/>
      <c r="Q12" s="4" t="s">
        <v>0</v>
      </c>
      <c r="R12" s="4" t="s">
        <v>0</v>
      </c>
      <c r="S12" s="4" t="s">
        <v>0</v>
      </c>
      <c r="T12" s="4"/>
      <c r="U12" s="4" t="s">
        <v>0</v>
      </c>
      <c r="V12" s="4"/>
      <c r="W12" s="4" t="s">
        <v>0</v>
      </c>
      <c r="X12" s="4" t="s">
        <v>0</v>
      </c>
      <c r="Y12" s="4" t="s">
        <v>0</v>
      </c>
      <c r="Z12" s="4" t="s">
        <v>0</v>
      </c>
      <c r="AA12" s="4"/>
    </row>
    <row r="13" spans="1:27" x14ac:dyDescent="0.3">
      <c r="A13" s="13" t="s">
        <v>32</v>
      </c>
      <c r="B13" s="13"/>
      <c r="C13" s="4">
        <v>2261750</v>
      </c>
      <c r="D13" s="4" t="s">
        <v>0</v>
      </c>
      <c r="E13" s="4"/>
      <c r="F13" s="4" t="s">
        <v>0</v>
      </c>
      <c r="G13" s="4" t="s">
        <v>0</v>
      </c>
      <c r="H13" s="4" t="s">
        <v>0</v>
      </c>
      <c r="I13" s="4" t="s">
        <v>0</v>
      </c>
      <c r="J13" s="4">
        <v>2261750</v>
      </c>
      <c r="K13" s="4"/>
      <c r="L13" s="4">
        <v>2261750</v>
      </c>
      <c r="M13" s="4"/>
      <c r="N13" s="4" t="s">
        <v>0</v>
      </c>
      <c r="O13" s="4" t="s">
        <v>0</v>
      </c>
      <c r="P13" s="4"/>
      <c r="Q13" s="4" t="s">
        <v>0</v>
      </c>
      <c r="R13" s="4" t="s">
        <v>0</v>
      </c>
      <c r="S13" s="4" t="s">
        <v>0</v>
      </c>
      <c r="T13" s="4"/>
      <c r="U13" s="4" t="s">
        <v>0</v>
      </c>
      <c r="V13" s="4"/>
      <c r="W13" s="4" t="s">
        <v>0</v>
      </c>
      <c r="X13" s="4" t="s">
        <v>0</v>
      </c>
      <c r="Y13" s="4" t="s">
        <v>0</v>
      </c>
      <c r="Z13" s="4" t="s">
        <v>0</v>
      </c>
      <c r="AA13" s="4"/>
    </row>
    <row r="14" spans="1:27" x14ac:dyDescent="0.3">
      <c r="A14" s="13" t="s">
        <v>33</v>
      </c>
      <c r="B14" s="13"/>
      <c r="C14" s="4">
        <v>2276534</v>
      </c>
      <c r="D14" s="4" t="s">
        <v>0</v>
      </c>
      <c r="E14" s="4"/>
      <c r="F14" s="4" t="s">
        <v>0</v>
      </c>
      <c r="G14" s="4" t="s">
        <v>0</v>
      </c>
      <c r="H14" s="4" t="s">
        <v>0</v>
      </c>
      <c r="I14" s="4" t="s">
        <v>0</v>
      </c>
      <c r="J14" s="4"/>
      <c r="K14" s="4"/>
      <c r="L14" s="4" t="s">
        <v>0</v>
      </c>
      <c r="M14" s="4"/>
      <c r="N14" s="4" t="s">
        <v>0</v>
      </c>
      <c r="O14" s="4" t="s">
        <v>0</v>
      </c>
      <c r="P14" s="4">
        <v>2276534</v>
      </c>
      <c r="Q14" s="4" t="s">
        <v>0</v>
      </c>
      <c r="R14" s="4">
        <v>82400</v>
      </c>
      <c r="S14" s="4">
        <v>2194134</v>
      </c>
      <c r="T14" s="4"/>
      <c r="U14" s="4" t="s">
        <v>0</v>
      </c>
      <c r="V14" s="4"/>
      <c r="W14" s="4" t="s">
        <v>0</v>
      </c>
      <c r="X14" s="4" t="s">
        <v>0</v>
      </c>
      <c r="Y14" s="4" t="s">
        <v>0</v>
      </c>
      <c r="Z14" s="4" t="s">
        <v>0</v>
      </c>
      <c r="AA14" s="4"/>
    </row>
    <row r="15" spans="1:27" x14ac:dyDescent="0.3">
      <c r="A15" s="13" t="s">
        <v>34</v>
      </c>
      <c r="B15" s="13"/>
      <c r="C15" s="4">
        <v>2080000</v>
      </c>
      <c r="D15" s="4" t="s">
        <v>0</v>
      </c>
      <c r="E15" s="4">
        <v>2080000</v>
      </c>
      <c r="F15" s="4">
        <v>2080000</v>
      </c>
      <c r="G15" s="4" t="s">
        <v>0</v>
      </c>
      <c r="H15" s="4" t="s">
        <v>0</v>
      </c>
      <c r="I15" s="4" t="s">
        <v>0</v>
      </c>
      <c r="J15" s="4"/>
      <c r="K15" s="4"/>
      <c r="L15" s="4" t="s">
        <v>0</v>
      </c>
      <c r="M15" s="4"/>
      <c r="N15" s="4" t="s">
        <v>0</v>
      </c>
      <c r="O15" s="4" t="s">
        <v>0</v>
      </c>
      <c r="P15" s="4"/>
      <c r="Q15" s="4" t="s">
        <v>0</v>
      </c>
      <c r="R15" s="4" t="s">
        <v>0</v>
      </c>
      <c r="S15" s="4" t="s">
        <v>0</v>
      </c>
      <c r="T15" s="4"/>
      <c r="U15" s="4" t="s">
        <v>0</v>
      </c>
      <c r="V15" s="4"/>
      <c r="W15" s="4" t="s">
        <v>0</v>
      </c>
      <c r="X15" s="4" t="s">
        <v>0</v>
      </c>
      <c r="Y15" s="4" t="s">
        <v>0</v>
      </c>
      <c r="Z15" s="4" t="s">
        <v>0</v>
      </c>
      <c r="AA15" s="4"/>
    </row>
    <row r="16" spans="1:27" x14ac:dyDescent="0.3">
      <c r="A16" s="13" t="s">
        <v>35</v>
      </c>
      <c r="B16" s="13"/>
      <c r="C16" s="4">
        <v>1855500</v>
      </c>
      <c r="D16" s="4" t="s">
        <v>0</v>
      </c>
      <c r="E16" s="4"/>
      <c r="F16" s="4" t="s">
        <v>0</v>
      </c>
      <c r="G16" s="4" t="s">
        <v>0</v>
      </c>
      <c r="H16" s="4" t="s">
        <v>0</v>
      </c>
      <c r="I16" s="4" t="s">
        <v>0</v>
      </c>
      <c r="J16" s="4">
        <v>1855500</v>
      </c>
      <c r="K16" s="4"/>
      <c r="L16" s="4">
        <v>1389699.9999999998</v>
      </c>
      <c r="M16" s="4"/>
      <c r="N16" s="4" t="s">
        <v>0</v>
      </c>
      <c r="O16" s="4" t="s">
        <v>0</v>
      </c>
      <c r="P16" s="4"/>
      <c r="Q16" s="4" t="s">
        <v>0</v>
      </c>
      <c r="R16" s="4" t="s">
        <v>0</v>
      </c>
      <c r="S16" s="4" t="s">
        <v>0</v>
      </c>
      <c r="T16" s="4"/>
      <c r="U16" s="4" t="s">
        <v>0</v>
      </c>
      <c r="V16" s="4"/>
      <c r="W16" s="4" t="s">
        <v>0</v>
      </c>
      <c r="X16" s="4" t="s">
        <v>0</v>
      </c>
      <c r="Y16" s="4" t="s">
        <v>0</v>
      </c>
      <c r="Z16" s="4" t="s">
        <v>0</v>
      </c>
      <c r="AA16" s="4"/>
    </row>
    <row r="17" spans="1:27" x14ac:dyDescent="0.3">
      <c r="A17" s="13" t="s">
        <v>36</v>
      </c>
      <c r="B17" s="13"/>
      <c r="C17" s="4">
        <v>1716800</v>
      </c>
      <c r="D17" s="4" t="s">
        <v>0</v>
      </c>
      <c r="E17" s="4"/>
      <c r="F17" s="4" t="s">
        <v>0</v>
      </c>
      <c r="G17" s="4" t="s">
        <v>0</v>
      </c>
      <c r="H17" s="4" t="s">
        <v>0</v>
      </c>
      <c r="I17" s="4" t="s">
        <v>0</v>
      </c>
      <c r="J17" s="4">
        <v>1716800</v>
      </c>
      <c r="K17" s="4"/>
      <c r="L17" s="4">
        <v>1716800</v>
      </c>
      <c r="M17" s="4"/>
      <c r="N17" s="4" t="s">
        <v>0</v>
      </c>
      <c r="O17" s="4" t="s">
        <v>0</v>
      </c>
      <c r="P17" s="4"/>
      <c r="Q17" s="4" t="s">
        <v>0</v>
      </c>
      <c r="R17" s="4" t="s">
        <v>0</v>
      </c>
      <c r="S17" s="4" t="s">
        <v>0</v>
      </c>
      <c r="T17" s="4"/>
      <c r="U17" s="4" t="s">
        <v>0</v>
      </c>
      <c r="V17" s="4"/>
      <c r="W17" s="4" t="s">
        <v>0</v>
      </c>
      <c r="X17" s="4" t="s">
        <v>0</v>
      </c>
      <c r="Y17" s="4" t="s">
        <v>0</v>
      </c>
      <c r="Z17" s="4" t="s">
        <v>0</v>
      </c>
      <c r="AA17" s="4"/>
    </row>
    <row r="18" spans="1:27" x14ac:dyDescent="0.3">
      <c r="A18" s="13" t="s">
        <v>37</v>
      </c>
      <c r="B18" s="13"/>
      <c r="C18" s="4">
        <v>1695199.9999999998</v>
      </c>
      <c r="D18" s="4" t="s">
        <v>0</v>
      </c>
      <c r="E18" s="4"/>
      <c r="F18" s="4" t="s">
        <v>0</v>
      </c>
      <c r="G18" s="4" t="s">
        <v>0</v>
      </c>
      <c r="H18" s="4" t="s">
        <v>0</v>
      </c>
      <c r="I18" s="4" t="s">
        <v>0</v>
      </c>
      <c r="J18" s="4">
        <v>1695199.9999999998</v>
      </c>
      <c r="K18" s="4" t="s">
        <v>0</v>
      </c>
      <c r="L18" s="4">
        <v>1695199.9999999998</v>
      </c>
      <c r="M18" s="4"/>
      <c r="N18" s="4" t="s">
        <v>0</v>
      </c>
      <c r="O18" s="4" t="s">
        <v>0</v>
      </c>
      <c r="P18" s="4"/>
      <c r="Q18" s="4" t="s">
        <v>0</v>
      </c>
      <c r="R18" s="4" t="s">
        <v>0</v>
      </c>
      <c r="S18" s="4" t="s">
        <v>0</v>
      </c>
      <c r="T18" s="4"/>
      <c r="U18" s="4" t="s">
        <v>0</v>
      </c>
      <c r="V18" s="4"/>
      <c r="W18" s="4" t="s">
        <v>0</v>
      </c>
      <c r="X18" s="4" t="s">
        <v>0</v>
      </c>
      <c r="Y18" s="4" t="s">
        <v>0</v>
      </c>
      <c r="Z18" s="4" t="s">
        <v>0</v>
      </c>
      <c r="AA18" s="4"/>
    </row>
    <row r="19" spans="1:27" x14ac:dyDescent="0.3">
      <c r="A19" s="13" t="s">
        <v>38</v>
      </c>
      <c r="B19" s="13"/>
      <c r="C19" s="4">
        <v>1450000</v>
      </c>
      <c r="D19" s="4" t="s">
        <v>0</v>
      </c>
      <c r="E19" s="4"/>
      <c r="F19" s="4" t="s">
        <v>0</v>
      </c>
      <c r="G19" s="4" t="s">
        <v>0</v>
      </c>
      <c r="H19" s="4" t="s">
        <v>0</v>
      </c>
      <c r="I19" s="4" t="s">
        <v>0</v>
      </c>
      <c r="J19" s="4">
        <v>1450000</v>
      </c>
      <c r="K19" s="4" t="s">
        <v>0</v>
      </c>
      <c r="L19" s="4">
        <v>1450000</v>
      </c>
      <c r="M19" s="4"/>
      <c r="N19" s="4" t="s">
        <v>0</v>
      </c>
      <c r="O19" s="4" t="s">
        <v>0</v>
      </c>
      <c r="P19" s="4"/>
      <c r="Q19" s="4" t="s">
        <v>0</v>
      </c>
      <c r="R19" s="4" t="s">
        <v>0</v>
      </c>
      <c r="S19" s="4" t="s">
        <v>0</v>
      </c>
      <c r="T19" s="4"/>
      <c r="U19" s="4" t="s">
        <v>0</v>
      </c>
      <c r="V19" s="4"/>
      <c r="W19" s="4" t="s">
        <v>0</v>
      </c>
      <c r="X19" s="4" t="s">
        <v>0</v>
      </c>
      <c r="Y19" s="4" t="s">
        <v>0</v>
      </c>
      <c r="Z19" s="4" t="s">
        <v>0</v>
      </c>
      <c r="AA19" s="4"/>
    </row>
    <row r="20" spans="1:27" x14ac:dyDescent="0.3">
      <c r="A20" s="13" t="s">
        <v>39</v>
      </c>
      <c r="B20" s="13"/>
      <c r="C20" s="4">
        <v>1413380</v>
      </c>
      <c r="D20" s="4" t="s">
        <v>0</v>
      </c>
      <c r="E20" s="4"/>
      <c r="F20" s="4" t="s">
        <v>0</v>
      </c>
      <c r="G20" s="4" t="s">
        <v>0</v>
      </c>
      <c r="H20" s="4" t="s">
        <v>0</v>
      </c>
      <c r="I20" s="4" t="s">
        <v>0</v>
      </c>
      <c r="J20" s="4"/>
      <c r="K20" s="4" t="s">
        <v>0</v>
      </c>
      <c r="L20" s="4" t="s">
        <v>0</v>
      </c>
      <c r="M20" s="4"/>
      <c r="N20" s="4" t="s">
        <v>0</v>
      </c>
      <c r="O20" s="4" t="s">
        <v>0</v>
      </c>
      <c r="P20" s="4">
        <v>1413380</v>
      </c>
      <c r="Q20" s="4" t="s">
        <v>0</v>
      </c>
      <c r="R20" s="4" t="s">
        <v>0</v>
      </c>
      <c r="S20" s="4">
        <v>1413380</v>
      </c>
      <c r="T20" s="4"/>
      <c r="U20" s="4" t="s">
        <v>0</v>
      </c>
      <c r="V20" s="4"/>
      <c r="W20" s="4" t="s">
        <v>0</v>
      </c>
      <c r="X20" s="4" t="s">
        <v>0</v>
      </c>
      <c r="Y20" s="4" t="s">
        <v>0</v>
      </c>
      <c r="Z20" s="4" t="s">
        <v>0</v>
      </c>
      <c r="AA20" s="4"/>
    </row>
    <row r="21" spans="1:27" x14ac:dyDescent="0.3">
      <c r="A21" s="13" t="s">
        <v>40</v>
      </c>
      <c r="B21" s="13"/>
      <c r="C21" s="4">
        <v>974600</v>
      </c>
      <c r="D21" s="4" t="s">
        <v>0</v>
      </c>
      <c r="E21" s="4"/>
      <c r="F21" s="4" t="s">
        <v>0</v>
      </c>
      <c r="G21" s="4" t="s">
        <v>0</v>
      </c>
      <c r="H21" s="4" t="s">
        <v>0</v>
      </c>
      <c r="I21" s="4" t="s">
        <v>0</v>
      </c>
      <c r="J21" s="4"/>
      <c r="K21" s="4" t="s">
        <v>0</v>
      </c>
      <c r="L21" s="4" t="s">
        <v>0</v>
      </c>
      <c r="M21" s="4"/>
      <c r="N21" s="4" t="s">
        <v>0</v>
      </c>
      <c r="O21" s="4" t="s">
        <v>0</v>
      </c>
      <c r="P21" s="4"/>
      <c r="Q21" s="4" t="s">
        <v>0</v>
      </c>
      <c r="R21" s="4" t="s">
        <v>0</v>
      </c>
      <c r="S21" s="4" t="s">
        <v>0</v>
      </c>
      <c r="T21" s="4"/>
      <c r="U21" s="4" t="s">
        <v>0</v>
      </c>
      <c r="V21" s="4">
        <v>974600</v>
      </c>
      <c r="W21" s="4">
        <v>974600</v>
      </c>
      <c r="X21" s="4" t="s">
        <v>0</v>
      </c>
      <c r="Y21" s="4" t="s">
        <v>0</v>
      </c>
      <c r="Z21" s="4" t="s">
        <v>0</v>
      </c>
      <c r="AA21" s="4"/>
    </row>
    <row r="22" spans="1:27" x14ac:dyDescent="0.3">
      <c r="A22" s="13" t="s">
        <v>41</v>
      </c>
      <c r="B22" s="13"/>
      <c r="C22" s="4">
        <v>1190000</v>
      </c>
      <c r="D22" s="4" t="s">
        <v>0</v>
      </c>
      <c r="E22" s="4">
        <v>1190000</v>
      </c>
      <c r="F22" s="4">
        <v>1190000</v>
      </c>
      <c r="G22" s="4" t="s">
        <v>0</v>
      </c>
      <c r="H22" s="4" t="s">
        <v>0</v>
      </c>
      <c r="I22" s="4" t="s">
        <v>0</v>
      </c>
      <c r="J22" s="4"/>
      <c r="K22" s="4" t="s">
        <v>0</v>
      </c>
      <c r="L22" s="4" t="s">
        <v>0</v>
      </c>
      <c r="M22" s="4"/>
      <c r="N22" s="4" t="s">
        <v>0</v>
      </c>
      <c r="O22" s="4" t="s">
        <v>0</v>
      </c>
      <c r="P22" s="4"/>
      <c r="Q22" s="4" t="s">
        <v>0</v>
      </c>
      <c r="R22" s="4" t="s">
        <v>0</v>
      </c>
      <c r="S22" s="4" t="s">
        <v>0</v>
      </c>
      <c r="T22" s="4"/>
      <c r="U22" s="4" t="s">
        <v>0</v>
      </c>
      <c r="V22" s="4"/>
      <c r="W22" s="4" t="s">
        <v>0</v>
      </c>
      <c r="X22" s="4" t="s">
        <v>0</v>
      </c>
      <c r="Y22" s="4" t="s">
        <v>0</v>
      </c>
      <c r="Z22" s="4" t="s">
        <v>0</v>
      </c>
      <c r="AA22" s="4"/>
    </row>
    <row r="23" spans="1:27" x14ac:dyDescent="0.3">
      <c r="A23" s="13" t="s">
        <v>42</v>
      </c>
      <c r="B23" s="13"/>
      <c r="C23" s="4">
        <v>2080000</v>
      </c>
      <c r="D23" s="4" t="s">
        <v>0</v>
      </c>
      <c r="E23" s="4">
        <v>2080000</v>
      </c>
      <c r="F23" s="4">
        <v>2080000</v>
      </c>
      <c r="G23" s="4" t="s">
        <v>0</v>
      </c>
      <c r="H23" s="4" t="s">
        <v>0</v>
      </c>
      <c r="I23" s="4" t="s">
        <v>0</v>
      </c>
      <c r="J23" s="4"/>
      <c r="K23" s="4" t="s">
        <v>0</v>
      </c>
      <c r="L23" s="4" t="s">
        <v>0</v>
      </c>
      <c r="M23" s="4"/>
      <c r="N23" s="4" t="s">
        <v>0</v>
      </c>
      <c r="O23" s="4" t="s">
        <v>0</v>
      </c>
      <c r="P23" s="4"/>
      <c r="Q23" s="4" t="s">
        <v>0</v>
      </c>
      <c r="R23" s="4" t="s">
        <v>0</v>
      </c>
      <c r="S23" s="4" t="s">
        <v>0</v>
      </c>
      <c r="T23" s="4"/>
      <c r="U23" s="4" t="s">
        <v>0</v>
      </c>
      <c r="V23" s="4"/>
      <c r="W23" s="4" t="s">
        <v>0</v>
      </c>
      <c r="X23" s="4" t="s">
        <v>0</v>
      </c>
      <c r="Y23" s="4" t="s">
        <v>0</v>
      </c>
      <c r="Z23" s="4" t="s">
        <v>0</v>
      </c>
      <c r="AA23" s="4"/>
    </row>
    <row r="24" spans="1:27" x14ac:dyDescent="0.3">
      <c r="A24" s="13" t="s">
        <v>22</v>
      </c>
      <c r="B24" s="13"/>
      <c r="C24" s="4">
        <v>9746733.0000000037</v>
      </c>
      <c r="D24" s="4" t="s">
        <v>0</v>
      </c>
      <c r="E24" s="4"/>
      <c r="F24" s="4" t="s">
        <v>0</v>
      </c>
      <c r="G24" s="4" t="s">
        <v>0</v>
      </c>
      <c r="H24" s="4" t="s">
        <v>0</v>
      </c>
      <c r="I24" s="4" t="s">
        <v>0</v>
      </c>
      <c r="J24" s="4">
        <v>5761766.0000000019</v>
      </c>
      <c r="K24" s="4" t="s">
        <v>0</v>
      </c>
      <c r="L24" s="4">
        <v>4736366</v>
      </c>
      <c r="M24" s="4"/>
      <c r="N24" s="4"/>
      <c r="O24" s="4"/>
      <c r="P24" s="4">
        <v>3984967.0000000009</v>
      </c>
      <c r="Q24" s="4"/>
      <c r="R24" s="4">
        <v>26300</v>
      </c>
      <c r="S24" s="4">
        <v>3870667.0000000009</v>
      </c>
      <c r="T24" s="4">
        <v>88000</v>
      </c>
      <c r="U24" s="4" t="s">
        <v>0</v>
      </c>
      <c r="V24" s="4"/>
      <c r="W24" s="4" t="s">
        <v>0</v>
      </c>
      <c r="X24" s="4" t="s">
        <v>0</v>
      </c>
      <c r="Y24" s="4" t="s">
        <v>0</v>
      </c>
      <c r="Z24" s="4" t="s">
        <v>0</v>
      </c>
      <c r="AA24" s="4"/>
    </row>
    <row r="25" spans="1:27" x14ac:dyDescent="0.3">
      <c r="A25" s="13" t="s">
        <v>43</v>
      </c>
      <c r="B25" s="13"/>
      <c r="C25" s="4">
        <f>SUM(C26:C45)</f>
        <v>30821906.00647549</v>
      </c>
      <c r="D25" s="4"/>
      <c r="E25" s="4"/>
      <c r="F25" s="4"/>
      <c r="G25" s="4"/>
      <c r="H25" s="4"/>
      <c r="I25" s="4"/>
      <c r="J25" s="4"/>
      <c r="K25" s="4">
        <v>96550</v>
      </c>
      <c r="L25" s="4"/>
      <c r="M25" s="4">
        <v>96549.999999999942</v>
      </c>
      <c r="N25" s="4"/>
      <c r="O25" s="4">
        <v>96549.999999999942</v>
      </c>
      <c r="P25" s="4">
        <v>1265224.0000000002</v>
      </c>
      <c r="Q25" s="4">
        <v>1259224.0000000002</v>
      </c>
      <c r="R25" s="4"/>
      <c r="S25" s="4">
        <v>6000</v>
      </c>
      <c r="T25" s="4"/>
      <c r="U25" s="4"/>
      <c r="V25" s="4">
        <v>29089197.00647549</v>
      </c>
      <c r="W25" s="4">
        <v>247016.40000000002</v>
      </c>
      <c r="X25" s="4">
        <v>23947073.606475491</v>
      </c>
      <c r="Y25" s="4">
        <v>2151362</v>
      </c>
      <c r="Z25" s="4">
        <v>2743745</v>
      </c>
      <c r="AA25" s="4">
        <v>370934.99999999994</v>
      </c>
    </row>
    <row r="26" spans="1:27" x14ac:dyDescent="0.3">
      <c r="A26" s="13" t="s">
        <v>44</v>
      </c>
      <c r="B26" s="13"/>
      <c r="C26" s="4">
        <v>97822.999999999942</v>
      </c>
      <c r="D26" s="4"/>
      <c r="E26" s="4"/>
      <c r="F26" s="4"/>
      <c r="G26" s="4"/>
      <c r="H26" s="4"/>
      <c r="I26" s="4"/>
      <c r="J26" s="4"/>
      <c r="K26" s="4">
        <v>96550</v>
      </c>
      <c r="M26" s="4"/>
      <c r="N26" s="4"/>
      <c r="O26" s="4">
        <v>96549.999999999942</v>
      </c>
      <c r="P26" s="4"/>
      <c r="Q26" s="4"/>
      <c r="R26" s="4"/>
      <c r="S26" s="4"/>
      <c r="T26" s="4"/>
      <c r="U26" s="4"/>
      <c r="V26" s="4">
        <v>1273</v>
      </c>
      <c r="W26" s="4">
        <v>700</v>
      </c>
      <c r="X26" s="4">
        <v>573</v>
      </c>
      <c r="Y26" s="4"/>
      <c r="Z26" s="4"/>
      <c r="AA26" s="4"/>
    </row>
    <row r="27" spans="1:27" x14ac:dyDescent="0.3">
      <c r="A27" s="13" t="s">
        <v>25</v>
      </c>
      <c r="B27" s="13"/>
      <c r="C27" s="4">
        <v>108771.23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>
        <v>108771.23</v>
      </c>
      <c r="W27" s="4">
        <v>11420.000000000002</v>
      </c>
      <c r="X27" s="4">
        <v>77551.23</v>
      </c>
      <c r="Y27" s="4" t="s">
        <v>0</v>
      </c>
      <c r="Z27" s="4">
        <v>19800</v>
      </c>
      <c r="AA27" s="4" t="s">
        <v>0</v>
      </c>
    </row>
    <row r="28" spans="1:27" x14ac:dyDescent="0.3">
      <c r="A28" s="13" t="s">
        <v>45</v>
      </c>
      <c r="B28" s="13"/>
      <c r="C28" s="4">
        <v>571998.24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>
        <v>571998.24</v>
      </c>
      <c r="W28" s="4">
        <v>17599</v>
      </c>
      <c r="X28" s="4">
        <v>98189.239999999991</v>
      </c>
      <c r="Y28" s="4">
        <v>79300</v>
      </c>
      <c r="Z28" s="4">
        <v>376909.99999999994</v>
      </c>
      <c r="AA28" s="4" t="s">
        <v>0</v>
      </c>
    </row>
    <row r="29" spans="1:27" x14ac:dyDescent="0.3">
      <c r="A29" s="13" t="s">
        <v>27</v>
      </c>
      <c r="B29" s="13"/>
      <c r="C29" s="4">
        <v>129029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>
        <v>119029</v>
      </c>
      <c r="W29" s="4">
        <v>15086</v>
      </c>
      <c r="X29" s="4">
        <v>20703</v>
      </c>
      <c r="Y29" s="4">
        <v>32800</v>
      </c>
      <c r="Z29" s="4">
        <v>50440</v>
      </c>
      <c r="AA29" s="4">
        <v>10000</v>
      </c>
    </row>
    <row r="30" spans="1:27" x14ac:dyDescent="0.3">
      <c r="A30" s="13" t="s">
        <v>28</v>
      </c>
      <c r="B30" s="13"/>
      <c r="C30" s="4">
        <v>288079.15000000002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>
        <v>288079.15000000002</v>
      </c>
      <c r="W30" s="4">
        <v>7200</v>
      </c>
      <c r="X30" s="4">
        <v>47979.149999999994</v>
      </c>
      <c r="Y30" s="4">
        <v>34000</v>
      </c>
      <c r="Z30" s="4">
        <v>198900.00000000003</v>
      </c>
      <c r="AA30" s="4" t="s">
        <v>0</v>
      </c>
    </row>
    <row r="31" spans="1:27" x14ac:dyDescent="0.3">
      <c r="A31" s="13" t="s">
        <v>29</v>
      </c>
      <c r="B31" s="13"/>
      <c r="C31" s="4">
        <v>189955.25499999998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>
        <v>189955.25499999998</v>
      </c>
      <c r="W31" s="4">
        <v>2810</v>
      </c>
      <c r="X31" s="4">
        <v>38685.254999999983</v>
      </c>
      <c r="Y31" s="4">
        <v>39500</v>
      </c>
      <c r="Z31" s="4">
        <v>108960</v>
      </c>
      <c r="AA31" s="4" t="s">
        <v>0</v>
      </c>
    </row>
    <row r="32" spans="1:27" x14ac:dyDescent="0.3">
      <c r="A32" s="13" t="s">
        <v>30</v>
      </c>
      <c r="B32" s="13"/>
      <c r="C32" s="4">
        <v>166886.86499999999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>
        <v>166886.86499999999</v>
      </c>
      <c r="W32" s="4" t="s">
        <v>0</v>
      </c>
      <c r="X32" s="4">
        <v>81106.864999999991</v>
      </c>
      <c r="Y32" s="4">
        <v>3000</v>
      </c>
      <c r="Z32" s="4">
        <v>82780</v>
      </c>
      <c r="AA32" s="4" t="s">
        <v>0</v>
      </c>
    </row>
    <row r="33" spans="1:27" x14ac:dyDescent="0.3">
      <c r="A33" s="13" t="s">
        <v>31</v>
      </c>
      <c r="B33" s="13"/>
      <c r="C33" s="4">
        <v>14469.000000000002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>
        <v>14469.000000000002</v>
      </c>
      <c r="W33" s="4" t="s">
        <v>0</v>
      </c>
      <c r="X33" s="4">
        <v>14469.000000000002</v>
      </c>
      <c r="Y33" s="4" t="s">
        <v>0</v>
      </c>
      <c r="Z33" s="4" t="s">
        <v>0</v>
      </c>
      <c r="AA33" s="4" t="s">
        <v>0</v>
      </c>
    </row>
    <row r="34" spans="1:27" x14ac:dyDescent="0.3">
      <c r="A34" s="13" t="s">
        <v>32</v>
      </c>
      <c r="B34" s="13"/>
      <c r="C34" s="4">
        <v>209266.6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>
        <v>209266.6</v>
      </c>
      <c r="W34" s="4" t="s">
        <v>0</v>
      </c>
      <c r="X34" s="4">
        <v>4266.6000000000004</v>
      </c>
      <c r="Y34" s="4" t="s">
        <v>0</v>
      </c>
      <c r="Z34" s="4">
        <v>205000</v>
      </c>
      <c r="AA34" s="4" t="s">
        <v>0</v>
      </c>
    </row>
    <row r="35" spans="1:27" x14ac:dyDescent="0.3">
      <c r="A35" s="13" t="s">
        <v>33</v>
      </c>
      <c r="B35" s="13"/>
      <c r="C35" s="4">
        <v>66054.12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>
        <v>25614.120000000003</v>
      </c>
      <c r="W35" s="4" t="s">
        <v>0</v>
      </c>
      <c r="X35" s="4">
        <v>8114.1200000000017</v>
      </c>
      <c r="Y35" s="4" t="s">
        <v>0</v>
      </c>
      <c r="Z35" s="4">
        <v>17500</v>
      </c>
      <c r="AA35" s="4">
        <v>40440</v>
      </c>
    </row>
    <row r="36" spans="1:27" x14ac:dyDescent="0.3">
      <c r="A36" s="13" t="s">
        <v>34</v>
      </c>
      <c r="B36" s="13"/>
      <c r="C36" s="4">
        <v>6638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>
        <v>6638</v>
      </c>
      <c r="W36" s="4">
        <v>5000</v>
      </c>
      <c r="X36" s="4">
        <v>1638</v>
      </c>
      <c r="Y36" s="4" t="s">
        <v>0</v>
      </c>
      <c r="Z36" s="4" t="s">
        <v>0</v>
      </c>
      <c r="AA36" s="4" t="s">
        <v>0</v>
      </c>
    </row>
    <row r="37" spans="1:27" x14ac:dyDescent="0.3">
      <c r="A37" s="13" t="s">
        <v>35</v>
      </c>
      <c r="B37" s="13"/>
      <c r="C37" s="4">
        <v>125399.99999999999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>
        <v>125399.99999999999</v>
      </c>
      <c r="W37" s="4" t="s">
        <v>0</v>
      </c>
      <c r="X37" s="4" t="s">
        <v>0</v>
      </c>
      <c r="Y37" s="4" t="s">
        <v>0</v>
      </c>
      <c r="Z37" s="4">
        <v>125399.99999999999</v>
      </c>
      <c r="AA37" s="4" t="s">
        <v>0</v>
      </c>
    </row>
    <row r="38" spans="1:27" x14ac:dyDescent="0.3">
      <c r="A38" s="13" t="s">
        <v>36</v>
      </c>
      <c r="B38" s="13"/>
      <c r="C38" s="4">
        <v>1861.83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>
        <v>1861.83</v>
      </c>
      <c r="W38" s="4" t="s">
        <v>0</v>
      </c>
      <c r="X38" s="4">
        <v>1861.83</v>
      </c>
      <c r="Y38" s="4" t="s">
        <v>0</v>
      </c>
      <c r="Z38" s="4" t="s">
        <v>0</v>
      </c>
      <c r="AA38" s="4" t="s">
        <v>0</v>
      </c>
    </row>
    <row r="39" spans="1:27" x14ac:dyDescent="0.3">
      <c r="A39" s="13" t="s">
        <v>37</v>
      </c>
      <c r="B39" s="13"/>
      <c r="C39" s="4">
        <v>19800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>
        <v>19800</v>
      </c>
      <c r="W39" s="4" t="s">
        <v>0</v>
      </c>
      <c r="X39" s="4" t="s">
        <v>0</v>
      </c>
      <c r="Y39" s="4" t="s">
        <v>0</v>
      </c>
      <c r="Z39" s="4">
        <v>19800</v>
      </c>
      <c r="AA39" s="4" t="s">
        <v>0</v>
      </c>
    </row>
    <row r="40" spans="1:27" x14ac:dyDescent="0.3">
      <c r="A40" s="13" t="s">
        <v>38</v>
      </c>
      <c r="B40" s="13"/>
      <c r="C40" s="4">
        <v>664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>
        <v>664</v>
      </c>
      <c r="W40" s="4" t="s">
        <v>0</v>
      </c>
      <c r="X40" s="4">
        <v>664</v>
      </c>
      <c r="Y40" s="4" t="s">
        <v>0</v>
      </c>
      <c r="Z40" s="4" t="s">
        <v>0</v>
      </c>
      <c r="AA40" s="4" t="s">
        <v>0</v>
      </c>
    </row>
    <row r="41" spans="1:27" x14ac:dyDescent="0.3">
      <c r="A41" s="13" t="s">
        <v>39</v>
      </c>
      <c r="B41" s="13"/>
      <c r="C41" s="4">
        <v>28451.68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>
        <v>28451.68</v>
      </c>
      <c r="W41" s="4">
        <v>1030</v>
      </c>
      <c r="X41" s="4">
        <v>5011.6799999999994</v>
      </c>
      <c r="Y41" s="4">
        <v>7050</v>
      </c>
      <c r="Z41" s="4">
        <v>15360</v>
      </c>
      <c r="AA41" s="4" t="s">
        <v>0</v>
      </c>
    </row>
    <row r="42" spans="1:27" x14ac:dyDescent="0.3">
      <c r="A42" s="13" t="s">
        <v>40</v>
      </c>
      <c r="B42" s="13"/>
      <c r="C42" s="4">
        <v>407384.89500000002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>
        <v>407384.89500000002</v>
      </c>
      <c r="W42" s="4">
        <v>119856.99999999999</v>
      </c>
      <c r="X42" s="4">
        <v>25527.894999999997</v>
      </c>
      <c r="Y42" s="4">
        <v>8000</v>
      </c>
      <c r="Z42" s="4">
        <v>254000</v>
      </c>
      <c r="AA42" s="4" t="s">
        <v>0</v>
      </c>
    </row>
    <row r="43" spans="1:27" x14ac:dyDescent="0.3">
      <c r="A43" s="13" t="s">
        <v>41</v>
      </c>
      <c r="B43" s="13"/>
      <c r="C43" s="4">
        <v>9973.2000000000007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>
        <v>9973.2000000000007</v>
      </c>
      <c r="W43" s="4">
        <v>4872</v>
      </c>
      <c r="X43" s="4">
        <v>5101.2000000000007</v>
      </c>
      <c r="Y43" s="4" t="s">
        <v>0</v>
      </c>
      <c r="Z43" s="4" t="s">
        <v>0</v>
      </c>
      <c r="AA43" s="4" t="s">
        <v>0</v>
      </c>
    </row>
    <row r="44" spans="1:27" x14ac:dyDescent="0.3">
      <c r="A44" s="13" t="s">
        <v>42</v>
      </c>
      <c r="B44" s="13"/>
      <c r="C44" s="4">
        <v>0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>
        <v>0</v>
      </c>
      <c r="W44" s="4" t="s">
        <v>0</v>
      </c>
      <c r="X44" s="4" t="s">
        <v>0</v>
      </c>
      <c r="Y44" s="4" t="s">
        <v>0</v>
      </c>
      <c r="Z44" s="4" t="s">
        <v>0</v>
      </c>
      <c r="AA44" s="4" t="s">
        <v>0</v>
      </c>
    </row>
    <row r="45" spans="1:27" x14ac:dyDescent="0.3">
      <c r="A45" s="13" t="s">
        <v>22</v>
      </c>
      <c r="B45" s="13"/>
      <c r="C45" s="4">
        <v>28379399.941475488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>
        <v>1265224.0000000002</v>
      </c>
      <c r="Q45" s="4">
        <v>1259224.0000000002</v>
      </c>
      <c r="R45" s="4" t="s">
        <v>0</v>
      </c>
      <c r="S45" s="4">
        <v>6000</v>
      </c>
      <c r="T45" s="4" t="s">
        <v>0</v>
      </c>
      <c r="U45" s="4"/>
      <c r="V45" s="4">
        <v>26793680.941475488</v>
      </c>
      <c r="W45" s="4">
        <v>61442.400000000023</v>
      </c>
      <c r="X45" s="4">
        <v>23515631.54147549</v>
      </c>
      <c r="Y45" s="4">
        <v>1947711.9999999998</v>
      </c>
      <c r="Z45" s="4">
        <v>1268894.9999999998</v>
      </c>
      <c r="AA45" s="4">
        <v>320494.99999999994</v>
      </c>
    </row>
  </sheetData>
  <mergeCells count="69">
    <mergeCell ref="U2:U3"/>
    <mergeCell ref="V2:V3"/>
    <mergeCell ref="K2:K3"/>
    <mergeCell ref="L2:L3"/>
    <mergeCell ref="M2:M3"/>
    <mergeCell ref="N2:N3"/>
    <mergeCell ref="O2:O3"/>
    <mergeCell ref="P2:P3"/>
    <mergeCell ref="A4:B4"/>
    <mergeCell ref="Q2:Q3"/>
    <mergeCell ref="R2:R3"/>
    <mergeCell ref="S2:S3"/>
    <mergeCell ref="T2:T3"/>
    <mergeCell ref="A1:A2"/>
    <mergeCell ref="C1:AA1"/>
    <mergeCell ref="C2:C3"/>
    <mergeCell ref="D2:D3"/>
    <mergeCell ref="E2:E3"/>
    <mergeCell ref="F2:F3"/>
    <mergeCell ref="G2:G3"/>
    <mergeCell ref="H2:H3"/>
    <mergeCell ref="I2:I3"/>
    <mergeCell ref="J2:J3"/>
    <mergeCell ref="W2:W3"/>
    <mergeCell ref="X2:X3"/>
    <mergeCell ref="Y2:Y3"/>
    <mergeCell ref="Z2:Z3"/>
    <mergeCell ref="AA2:AA3"/>
    <mergeCell ref="A16:B16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40:B40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1:B41"/>
    <mergeCell ref="A42:B42"/>
    <mergeCell ref="A43:B43"/>
    <mergeCell ref="A44:B44"/>
    <mergeCell ref="A45:B45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14D9-BB26-4E39-97D9-FFE548661F3D}">
  <dimension ref="A1:AZ32"/>
  <sheetViews>
    <sheetView zoomScale="70" zoomScaleNormal="70" workbookViewId="0">
      <selection activeCell="C40" sqref="C40"/>
    </sheetView>
  </sheetViews>
  <sheetFormatPr defaultRowHeight="16.5" x14ac:dyDescent="0.3"/>
  <cols>
    <col min="1" max="1" width="15.875" style="2" bestFit="1" customWidth="1"/>
    <col min="2" max="2" width="9" style="2"/>
    <col min="3" max="3" width="12.5" style="2" bestFit="1" customWidth="1"/>
    <col min="4" max="16384" width="9" style="2"/>
  </cols>
  <sheetData>
    <row r="1" spans="1:52" x14ac:dyDescent="0.3">
      <c r="A1" s="15" t="s">
        <v>0</v>
      </c>
      <c r="B1" s="1" t="s">
        <v>1</v>
      </c>
      <c r="C1" s="14">
        <v>2023</v>
      </c>
      <c r="D1" s="14" t="s">
        <v>2</v>
      </c>
      <c r="E1" s="14" t="s">
        <v>2</v>
      </c>
      <c r="F1" s="14" t="s">
        <v>2</v>
      </c>
      <c r="G1" s="14" t="s">
        <v>2</v>
      </c>
      <c r="H1" s="14" t="s">
        <v>2</v>
      </c>
      <c r="I1" s="14" t="s">
        <v>2</v>
      </c>
      <c r="J1" s="14" t="s">
        <v>2</v>
      </c>
      <c r="K1" s="14" t="s">
        <v>2</v>
      </c>
      <c r="L1" s="14" t="s">
        <v>2</v>
      </c>
      <c r="M1" s="14" t="s">
        <v>2</v>
      </c>
      <c r="N1" s="14" t="s">
        <v>2</v>
      </c>
      <c r="O1" s="14" t="s">
        <v>2</v>
      </c>
      <c r="P1" s="14" t="s">
        <v>2</v>
      </c>
      <c r="Q1" s="14" t="s">
        <v>2</v>
      </c>
      <c r="R1" s="14" t="s">
        <v>2</v>
      </c>
      <c r="S1" s="14" t="s">
        <v>2</v>
      </c>
      <c r="T1" s="14" t="s">
        <v>2</v>
      </c>
      <c r="U1" s="14" t="s">
        <v>2</v>
      </c>
      <c r="V1" s="14" t="s">
        <v>2</v>
      </c>
      <c r="W1" s="14" t="s">
        <v>2</v>
      </c>
      <c r="X1" s="14" t="s">
        <v>2</v>
      </c>
      <c r="Y1" s="14" t="s">
        <v>2</v>
      </c>
      <c r="Z1" s="14" t="s">
        <v>2</v>
      </c>
      <c r="AA1" s="14" t="s">
        <v>2</v>
      </c>
      <c r="AB1" s="14" t="s">
        <v>2</v>
      </c>
      <c r="AC1" s="14" t="s">
        <v>2</v>
      </c>
      <c r="AD1" s="14" t="s">
        <v>2</v>
      </c>
      <c r="AE1" s="14" t="s">
        <v>2</v>
      </c>
      <c r="AF1" s="14" t="s">
        <v>2</v>
      </c>
      <c r="AG1" s="14" t="s">
        <v>2</v>
      </c>
      <c r="AH1" s="14" t="s">
        <v>2</v>
      </c>
      <c r="AI1" s="14" t="s">
        <v>2</v>
      </c>
      <c r="AJ1" s="14" t="s">
        <v>2</v>
      </c>
      <c r="AK1" s="14" t="s">
        <v>2</v>
      </c>
      <c r="AL1" s="14" t="s">
        <v>2</v>
      </c>
      <c r="AM1" s="14" t="s">
        <v>2</v>
      </c>
      <c r="AN1" s="14" t="s">
        <v>2</v>
      </c>
      <c r="AO1" s="14" t="s">
        <v>2</v>
      </c>
      <c r="AP1" s="14" t="s">
        <v>2</v>
      </c>
      <c r="AQ1" s="14" t="s">
        <v>2</v>
      </c>
      <c r="AR1" s="14" t="s">
        <v>2</v>
      </c>
      <c r="AS1" s="14" t="s">
        <v>2</v>
      </c>
      <c r="AT1" s="14" t="s">
        <v>2</v>
      </c>
      <c r="AU1" s="14" t="s">
        <v>2</v>
      </c>
      <c r="AV1" s="14" t="s">
        <v>2</v>
      </c>
      <c r="AW1" s="14" t="s">
        <v>2</v>
      </c>
      <c r="AX1" s="14" t="s">
        <v>2</v>
      </c>
      <c r="AY1" s="14" t="s">
        <v>2</v>
      </c>
      <c r="AZ1" s="14" t="s">
        <v>2</v>
      </c>
    </row>
    <row r="2" spans="1:52" x14ac:dyDescent="0.3">
      <c r="A2" s="15" t="s">
        <v>0</v>
      </c>
      <c r="B2" s="1" t="s">
        <v>3</v>
      </c>
      <c r="C2" s="14" t="s">
        <v>4</v>
      </c>
      <c r="D2" s="14" t="s">
        <v>4</v>
      </c>
      <c r="E2" s="14" t="s">
        <v>5</v>
      </c>
      <c r="F2" s="14" t="s">
        <v>5</v>
      </c>
      <c r="G2" s="14" t="s">
        <v>6</v>
      </c>
      <c r="H2" s="14" t="s">
        <v>6</v>
      </c>
      <c r="I2" s="14" t="s">
        <v>7</v>
      </c>
      <c r="J2" s="14" t="s">
        <v>7</v>
      </c>
      <c r="K2" s="14" t="s">
        <v>8</v>
      </c>
      <c r="L2" s="14" t="s">
        <v>8</v>
      </c>
      <c r="M2" s="14" t="s">
        <v>9</v>
      </c>
      <c r="N2" s="14" t="s">
        <v>9</v>
      </c>
      <c r="O2" s="14" t="s">
        <v>10</v>
      </c>
      <c r="P2" s="14" t="s">
        <v>10</v>
      </c>
      <c r="Q2" s="14" t="s">
        <v>11</v>
      </c>
      <c r="R2" s="14" t="s">
        <v>11</v>
      </c>
      <c r="S2" s="14" t="s">
        <v>12</v>
      </c>
      <c r="T2" s="14" t="s">
        <v>12</v>
      </c>
      <c r="U2" s="14" t="s">
        <v>10</v>
      </c>
      <c r="V2" s="14" t="s">
        <v>10</v>
      </c>
      <c r="W2" s="14" t="s">
        <v>13</v>
      </c>
      <c r="X2" s="14" t="s">
        <v>13</v>
      </c>
      <c r="Y2" s="14" t="s">
        <v>9</v>
      </c>
      <c r="Z2" s="14" t="s">
        <v>9</v>
      </c>
      <c r="AA2" s="14" t="s">
        <v>12</v>
      </c>
      <c r="AB2" s="14" t="s">
        <v>12</v>
      </c>
      <c r="AC2" s="14" t="s">
        <v>14</v>
      </c>
      <c r="AD2" s="14" t="s">
        <v>14</v>
      </c>
      <c r="AE2" s="14" t="s">
        <v>7</v>
      </c>
      <c r="AF2" s="14" t="s">
        <v>7</v>
      </c>
      <c r="AG2" s="14" t="s">
        <v>15</v>
      </c>
      <c r="AH2" s="14" t="s">
        <v>15</v>
      </c>
      <c r="AI2" s="14" t="s">
        <v>10</v>
      </c>
      <c r="AJ2" s="14" t="s">
        <v>10</v>
      </c>
      <c r="AK2" s="14" t="s">
        <v>16</v>
      </c>
      <c r="AL2" s="14" t="s">
        <v>16</v>
      </c>
      <c r="AM2" s="14" t="s">
        <v>17</v>
      </c>
      <c r="AN2" s="14" t="s">
        <v>17</v>
      </c>
      <c r="AO2" s="14" t="s">
        <v>18</v>
      </c>
      <c r="AP2" s="14" t="s">
        <v>18</v>
      </c>
      <c r="AQ2" s="14" t="s">
        <v>19</v>
      </c>
      <c r="AR2" s="14" t="s">
        <v>19</v>
      </c>
      <c r="AS2" s="14" t="s">
        <v>20</v>
      </c>
      <c r="AT2" s="14" t="s">
        <v>20</v>
      </c>
      <c r="AU2" s="14" t="s">
        <v>21</v>
      </c>
      <c r="AV2" s="14" t="s">
        <v>21</v>
      </c>
      <c r="AW2" s="14" t="s">
        <v>16</v>
      </c>
      <c r="AX2" s="14" t="s">
        <v>16</v>
      </c>
      <c r="AY2" s="14" t="s">
        <v>22</v>
      </c>
      <c r="AZ2" s="14" t="s">
        <v>22</v>
      </c>
    </row>
    <row r="3" spans="1:52" x14ac:dyDescent="0.3">
      <c r="A3" s="15" t="s">
        <v>0</v>
      </c>
      <c r="B3" s="1" t="s">
        <v>169</v>
      </c>
      <c r="C3" s="14" t="s">
        <v>437</v>
      </c>
      <c r="D3" s="14" t="s">
        <v>171</v>
      </c>
      <c r="E3" s="14" t="s">
        <v>437</v>
      </c>
      <c r="F3" s="14" t="s">
        <v>171</v>
      </c>
      <c r="G3" s="14" t="s">
        <v>437</v>
      </c>
      <c r="H3" s="14" t="s">
        <v>171</v>
      </c>
      <c r="I3" s="14" t="s">
        <v>437</v>
      </c>
      <c r="J3" s="14" t="s">
        <v>171</v>
      </c>
      <c r="K3" s="14" t="s">
        <v>437</v>
      </c>
      <c r="L3" s="14" t="s">
        <v>171</v>
      </c>
      <c r="M3" s="14" t="s">
        <v>437</v>
      </c>
      <c r="N3" s="14" t="s">
        <v>171</v>
      </c>
      <c r="O3" s="14" t="s">
        <v>437</v>
      </c>
      <c r="P3" s="14" t="s">
        <v>171</v>
      </c>
      <c r="Q3" s="14" t="s">
        <v>437</v>
      </c>
      <c r="R3" s="14" t="s">
        <v>171</v>
      </c>
      <c r="S3" s="14" t="s">
        <v>437</v>
      </c>
      <c r="T3" s="14" t="s">
        <v>171</v>
      </c>
      <c r="U3" s="14" t="s">
        <v>437</v>
      </c>
      <c r="V3" s="14" t="s">
        <v>171</v>
      </c>
      <c r="W3" s="14" t="s">
        <v>437</v>
      </c>
      <c r="X3" s="14" t="s">
        <v>171</v>
      </c>
      <c r="Y3" s="14" t="s">
        <v>437</v>
      </c>
      <c r="Z3" s="14" t="s">
        <v>171</v>
      </c>
      <c r="AA3" s="14" t="s">
        <v>437</v>
      </c>
      <c r="AB3" s="14" t="s">
        <v>171</v>
      </c>
      <c r="AC3" s="14" t="s">
        <v>437</v>
      </c>
      <c r="AD3" s="14" t="s">
        <v>171</v>
      </c>
      <c r="AE3" s="14" t="s">
        <v>437</v>
      </c>
      <c r="AF3" s="14" t="s">
        <v>171</v>
      </c>
      <c r="AG3" s="14" t="s">
        <v>437</v>
      </c>
      <c r="AH3" s="14" t="s">
        <v>171</v>
      </c>
      <c r="AI3" s="14" t="s">
        <v>437</v>
      </c>
      <c r="AJ3" s="14" t="s">
        <v>171</v>
      </c>
      <c r="AK3" s="14" t="s">
        <v>437</v>
      </c>
      <c r="AL3" s="14" t="s">
        <v>171</v>
      </c>
      <c r="AM3" s="14" t="s">
        <v>437</v>
      </c>
      <c r="AN3" s="14" t="s">
        <v>171</v>
      </c>
      <c r="AO3" s="14" t="s">
        <v>437</v>
      </c>
      <c r="AP3" s="14" t="s">
        <v>171</v>
      </c>
      <c r="AQ3" s="14" t="s">
        <v>437</v>
      </c>
      <c r="AR3" s="14" t="s">
        <v>171</v>
      </c>
      <c r="AS3" s="14" t="s">
        <v>437</v>
      </c>
      <c r="AT3" s="14" t="s">
        <v>171</v>
      </c>
      <c r="AU3" s="14" t="s">
        <v>437</v>
      </c>
      <c r="AV3" s="14" t="s">
        <v>171</v>
      </c>
      <c r="AW3" s="14" t="s">
        <v>437</v>
      </c>
      <c r="AX3" s="14" t="s">
        <v>171</v>
      </c>
      <c r="AY3" s="14" t="s">
        <v>437</v>
      </c>
      <c r="AZ3" s="14" t="s">
        <v>171</v>
      </c>
    </row>
    <row r="4" spans="1:52" x14ac:dyDescent="0.3">
      <c r="A4" s="3" t="s">
        <v>438</v>
      </c>
      <c r="B4" s="3" t="s">
        <v>0</v>
      </c>
      <c r="C4" s="14" t="s">
        <v>437</v>
      </c>
      <c r="D4" s="14" t="s">
        <v>171</v>
      </c>
      <c r="E4" s="14" t="s">
        <v>437</v>
      </c>
      <c r="F4" s="14" t="s">
        <v>171</v>
      </c>
      <c r="G4" s="14" t="s">
        <v>437</v>
      </c>
      <c r="H4" s="14" t="s">
        <v>171</v>
      </c>
      <c r="I4" s="14" t="s">
        <v>437</v>
      </c>
      <c r="J4" s="14" t="s">
        <v>171</v>
      </c>
      <c r="K4" s="14" t="s">
        <v>437</v>
      </c>
      <c r="L4" s="14" t="s">
        <v>171</v>
      </c>
      <c r="M4" s="14" t="s">
        <v>437</v>
      </c>
      <c r="N4" s="14" t="s">
        <v>171</v>
      </c>
      <c r="O4" s="14" t="s">
        <v>437</v>
      </c>
      <c r="P4" s="14" t="s">
        <v>171</v>
      </c>
      <c r="Q4" s="14" t="s">
        <v>437</v>
      </c>
      <c r="R4" s="14" t="s">
        <v>171</v>
      </c>
      <c r="S4" s="14" t="s">
        <v>437</v>
      </c>
      <c r="T4" s="14" t="s">
        <v>171</v>
      </c>
      <c r="U4" s="14" t="s">
        <v>437</v>
      </c>
      <c r="V4" s="14" t="s">
        <v>171</v>
      </c>
      <c r="W4" s="14" t="s">
        <v>437</v>
      </c>
      <c r="X4" s="14" t="s">
        <v>171</v>
      </c>
      <c r="Y4" s="14" t="s">
        <v>437</v>
      </c>
      <c r="Z4" s="14" t="s">
        <v>171</v>
      </c>
      <c r="AA4" s="14" t="s">
        <v>437</v>
      </c>
      <c r="AB4" s="14" t="s">
        <v>171</v>
      </c>
      <c r="AC4" s="14" t="s">
        <v>437</v>
      </c>
      <c r="AD4" s="14" t="s">
        <v>171</v>
      </c>
      <c r="AE4" s="14" t="s">
        <v>437</v>
      </c>
      <c r="AF4" s="14" t="s">
        <v>171</v>
      </c>
      <c r="AG4" s="14" t="s">
        <v>437</v>
      </c>
      <c r="AH4" s="14" t="s">
        <v>171</v>
      </c>
      <c r="AI4" s="14" t="s">
        <v>437</v>
      </c>
      <c r="AJ4" s="14" t="s">
        <v>171</v>
      </c>
      <c r="AK4" s="14" t="s">
        <v>437</v>
      </c>
      <c r="AL4" s="14" t="s">
        <v>171</v>
      </c>
      <c r="AM4" s="14" t="s">
        <v>437</v>
      </c>
      <c r="AN4" s="14" t="s">
        <v>171</v>
      </c>
      <c r="AO4" s="14" t="s">
        <v>437</v>
      </c>
      <c r="AP4" s="14" t="s">
        <v>171</v>
      </c>
      <c r="AQ4" s="14" t="s">
        <v>437</v>
      </c>
      <c r="AR4" s="14" t="s">
        <v>171</v>
      </c>
      <c r="AS4" s="14" t="s">
        <v>437</v>
      </c>
      <c r="AT4" s="14" t="s">
        <v>171</v>
      </c>
      <c r="AU4" s="14" t="s">
        <v>437</v>
      </c>
      <c r="AV4" s="14" t="s">
        <v>171</v>
      </c>
      <c r="AW4" s="14" t="s">
        <v>437</v>
      </c>
      <c r="AX4" s="14" t="s">
        <v>171</v>
      </c>
      <c r="AY4" s="14" t="s">
        <v>437</v>
      </c>
      <c r="AZ4" s="14" t="s">
        <v>171</v>
      </c>
    </row>
    <row r="5" spans="1:52" x14ac:dyDescent="0.3">
      <c r="A5" s="13" t="s">
        <v>4</v>
      </c>
      <c r="B5" s="13"/>
      <c r="C5" s="4">
        <f>SUM(E5,G5,Q5,W5,AC5,AM5,AO5,AY5)</f>
        <v>144420907.60647652</v>
      </c>
      <c r="D5" s="4">
        <f>SUM(F5,H5,R5,X5,AD5,AN5,AP5,AZ5)</f>
        <v>132372</v>
      </c>
      <c r="E5" s="4">
        <v>24650000</v>
      </c>
      <c r="F5" s="4">
        <v>25</v>
      </c>
      <c r="G5" s="4">
        <v>39308658</v>
      </c>
      <c r="H5" s="4">
        <v>63</v>
      </c>
      <c r="I5" s="4">
        <f>SUM(I7:I25)</f>
        <v>37508658</v>
      </c>
      <c r="J5" s="4">
        <v>57</v>
      </c>
      <c r="K5" s="4">
        <v>400000</v>
      </c>
      <c r="L5" s="4">
        <v>2</v>
      </c>
      <c r="M5" s="4"/>
      <c r="N5" s="4"/>
      <c r="O5" s="4">
        <v>1400000</v>
      </c>
      <c r="P5" s="4">
        <v>4</v>
      </c>
      <c r="Q5" s="4">
        <v>34038252</v>
      </c>
      <c r="R5" s="4">
        <v>200</v>
      </c>
      <c r="S5" s="4">
        <v>465799.99999999994</v>
      </c>
      <c r="T5" s="4">
        <v>5</v>
      </c>
      <c r="U5" s="4">
        <v>33572452</v>
      </c>
      <c r="V5" s="4">
        <v>195</v>
      </c>
      <c r="W5" s="4">
        <v>136550</v>
      </c>
      <c r="X5" s="4">
        <v>210</v>
      </c>
      <c r="Y5" s="4">
        <v>40000</v>
      </c>
      <c r="Z5" s="4">
        <v>1</v>
      </c>
      <c r="AA5" s="4">
        <v>96550</v>
      </c>
      <c r="AB5" s="4">
        <v>209</v>
      </c>
      <c r="AC5" s="4">
        <v>9821006.0000000019</v>
      </c>
      <c r="AD5" s="4">
        <v>83</v>
      </c>
      <c r="AE5" s="4">
        <v>1259224.0000000002</v>
      </c>
      <c r="AF5" s="4">
        <v>14</v>
      </c>
      <c r="AG5" s="4">
        <v>108700</v>
      </c>
      <c r="AH5" s="4">
        <v>3</v>
      </c>
      <c r="AI5" s="4">
        <f>SUM(AI7:AI25)</f>
        <v>8365082.0000000009</v>
      </c>
      <c r="AJ5" s="4">
        <f>SUM(AJ7:AJ25)</f>
        <v>65</v>
      </c>
      <c r="AK5" s="4">
        <v>88000</v>
      </c>
      <c r="AL5" s="4">
        <v>1</v>
      </c>
      <c r="AM5" s="4">
        <v>4700000</v>
      </c>
      <c r="AN5" s="4">
        <v>16</v>
      </c>
      <c r="AO5" s="4">
        <f>AO6+AO26</f>
        <v>31395506.606476512</v>
      </c>
      <c r="AP5" s="4">
        <v>131709</v>
      </c>
      <c r="AQ5" s="4">
        <v>1816996</v>
      </c>
      <c r="AR5" s="4">
        <v>220</v>
      </c>
      <c r="AS5" s="4">
        <v>23947073.606476512</v>
      </c>
      <c r="AT5" s="4">
        <v>131143</v>
      </c>
      <c r="AU5" s="4">
        <v>2151362</v>
      </c>
      <c r="AV5" s="4">
        <v>140</v>
      </c>
      <c r="AW5" s="4">
        <v>3480074.9999999995</v>
      </c>
      <c r="AX5" s="4">
        <v>206</v>
      </c>
      <c r="AY5" s="4">
        <v>370934.99999999994</v>
      </c>
      <c r="AZ5" s="4">
        <v>66</v>
      </c>
    </row>
    <row r="6" spans="1:52" x14ac:dyDescent="0.3">
      <c r="A6" s="13" t="s">
        <v>175</v>
      </c>
      <c r="B6" s="13"/>
      <c r="C6" s="4">
        <f t="shared" ref="C6:D32" si="0">SUM(E6,G6,Q6,W6,AC6,AM6,AO6,AY6)</f>
        <v>142408988.2814765</v>
      </c>
      <c r="D6" s="4">
        <f t="shared" si="0"/>
        <v>130392</v>
      </c>
      <c r="E6" s="4">
        <v>24650000</v>
      </c>
      <c r="F6" s="4">
        <v>25</v>
      </c>
      <c r="G6" s="4">
        <v>39308658</v>
      </c>
      <c r="H6" s="4">
        <v>63</v>
      </c>
      <c r="I6" s="4">
        <v>37508658</v>
      </c>
      <c r="J6" s="4">
        <v>57</v>
      </c>
      <c r="K6" s="4">
        <v>400000</v>
      </c>
      <c r="L6" s="4">
        <v>2</v>
      </c>
      <c r="M6" s="4"/>
      <c r="N6" s="4"/>
      <c r="O6" s="4">
        <v>1400000</v>
      </c>
      <c r="P6" s="4">
        <v>4</v>
      </c>
      <c r="Q6" s="4">
        <v>33558273</v>
      </c>
      <c r="R6" s="4">
        <v>190</v>
      </c>
      <c r="S6" s="4">
        <v>465799.99999999994</v>
      </c>
      <c r="T6" s="4">
        <v>5</v>
      </c>
      <c r="U6" s="4">
        <v>33092473</v>
      </c>
      <c r="V6" s="4">
        <v>185</v>
      </c>
      <c r="W6" s="4"/>
      <c r="X6" s="4"/>
      <c r="Y6" s="4"/>
      <c r="Z6" s="4"/>
      <c r="AA6" s="4"/>
      <c r="AB6" s="4"/>
      <c r="AC6" s="4">
        <v>9821006.0000000019</v>
      </c>
      <c r="AD6" s="4">
        <v>83</v>
      </c>
      <c r="AE6" s="4">
        <v>1259224.0000000002</v>
      </c>
      <c r="AF6" s="4">
        <v>14</v>
      </c>
      <c r="AG6" s="4">
        <v>108700</v>
      </c>
      <c r="AH6" s="4">
        <v>3</v>
      </c>
      <c r="AI6" s="4">
        <f>SUM(AI8:AI26)</f>
        <v>8365082.0000000009</v>
      </c>
      <c r="AJ6" s="4">
        <f>SUM(AJ8:AJ26)</f>
        <v>65</v>
      </c>
      <c r="AK6" s="4">
        <v>88000</v>
      </c>
      <c r="AL6" s="4">
        <v>1</v>
      </c>
      <c r="AM6" s="4">
        <v>4700000</v>
      </c>
      <c r="AN6" s="4">
        <v>16</v>
      </c>
      <c r="AO6" s="4">
        <v>30019316.281476509</v>
      </c>
      <c r="AP6" s="4">
        <v>129950</v>
      </c>
      <c r="AQ6" s="8">
        <v>1815080</v>
      </c>
      <c r="AR6" s="4">
        <v>212</v>
      </c>
      <c r="AS6" s="4">
        <v>23385618.281476509</v>
      </c>
      <c r="AT6" s="4">
        <v>129434</v>
      </c>
      <c r="AU6" s="4">
        <v>1733591.9999999998</v>
      </c>
      <c r="AV6" s="4">
        <v>108</v>
      </c>
      <c r="AW6" s="4">
        <v>3085025.9999999995</v>
      </c>
      <c r="AX6" s="4">
        <v>196</v>
      </c>
      <c r="AY6" s="4">
        <v>351734.99999999994</v>
      </c>
      <c r="AZ6" s="4">
        <v>65</v>
      </c>
    </row>
    <row r="7" spans="1:52" x14ac:dyDescent="0.3">
      <c r="A7" s="13" t="s">
        <v>25</v>
      </c>
      <c r="B7" s="13"/>
      <c r="C7" s="4">
        <f t="shared" si="0"/>
        <v>30040070.010000002</v>
      </c>
      <c r="D7" s="4">
        <f t="shared" si="0"/>
        <v>113</v>
      </c>
      <c r="E7" s="4">
        <v>24650000</v>
      </c>
      <c r="F7" s="4">
        <v>25</v>
      </c>
      <c r="G7" s="4" t="s">
        <v>0</v>
      </c>
      <c r="H7" s="4">
        <v>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>
        <v>4700000</v>
      </c>
      <c r="AN7" s="4">
        <v>16</v>
      </c>
      <c r="AO7" s="4">
        <v>690070.01</v>
      </c>
      <c r="AP7" s="4">
        <v>72</v>
      </c>
      <c r="AQ7" s="4">
        <v>606800</v>
      </c>
      <c r="AR7" s="4">
        <v>30</v>
      </c>
      <c r="AS7" s="4">
        <v>63470.009999999995</v>
      </c>
      <c r="AT7" s="7">
        <v>41</v>
      </c>
      <c r="AU7" s="4"/>
      <c r="AV7" s="4"/>
      <c r="AW7" s="4">
        <v>19800</v>
      </c>
      <c r="AX7" s="4">
        <v>1</v>
      </c>
      <c r="AY7" s="4"/>
      <c r="AZ7" s="4"/>
    </row>
    <row r="8" spans="1:52" x14ac:dyDescent="0.3">
      <c r="A8" s="13" t="s">
        <v>45</v>
      </c>
      <c r="B8" s="13"/>
      <c r="C8" s="4">
        <f t="shared" si="0"/>
        <v>9341662.2400000002</v>
      </c>
      <c r="D8" s="4">
        <f t="shared" si="0"/>
        <v>64</v>
      </c>
      <c r="E8" s="4"/>
      <c r="F8" s="4"/>
      <c r="G8" s="4">
        <v>7868600</v>
      </c>
      <c r="H8" s="4">
        <v>12</v>
      </c>
      <c r="I8" s="4">
        <v>7868600</v>
      </c>
      <c r="J8" s="4">
        <v>12</v>
      </c>
      <c r="K8" s="4"/>
      <c r="L8" s="4"/>
      <c r="M8" s="4"/>
      <c r="N8" s="4"/>
      <c r="O8" s="4"/>
      <c r="P8" s="4"/>
      <c r="Q8" s="4">
        <v>922064.00000000012</v>
      </c>
      <c r="R8" s="4">
        <v>10</v>
      </c>
      <c r="S8" s="4"/>
      <c r="T8" s="4"/>
      <c r="U8" s="4">
        <v>922064.00000000012</v>
      </c>
      <c r="V8" s="4">
        <v>10</v>
      </c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>
        <v>550998.24</v>
      </c>
      <c r="AP8" s="4">
        <v>42</v>
      </c>
      <c r="AQ8" s="4">
        <v>17599</v>
      </c>
      <c r="AR8" s="4">
        <v>4</v>
      </c>
      <c r="AS8" s="4">
        <v>98189.239999999991</v>
      </c>
      <c r="AT8" s="4">
        <v>24</v>
      </c>
      <c r="AU8" s="4">
        <v>58300</v>
      </c>
      <c r="AV8" s="4">
        <v>4</v>
      </c>
      <c r="AW8" s="4">
        <v>376909.99999999994</v>
      </c>
      <c r="AX8" s="4">
        <v>10</v>
      </c>
      <c r="AY8" s="4"/>
      <c r="AZ8" s="4"/>
    </row>
    <row r="9" spans="1:52" x14ac:dyDescent="0.3">
      <c r="A9" s="13" t="s">
        <v>27</v>
      </c>
      <c r="B9" s="13"/>
      <c r="C9" s="4">
        <f t="shared" si="0"/>
        <v>10291023.800000001</v>
      </c>
      <c r="D9" s="4">
        <f t="shared" si="0"/>
        <v>62</v>
      </c>
      <c r="E9" s="4"/>
      <c r="F9" s="4"/>
      <c r="G9" s="4">
        <v>6106058</v>
      </c>
      <c r="H9" s="4">
        <v>9</v>
      </c>
      <c r="I9" s="4">
        <v>6106058.0000000009</v>
      </c>
      <c r="J9" s="4">
        <v>9</v>
      </c>
      <c r="K9" s="4"/>
      <c r="L9" s="4"/>
      <c r="M9" s="4"/>
      <c r="N9" s="4"/>
      <c r="O9" s="4"/>
      <c r="P9" s="4"/>
      <c r="Q9" s="4">
        <v>3550792.9999999991</v>
      </c>
      <c r="R9" s="4">
        <v>22</v>
      </c>
      <c r="S9" s="4"/>
      <c r="T9" s="4"/>
      <c r="U9" s="4">
        <v>3550792.9999999991</v>
      </c>
      <c r="V9" s="4">
        <v>22</v>
      </c>
      <c r="W9" s="4"/>
      <c r="X9" s="4"/>
      <c r="Y9" s="4"/>
      <c r="Z9" s="4"/>
      <c r="AA9" s="4"/>
      <c r="AB9" s="4"/>
      <c r="AC9" s="4">
        <v>530441</v>
      </c>
      <c r="AD9" s="4">
        <v>3</v>
      </c>
      <c r="AE9" s="4"/>
      <c r="AF9" s="4"/>
      <c r="AG9" s="4"/>
      <c r="AH9" s="4"/>
      <c r="AI9" s="4">
        <v>530441</v>
      </c>
      <c r="AJ9" s="4">
        <v>3</v>
      </c>
      <c r="AK9" s="4"/>
      <c r="AL9" s="4"/>
      <c r="AM9" s="4"/>
      <c r="AN9" s="4"/>
      <c r="AO9" s="4">
        <v>93731.8</v>
      </c>
      <c r="AP9" s="4">
        <v>27</v>
      </c>
      <c r="AQ9" s="4">
        <v>15086</v>
      </c>
      <c r="AR9" s="4">
        <v>4</v>
      </c>
      <c r="AS9" s="4">
        <v>16405.8</v>
      </c>
      <c r="AT9" s="4">
        <v>16</v>
      </c>
      <c r="AU9" s="4">
        <v>11800</v>
      </c>
      <c r="AV9" s="4">
        <v>3</v>
      </c>
      <c r="AW9" s="4">
        <v>50440</v>
      </c>
      <c r="AX9" s="4">
        <v>4</v>
      </c>
      <c r="AY9" s="4">
        <v>10000</v>
      </c>
      <c r="AZ9" s="4">
        <v>1</v>
      </c>
    </row>
    <row r="10" spans="1:52" x14ac:dyDescent="0.3">
      <c r="A10" s="13" t="s">
        <v>28</v>
      </c>
      <c r="B10" s="13"/>
      <c r="C10" s="4">
        <f t="shared" si="0"/>
        <v>11871769.15</v>
      </c>
      <c r="D10" s="4">
        <f t="shared" si="0"/>
        <v>88</v>
      </c>
      <c r="E10" s="4"/>
      <c r="F10" s="4"/>
      <c r="G10" s="4">
        <v>7500000</v>
      </c>
      <c r="H10" s="4">
        <v>14</v>
      </c>
      <c r="I10" s="4">
        <v>6100000</v>
      </c>
      <c r="J10" s="4">
        <v>10</v>
      </c>
      <c r="K10" s="4"/>
      <c r="L10" s="4"/>
      <c r="M10" s="4"/>
      <c r="N10" s="4"/>
      <c r="O10" s="4">
        <v>1400000</v>
      </c>
      <c r="P10" s="4">
        <v>4</v>
      </c>
      <c r="Q10" s="4">
        <v>3386900.0000000005</v>
      </c>
      <c r="R10" s="4">
        <v>22</v>
      </c>
      <c r="S10" s="4"/>
      <c r="T10" s="4"/>
      <c r="U10" s="4">
        <v>3386900.0000000005</v>
      </c>
      <c r="V10" s="4">
        <v>22</v>
      </c>
      <c r="W10" s="4"/>
      <c r="X10" s="4"/>
      <c r="Y10" s="4"/>
      <c r="Z10" s="4"/>
      <c r="AA10" s="4"/>
      <c r="AB10" s="4"/>
      <c r="AC10" s="4">
        <v>350460.00000000006</v>
      </c>
      <c r="AD10" s="4">
        <v>2</v>
      </c>
      <c r="AE10" s="4"/>
      <c r="AF10" s="4"/>
      <c r="AG10" s="4"/>
      <c r="AH10" s="4"/>
      <c r="AI10" s="4">
        <v>350460.00000000006</v>
      </c>
      <c r="AJ10" s="4">
        <v>2</v>
      </c>
      <c r="AK10" s="4"/>
      <c r="AL10" s="4"/>
      <c r="AM10" s="4"/>
      <c r="AN10" s="4"/>
      <c r="AO10" s="4">
        <v>634409.14999999991</v>
      </c>
      <c r="AP10" s="4">
        <v>50</v>
      </c>
      <c r="AQ10" s="4">
        <v>7200</v>
      </c>
      <c r="AR10" s="4">
        <v>2</v>
      </c>
      <c r="AS10" s="4">
        <v>47979.149999999994</v>
      </c>
      <c r="AT10" s="4">
        <v>31</v>
      </c>
      <c r="AU10" s="4">
        <v>34000</v>
      </c>
      <c r="AV10" s="4">
        <v>2</v>
      </c>
      <c r="AW10" s="4">
        <v>545229.99999999988</v>
      </c>
      <c r="AX10" s="4">
        <v>15</v>
      </c>
      <c r="AY10" s="4"/>
      <c r="AZ10" s="4"/>
    </row>
    <row r="11" spans="1:52" x14ac:dyDescent="0.3">
      <c r="A11" s="13" t="s">
        <v>29</v>
      </c>
      <c r="B11" s="13"/>
      <c r="C11" s="4">
        <f t="shared" si="0"/>
        <v>10995300.875</v>
      </c>
      <c r="D11" s="4">
        <f t="shared" si="0"/>
        <v>85</v>
      </c>
      <c r="E11" s="4"/>
      <c r="F11" s="4"/>
      <c r="G11" s="4">
        <v>6044000</v>
      </c>
      <c r="H11" s="4">
        <v>10</v>
      </c>
      <c r="I11" s="4">
        <v>6044000</v>
      </c>
      <c r="J11" s="4">
        <v>10</v>
      </c>
      <c r="K11" s="4"/>
      <c r="L11" s="4"/>
      <c r="M11" s="4"/>
      <c r="N11" s="4"/>
      <c r="O11" s="4"/>
      <c r="P11" s="4"/>
      <c r="Q11" s="4">
        <v>4809600</v>
      </c>
      <c r="R11" s="4">
        <v>30</v>
      </c>
      <c r="S11" s="4"/>
      <c r="T11" s="4"/>
      <c r="U11" s="4">
        <v>4809600</v>
      </c>
      <c r="V11" s="4">
        <v>30</v>
      </c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>
        <v>141700.875</v>
      </c>
      <c r="AP11" s="4">
        <v>45</v>
      </c>
      <c r="AQ11" s="4">
        <v>2750</v>
      </c>
      <c r="AR11" s="4">
        <v>1</v>
      </c>
      <c r="AS11" s="4">
        <v>29990.875</v>
      </c>
      <c r="AT11" s="4">
        <v>41</v>
      </c>
      <c r="AU11" s="4"/>
      <c r="AV11" s="4"/>
      <c r="AW11" s="4">
        <v>108960</v>
      </c>
      <c r="AX11" s="4">
        <v>3</v>
      </c>
      <c r="AY11" s="4"/>
      <c r="AZ11" s="4"/>
    </row>
    <row r="12" spans="1:52" x14ac:dyDescent="0.3">
      <c r="A12" s="13" t="s">
        <v>30</v>
      </c>
      <c r="B12" s="13"/>
      <c r="C12" s="4">
        <f t="shared" si="0"/>
        <v>9578786.8650000002</v>
      </c>
      <c r="D12" s="4">
        <f t="shared" si="0"/>
        <v>106</v>
      </c>
      <c r="E12" s="4"/>
      <c r="F12" s="4"/>
      <c r="G12" s="4">
        <v>6440000</v>
      </c>
      <c r="H12" s="4">
        <v>12</v>
      </c>
      <c r="I12" s="4">
        <v>6040000</v>
      </c>
      <c r="J12" s="4">
        <v>10</v>
      </c>
      <c r="K12" s="4">
        <v>400000</v>
      </c>
      <c r="L12" s="4">
        <v>2</v>
      </c>
      <c r="M12" s="4"/>
      <c r="N12" s="4"/>
      <c r="O12" s="4"/>
      <c r="P12" s="4"/>
      <c r="Q12" s="4">
        <v>2971899.9999999995</v>
      </c>
      <c r="R12" s="4">
        <v>20</v>
      </c>
      <c r="S12" s="4"/>
      <c r="T12" s="4"/>
      <c r="U12" s="4">
        <v>2971899.9999999995</v>
      </c>
      <c r="V12" s="4">
        <v>20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>
        <v>166886.86499999999</v>
      </c>
      <c r="AP12" s="4">
        <v>74</v>
      </c>
      <c r="AQ12" s="4"/>
      <c r="AR12" s="4"/>
      <c r="AS12" s="4">
        <v>81106.864999999991</v>
      </c>
      <c r="AT12" s="4">
        <v>65</v>
      </c>
      <c r="AU12" s="4">
        <v>3000</v>
      </c>
      <c r="AV12" s="4">
        <v>1</v>
      </c>
      <c r="AW12" s="4">
        <v>82780</v>
      </c>
      <c r="AX12" s="4">
        <v>8</v>
      </c>
      <c r="AY12" s="4"/>
      <c r="AZ12" s="4"/>
    </row>
    <row r="13" spans="1:52" x14ac:dyDescent="0.3">
      <c r="A13" s="13" t="s">
        <v>31</v>
      </c>
      <c r="B13" s="13"/>
      <c r="C13" s="4">
        <f t="shared" si="0"/>
        <v>3190469</v>
      </c>
      <c r="D13" s="4">
        <f t="shared" si="0"/>
        <v>23</v>
      </c>
      <c r="E13" s="4"/>
      <c r="F13" s="4"/>
      <c r="G13" s="4" t="s">
        <v>0</v>
      </c>
      <c r="H13" s="4"/>
      <c r="I13" s="4"/>
      <c r="J13" s="4"/>
      <c r="K13" s="4"/>
      <c r="L13" s="4"/>
      <c r="M13" s="4"/>
      <c r="N13" s="4"/>
      <c r="O13" s="4"/>
      <c r="P13" s="4"/>
      <c r="Q13" s="4">
        <v>3176000</v>
      </c>
      <c r="R13" s="4">
        <v>20</v>
      </c>
      <c r="S13" s="4"/>
      <c r="T13" s="4"/>
      <c r="U13" s="4">
        <v>3176000</v>
      </c>
      <c r="V13" s="4">
        <v>20</v>
      </c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>
        <v>14469.000000000002</v>
      </c>
      <c r="AP13" s="4">
        <v>3</v>
      </c>
      <c r="AQ13" s="4"/>
      <c r="AR13" s="4"/>
      <c r="AS13" s="4">
        <v>14469.000000000002</v>
      </c>
      <c r="AT13" s="4">
        <v>3</v>
      </c>
      <c r="AU13" s="4"/>
      <c r="AV13" s="4"/>
      <c r="AW13" s="4"/>
      <c r="AX13" s="4"/>
      <c r="AY13" s="4"/>
      <c r="AZ13" s="4"/>
    </row>
    <row r="14" spans="1:52" x14ac:dyDescent="0.3">
      <c r="A14" s="13" t="s">
        <v>32</v>
      </c>
      <c r="B14" s="13"/>
      <c r="C14" s="4">
        <f t="shared" si="0"/>
        <v>2471016.6</v>
      </c>
      <c r="D14" s="4">
        <f t="shared" si="0"/>
        <v>16</v>
      </c>
      <c r="E14" s="4"/>
      <c r="F14" s="4"/>
      <c r="G14" s="4" t="s">
        <v>0</v>
      </c>
      <c r="H14" s="4"/>
      <c r="I14" s="4"/>
      <c r="J14" s="4"/>
      <c r="K14" s="4"/>
      <c r="L14" s="4"/>
      <c r="M14" s="4"/>
      <c r="N14" s="4"/>
      <c r="O14" s="4"/>
      <c r="P14" s="4"/>
      <c r="Q14" s="4">
        <v>2261750</v>
      </c>
      <c r="R14" s="4">
        <v>11</v>
      </c>
      <c r="S14" s="4"/>
      <c r="T14" s="4"/>
      <c r="U14" s="4">
        <v>2261750</v>
      </c>
      <c r="V14" s="4">
        <v>11</v>
      </c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>
        <v>209266.6</v>
      </c>
      <c r="AP14" s="4">
        <v>5</v>
      </c>
      <c r="AQ14" s="4"/>
      <c r="AR14" s="4"/>
      <c r="AS14" s="4">
        <v>4266.6000000000004</v>
      </c>
      <c r="AT14" s="4">
        <v>3</v>
      </c>
      <c r="AU14" s="4"/>
      <c r="AV14" s="4"/>
      <c r="AW14" s="4">
        <v>205000</v>
      </c>
      <c r="AX14" s="4">
        <v>2</v>
      </c>
      <c r="AY14" s="4"/>
      <c r="AZ14" s="4"/>
    </row>
    <row r="15" spans="1:52" x14ac:dyDescent="0.3">
      <c r="A15" s="13" t="s">
        <v>33</v>
      </c>
      <c r="B15" s="13"/>
      <c r="C15" s="4">
        <f t="shared" si="0"/>
        <v>2342588.12</v>
      </c>
      <c r="D15" s="4">
        <f t="shared" si="0"/>
        <v>42</v>
      </c>
      <c r="E15" s="4"/>
      <c r="F15" s="4"/>
      <c r="G15" s="4" t="s"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>
        <v>2276534</v>
      </c>
      <c r="AD15" s="4">
        <v>18</v>
      </c>
      <c r="AE15" s="4"/>
      <c r="AF15" s="4"/>
      <c r="AG15" s="4">
        <v>82400</v>
      </c>
      <c r="AH15" s="4">
        <v>2</v>
      </c>
      <c r="AI15" s="4">
        <v>2194134</v>
      </c>
      <c r="AJ15" s="4">
        <v>16</v>
      </c>
      <c r="AK15" s="4"/>
      <c r="AL15" s="4"/>
      <c r="AM15" s="4"/>
      <c r="AN15" s="4"/>
      <c r="AO15" s="4">
        <v>25614.120000000003</v>
      </c>
      <c r="AP15" s="4">
        <v>21</v>
      </c>
      <c r="AQ15" s="4"/>
      <c r="AR15" s="4"/>
      <c r="AS15" s="4">
        <v>8114.1200000000017</v>
      </c>
      <c r="AT15" s="4">
        <v>18</v>
      </c>
      <c r="AU15" s="4"/>
      <c r="AV15" s="4"/>
      <c r="AW15" s="4">
        <v>17500</v>
      </c>
      <c r="AX15" s="4">
        <v>3</v>
      </c>
      <c r="AY15" s="4">
        <v>40440</v>
      </c>
      <c r="AZ15" s="4">
        <v>3</v>
      </c>
    </row>
    <row r="16" spans="1:52" x14ac:dyDescent="0.3">
      <c r="A16" s="13" t="s">
        <v>34</v>
      </c>
      <c r="B16" s="13"/>
      <c r="C16" s="4">
        <f t="shared" si="0"/>
        <v>2086638</v>
      </c>
      <c r="D16" s="4">
        <f t="shared" si="0"/>
        <v>4</v>
      </c>
      <c r="E16" s="4"/>
      <c r="F16" s="4"/>
      <c r="G16" s="4">
        <v>2080000</v>
      </c>
      <c r="H16" s="4">
        <v>2</v>
      </c>
      <c r="I16" s="4">
        <v>2080000</v>
      </c>
      <c r="J16" s="4">
        <v>2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>
        <v>6638</v>
      </c>
      <c r="AP16" s="4">
        <v>2</v>
      </c>
      <c r="AQ16" s="4">
        <v>5000</v>
      </c>
      <c r="AR16" s="4">
        <v>1</v>
      </c>
      <c r="AS16" s="4">
        <v>1638</v>
      </c>
      <c r="AT16" s="4">
        <v>1</v>
      </c>
      <c r="AU16" s="4"/>
      <c r="AV16" s="4"/>
      <c r="AW16" s="4"/>
      <c r="AX16" s="4"/>
      <c r="AY16" s="4"/>
      <c r="AZ16" s="4"/>
    </row>
    <row r="17" spans="1:52" x14ac:dyDescent="0.3">
      <c r="A17" s="13" t="s">
        <v>35</v>
      </c>
      <c r="B17" s="13"/>
      <c r="C17" s="4">
        <f t="shared" si="0"/>
        <v>1980900</v>
      </c>
      <c r="D17" s="4">
        <f t="shared" si="0"/>
        <v>16</v>
      </c>
      <c r="E17" s="4"/>
      <c r="F17" s="4"/>
      <c r="G17" s="4" t="s">
        <v>0</v>
      </c>
      <c r="H17" s="4"/>
      <c r="I17" s="4"/>
      <c r="J17" s="4"/>
      <c r="K17" s="4"/>
      <c r="L17" s="4"/>
      <c r="M17" s="4"/>
      <c r="N17" s="4"/>
      <c r="O17" s="4"/>
      <c r="P17" s="4"/>
      <c r="Q17" s="4">
        <v>1855500</v>
      </c>
      <c r="R17" s="4">
        <v>11</v>
      </c>
      <c r="S17" s="4">
        <v>465799.99999999994</v>
      </c>
      <c r="T17" s="4">
        <v>5</v>
      </c>
      <c r="U17" s="4">
        <v>1389700</v>
      </c>
      <c r="V17" s="4">
        <v>6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>
        <v>125399.99999999999</v>
      </c>
      <c r="AP17" s="4">
        <v>5</v>
      </c>
      <c r="AQ17" s="4"/>
      <c r="AR17" s="4"/>
      <c r="AS17" s="4"/>
      <c r="AT17" s="4"/>
      <c r="AU17" s="4"/>
      <c r="AV17" s="4"/>
      <c r="AW17" s="4">
        <v>125399.99999999999</v>
      </c>
      <c r="AX17" s="4">
        <v>5</v>
      </c>
      <c r="AY17" s="4"/>
      <c r="AZ17" s="4"/>
    </row>
    <row r="18" spans="1:52" x14ac:dyDescent="0.3">
      <c r="A18" s="13" t="s">
        <v>36</v>
      </c>
      <c r="B18" s="13"/>
      <c r="C18" s="4">
        <f t="shared" si="0"/>
        <v>1718661.83</v>
      </c>
      <c r="D18" s="4">
        <f t="shared" si="0"/>
        <v>9</v>
      </c>
      <c r="E18" s="4"/>
      <c r="F18" s="4"/>
      <c r="G18" s="4" t="s">
        <v>0</v>
      </c>
      <c r="H18" s="4"/>
      <c r="I18" s="4"/>
      <c r="J18" s="4"/>
      <c r="K18" s="4"/>
      <c r="L18" s="4"/>
      <c r="M18" s="4"/>
      <c r="N18" s="4"/>
      <c r="O18" s="4"/>
      <c r="P18" s="4"/>
      <c r="Q18" s="4">
        <v>1716800</v>
      </c>
      <c r="R18" s="4">
        <v>6</v>
      </c>
      <c r="S18" s="4"/>
      <c r="T18" s="4"/>
      <c r="U18" s="4">
        <v>1716800</v>
      </c>
      <c r="V18" s="4">
        <v>6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>
        <v>1861.83</v>
      </c>
      <c r="AP18" s="4">
        <v>3</v>
      </c>
      <c r="AQ18" s="4"/>
      <c r="AR18" s="4"/>
      <c r="AS18" s="4">
        <v>1861.83</v>
      </c>
      <c r="AT18" s="4">
        <v>3</v>
      </c>
      <c r="AU18" s="4"/>
      <c r="AV18" s="4"/>
      <c r="AW18" s="4"/>
      <c r="AX18" s="4"/>
      <c r="AY18" s="4"/>
      <c r="AZ18" s="4"/>
    </row>
    <row r="19" spans="1:52" x14ac:dyDescent="0.3">
      <c r="A19" s="13" t="s">
        <v>37</v>
      </c>
      <c r="B19" s="13"/>
      <c r="C19" s="4">
        <f t="shared" si="0"/>
        <v>1714999.9999999998</v>
      </c>
      <c r="D19" s="4">
        <f t="shared" si="0"/>
        <v>7</v>
      </c>
      <c r="E19" s="4"/>
      <c r="F19" s="4"/>
      <c r="G19" s="4" t="s">
        <v>0</v>
      </c>
      <c r="H19" s="4"/>
      <c r="I19" s="4"/>
      <c r="J19" s="4"/>
      <c r="K19" s="4"/>
      <c r="L19" s="4"/>
      <c r="M19" s="4"/>
      <c r="N19" s="4"/>
      <c r="O19" s="4"/>
      <c r="P19" s="4"/>
      <c r="Q19" s="4">
        <v>1695199.9999999998</v>
      </c>
      <c r="R19" s="4">
        <v>6</v>
      </c>
      <c r="S19" s="4"/>
      <c r="T19" s="4"/>
      <c r="U19" s="4">
        <v>1695199.9999999998</v>
      </c>
      <c r="V19" s="4">
        <v>6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>
        <v>19800</v>
      </c>
      <c r="AP19" s="4">
        <v>1</v>
      </c>
      <c r="AQ19" s="4"/>
      <c r="AR19" s="4"/>
      <c r="AS19" s="4"/>
      <c r="AT19" s="4">
        <v>0</v>
      </c>
      <c r="AU19" s="4"/>
      <c r="AV19" s="4"/>
      <c r="AW19" s="4">
        <v>19800</v>
      </c>
      <c r="AX19" s="4">
        <v>1</v>
      </c>
      <c r="AY19" s="4"/>
      <c r="AZ19" s="4"/>
    </row>
    <row r="20" spans="1:52" x14ac:dyDescent="0.3">
      <c r="A20" s="13" t="s">
        <v>38</v>
      </c>
      <c r="B20" s="13"/>
      <c r="C20" s="4">
        <f t="shared" si="0"/>
        <v>1450664</v>
      </c>
      <c r="D20" s="4">
        <f t="shared" si="0"/>
        <v>7</v>
      </c>
      <c r="E20" s="4"/>
      <c r="F20" s="4"/>
      <c r="G20" s="4" t="s">
        <v>0</v>
      </c>
      <c r="H20" s="4"/>
      <c r="I20" s="4"/>
      <c r="J20" s="4"/>
      <c r="K20" s="4"/>
      <c r="L20" s="4"/>
      <c r="M20" s="4"/>
      <c r="N20" s="4"/>
      <c r="O20" s="4"/>
      <c r="P20" s="4"/>
      <c r="Q20" s="4">
        <v>1450000</v>
      </c>
      <c r="R20" s="4">
        <v>6</v>
      </c>
      <c r="S20" s="4"/>
      <c r="T20" s="4"/>
      <c r="U20" s="4">
        <v>1450000</v>
      </c>
      <c r="V20" s="4">
        <v>6</v>
      </c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>
        <v>664</v>
      </c>
      <c r="AP20" s="4">
        <v>1</v>
      </c>
      <c r="AQ20" s="4"/>
      <c r="AR20" s="4"/>
      <c r="AS20" s="4">
        <v>664</v>
      </c>
      <c r="AT20" s="4">
        <v>1</v>
      </c>
      <c r="AU20" s="4"/>
      <c r="AV20" s="4"/>
      <c r="AW20" s="4"/>
      <c r="AX20" s="4"/>
      <c r="AY20" s="4"/>
      <c r="AZ20" s="4"/>
    </row>
    <row r="21" spans="1:52" x14ac:dyDescent="0.3">
      <c r="A21" s="13" t="s">
        <v>39</v>
      </c>
      <c r="B21" s="13"/>
      <c r="C21" s="4">
        <f t="shared" si="0"/>
        <v>1441831.68</v>
      </c>
      <c r="D21" s="4">
        <f t="shared" si="0"/>
        <v>19</v>
      </c>
      <c r="E21" s="4"/>
      <c r="F21" s="4"/>
      <c r="G21" s="4" t="s"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>
        <v>1413380</v>
      </c>
      <c r="AD21" s="4">
        <v>8</v>
      </c>
      <c r="AE21" s="4"/>
      <c r="AF21" s="4"/>
      <c r="AG21" s="4"/>
      <c r="AH21" s="4"/>
      <c r="AI21" s="4">
        <v>1413380</v>
      </c>
      <c r="AJ21" s="4">
        <v>8</v>
      </c>
      <c r="AK21" s="4"/>
      <c r="AL21" s="4"/>
      <c r="AM21" s="4"/>
      <c r="AN21" s="4"/>
      <c r="AO21" s="4">
        <v>28451.68</v>
      </c>
      <c r="AP21" s="4">
        <v>11</v>
      </c>
      <c r="AQ21" s="4">
        <v>1030</v>
      </c>
      <c r="AR21" s="4">
        <v>2</v>
      </c>
      <c r="AS21" s="4">
        <v>5011.6799999999994</v>
      </c>
      <c r="AT21" s="4">
        <v>6</v>
      </c>
      <c r="AU21" s="4">
        <v>7050</v>
      </c>
      <c r="AV21" s="4">
        <v>1</v>
      </c>
      <c r="AW21" s="4">
        <v>15360</v>
      </c>
      <c r="AX21" s="4">
        <v>2</v>
      </c>
      <c r="AY21" s="4"/>
      <c r="AZ21" s="4"/>
    </row>
    <row r="22" spans="1:52" x14ac:dyDescent="0.3">
      <c r="A22" s="13" t="s">
        <v>40</v>
      </c>
      <c r="B22" s="13"/>
      <c r="C22" s="4">
        <f t="shared" si="0"/>
        <v>1381984.895</v>
      </c>
      <c r="D22" s="4">
        <f t="shared" si="0"/>
        <v>121</v>
      </c>
      <c r="E22" s="4"/>
      <c r="F22" s="4"/>
      <c r="G22" s="4" t="s"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>
        <v>1381984.895</v>
      </c>
      <c r="AP22" s="4">
        <v>121</v>
      </c>
      <c r="AQ22" s="4">
        <v>1094457</v>
      </c>
      <c r="AR22" s="4">
        <v>76</v>
      </c>
      <c r="AS22" s="4">
        <v>25527.894999999997</v>
      </c>
      <c r="AT22" s="4">
        <v>41</v>
      </c>
      <c r="AU22" s="4">
        <v>8000</v>
      </c>
      <c r="AV22" s="4">
        <v>3</v>
      </c>
      <c r="AW22" s="4">
        <v>254000</v>
      </c>
      <c r="AX22" s="4">
        <v>1</v>
      </c>
      <c r="AY22" s="4"/>
      <c r="AZ22" s="4"/>
    </row>
    <row r="23" spans="1:52" x14ac:dyDescent="0.3">
      <c r="A23" s="13" t="s">
        <v>41</v>
      </c>
      <c r="B23" s="13"/>
      <c r="C23" s="4">
        <f t="shared" si="0"/>
        <v>1199973.2</v>
      </c>
      <c r="D23" s="4">
        <f t="shared" si="0"/>
        <v>5</v>
      </c>
      <c r="E23" s="4"/>
      <c r="F23" s="4"/>
      <c r="G23" s="4">
        <v>1190000</v>
      </c>
      <c r="H23" s="4">
        <v>2</v>
      </c>
      <c r="I23" s="4">
        <v>1190000</v>
      </c>
      <c r="J23" s="4">
        <v>2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>
        <v>9973.2000000000007</v>
      </c>
      <c r="AP23" s="4">
        <v>3</v>
      </c>
      <c r="AQ23" s="4">
        <v>4872</v>
      </c>
      <c r="AR23" s="4">
        <v>1</v>
      </c>
      <c r="AS23" s="4">
        <v>5101.2000000000007</v>
      </c>
      <c r="AT23" s="4">
        <v>2</v>
      </c>
      <c r="AU23" s="4"/>
      <c r="AV23" s="4"/>
      <c r="AW23" s="4"/>
      <c r="AX23" s="4"/>
      <c r="AY23" s="4"/>
      <c r="AZ23" s="4"/>
    </row>
    <row r="24" spans="1:52" x14ac:dyDescent="0.3">
      <c r="A24" s="13" t="s">
        <v>42</v>
      </c>
      <c r="B24" s="13"/>
      <c r="C24" s="4">
        <f t="shared" si="0"/>
        <v>2080000</v>
      </c>
      <c r="D24" s="4">
        <f t="shared" si="0"/>
        <v>2</v>
      </c>
      <c r="E24" s="4"/>
      <c r="F24" s="4"/>
      <c r="G24" s="4">
        <v>2080000</v>
      </c>
      <c r="H24" s="4">
        <v>2</v>
      </c>
      <c r="I24" s="4">
        <v>2080000</v>
      </c>
      <c r="J24" s="4">
        <v>2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</row>
    <row r="25" spans="1:52" x14ac:dyDescent="0.3">
      <c r="A25" s="13" t="s">
        <v>22</v>
      </c>
      <c r="B25" s="13"/>
      <c r="C25" s="4">
        <f t="shared" si="0"/>
        <v>37230648.016476512</v>
      </c>
      <c r="D25" s="4">
        <f t="shared" si="0"/>
        <v>129603</v>
      </c>
      <c r="E25" s="4"/>
      <c r="F25" s="4"/>
      <c r="G25" s="4" t="s">
        <v>0</v>
      </c>
      <c r="H25" s="4"/>
      <c r="I25" s="4"/>
      <c r="J25" s="4"/>
      <c r="K25" s="4"/>
      <c r="L25" s="4"/>
      <c r="M25" s="4"/>
      <c r="N25" s="4"/>
      <c r="O25" s="4"/>
      <c r="P25" s="4"/>
      <c r="Q25" s="4">
        <v>5761766.0000000019</v>
      </c>
      <c r="R25" s="4">
        <v>26</v>
      </c>
      <c r="S25" s="4"/>
      <c r="T25" s="4"/>
      <c r="U25" s="4">
        <v>5761766.0000000019</v>
      </c>
      <c r="V25" s="4">
        <v>26</v>
      </c>
      <c r="W25" s="4"/>
      <c r="X25" s="4"/>
      <c r="Y25" s="4"/>
      <c r="Z25" s="4"/>
      <c r="AA25" s="4"/>
      <c r="AB25" s="4"/>
      <c r="AC25" s="4">
        <v>5250191.0000000009</v>
      </c>
      <c r="AD25" s="4">
        <v>52</v>
      </c>
      <c r="AE25" s="4">
        <v>1259224.0000000002</v>
      </c>
      <c r="AF25" s="4">
        <v>14</v>
      </c>
      <c r="AG25" s="4">
        <v>26300</v>
      </c>
      <c r="AH25" s="4">
        <v>1</v>
      </c>
      <c r="AI25" s="4">
        <v>3876667.0000000009</v>
      </c>
      <c r="AJ25" s="4">
        <v>36</v>
      </c>
      <c r="AK25" s="4">
        <v>88000</v>
      </c>
      <c r="AL25" s="4">
        <v>1</v>
      </c>
      <c r="AM25" s="4"/>
      <c r="AN25" s="4"/>
      <c r="AO25" s="4">
        <v>25917396.016476508</v>
      </c>
      <c r="AP25" s="4">
        <v>129464</v>
      </c>
      <c r="AQ25" s="4">
        <v>60286.000000000015</v>
      </c>
      <c r="AR25" s="4">
        <v>91</v>
      </c>
      <c r="AS25" s="4">
        <v>22981822.016476508</v>
      </c>
      <c r="AT25" s="4">
        <v>129138</v>
      </c>
      <c r="AU25" s="4">
        <v>1611441.9999999998</v>
      </c>
      <c r="AV25" s="4">
        <v>94</v>
      </c>
      <c r="AW25" s="4">
        <v>1263845.9999999998</v>
      </c>
      <c r="AX25" s="4">
        <v>141</v>
      </c>
      <c r="AY25" s="4">
        <v>301294.99999999994</v>
      </c>
      <c r="AZ25" s="4">
        <v>61</v>
      </c>
    </row>
    <row r="26" spans="1:52" x14ac:dyDescent="0.3">
      <c r="A26" s="13" t="s">
        <v>72</v>
      </c>
      <c r="B26" s="13"/>
      <c r="C26" s="4">
        <f t="shared" si="0"/>
        <v>2011919.3250000016</v>
      </c>
      <c r="D26" s="4">
        <f t="shared" si="0"/>
        <v>1980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>
        <v>479979</v>
      </c>
      <c r="R26" s="4">
        <v>10</v>
      </c>
      <c r="S26" s="4"/>
      <c r="T26" s="4"/>
      <c r="U26" s="4">
        <v>479979</v>
      </c>
      <c r="V26" s="4">
        <v>10</v>
      </c>
      <c r="W26" s="4">
        <v>136550</v>
      </c>
      <c r="X26" s="4">
        <v>210</v>
      </c>
      <c r="Y26" s="4">
        <v>40000</v>
      </c>
      <c r="Z26" s="4">
        <v>1</v>
      </c>
      <c r="AA26" s="4">
        <v>96550</v>
      </c>
      <c r="AB26" s="4">
        <v>209</v>
      </c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>
        <f>AQ26+AS26+AU26+AW26</f>
        <v>1376190.3250000016</v>
      </c>
      <c r="AP26" s="4">
        <v>1759</v>
      </c>
      <c r="AQ26" s="4">
        <v>1916</v>
      </c>
      <c r="AR26" s="4">
        <v>8</v>
      </c>
      <c r="AS26" s="4">
        <v>561455.3250000017</v>
      </c>
      <c r="AT26" s="4">
        <v>1709</v>
      </c>
      <c r="AU26" s="4">
        <v>417770</v>
      </c>
      <c r="AV26" s="4">
        <v>32</v>
      </c>
      <c r="AW26" s="4">
        <v>395049</v>
      </c>
      <c r="AX26" s="4">
        <v>10</v>
      </c>
      <c r="AY26" s="4">
        <v>19200</v>
      </c>
      <c r="AZ26" s="4">
        <v>1</v>
      </c>
    </row>
    <row r="27" spans="1:52" x14ac:dyDescent="0.3">
      <c r="A27" s="13" t="s">
        <v>44</v>
      </c>
      <c r="B27" s="13"/>
      <c r="C27" s="4">
        <f t="shared" si="0"/>
        <v>97823</v>
      </c>
      <c r="D27" s="4">
        <f t="shared" si="0"/>
        <v>220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>
        <v>96550</v>
      </c>
      <c r="X27" s="4">
        <v>209</v>
      </c>
      <c r="Y27" s="4"/>
      <c r="Z27" s="4"/>
      <c r="AA27" s="4">
        <v>96550</v>
      </c>
      <c r="AB27" s="4">
        <v>209</v>
      </c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>
        <v>1273</v>
      </c>
      <c r="AP27" s="4">
        <v>11</v>
      </c>
      <c r="AQ27" s="4">
        <v>700</v>
      </c>
      <c r="AR27" s="4">
        <v>2</v>
      </c>
      <c r="AS27" s="4">
        <v>573</v>
      </c>
      <c r="AT27" s="4">
        <v>9</v>
      </c>
      <c r="AU27" s="4"/>
      <c r="AV27" s="4"/>
      <c r="AW27" s="4"/>
      <c r="AX27" s="4"/>
      <c r="AY27" s="4"/>
      <c r="AZ27" s="4"/>
    </row>
    <row r="28" spans="1:52" x14ac:dyDescent="0.3">
      <c r="A28" s="13" t="s">
        <v>25</v>
      </c>
      <c r="B28" s="13"/>
      <c r="C28" s="4">
        <f t="shared" si="0"/>
        <v>14081.22</v>
      </c>
      <c r="D28" s="4">
        <f t="shared" si="0"/>
        <v>18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>
        <v>14081.22</v>
      </c>
      <c r="AP28" s="4">
        <v>18</v>
      </c>
      <c r="AQ28" s="4"/>
      <c r="AR28" s="4"/>
      <c r="AS28" s="4">
        <v>14081.22</v>
      </c>
      <c r="AT28" s="4">
        <v>18</v>
      </c>
      <c r="AU28" s="4"/>
      <c r="AV28" s="4"/>
      <c r="AW28" s="4"/>
      <c r="AX28" s="4"/>
      <c r="AY28" s="4"/>
      <c r="AZ28" s="4"/>
    </row>
    <row r="29" spans="1:52" x14ac:dyDescent="0.3">
      <c r="A29" s="16" t="s">
        <v>26</v>
      </c>
      <c r="B29" s="13"/>
      <c r="C29" s="4">
        <f t="shared" si="0"/>
        <v>21000</v>
      </c>
      <c r="D29" s="4">
        <f t="shared" si="0"/>
        <v>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>
        <v>21000</v>
      </c>
      <c r="AP29" s="4">
        <v>1</v>
      </c>
      <c r="AQ29" s="4"/>
      <c r="AR29" s="4"/>
      <c r="AS29" s="4"/>
      <c r="AT29" s="4"/>
      <c r="AU29" s="4">
        <v>21000</v>
      </c>
      <c r="AV29" s="4">
        <v>1</v>
      </c>
      <c r="AW29" s="4"/>
      <c r="AX29" s="4"/>
      <c r="AY29" s="4"/>
      <c r="AZ29" s="4"/>
    </row>
    <row r="30" spans="1:52" x14ac:dyDescent="0.3">
      <c r="A30" s="13" t="s">
        <v>27</v>
      </c>
      <c r="B30" s="13"/>
      <c r="C30" s="4">
        <f t="shared" si="0"/>
        <v>484031.2</v>
      </c>
      <c r="D30" s="4">
        <f t="shared" si="0"/>
        <v>13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>
        <v>228734</v>
      </c>
      <c r="R30" s="4">
        <v>4</v>
      </c>
      <c r="S30" s="4"/>
      <c r="T30" s="4"/>
      <c r="U30" s="4">
        <v>228734</v>
      </c>
      <c r="V30" s="4">
        <v>4</v>
      </c>
      <c r="W30" s="4">
        <v>40000</v>
      </c>
      <c r="X30" s="4">
        <v>1</v>
      </c>
      <c r="Y30" s="4">
        <v>40000</v>
      </c>
      <c r="Z30" s="4">
        <v>1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>
        <v>215297.2</v>
      </c>
      <c r="AP30" s="4">
        <v>8</v>
      </c>
      <c r="AQ30" s="4"/>
      <c r="AR30" s="4"/>
      <c r="AS30" s="4">
        <v>4297.2</v>
      </c>
      <c r="AT30" s="4">
        <v>4</v>
      </c>
      <c r="AU30" s="4">
        <v>21000</v>
      </c>
      <c r="AV30" s="4">
        <v>1</v>
      </c>
      <c r="AW30" s="4">
        <v>190000</v>
      </c>
      <c r="AX30" s="4">
        <v>3</v>
      </c>
      <c r="AY30" s="4"/>
      <c r="AZ30" s="4"/>
    </row>
    <row r="31" spans="1:52" x14ac:dyDescent="0.3">
      <c r="A31" s="13" t="s">
        <v>29</v>
      </c>
      <c r="B31" s="13"/>
      <c r="C31" s="4">
        <f t="shared" si="0"/>
        <v>499499.38</v>
      </c>
      <c r="D31" s="4">
        <f t="shared" si="0"/>
        <v>24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>
        <v>251245</v>
      </c>
      <c r="R31" s="4">
        <v>6</v>
      </c>
      <c r="S31" s="4"/>
      <c r="T31" s="4"/>
      <c r="U31" s="4">
        <v>251245</v>
      </c>
      <c r="V31" s="4">
        <v>6</v>
      </c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>
        <v>248254.38</v>
      </c>
      <c r="AP31" s="4">
        <v>18</v>
      </c>
      <c r="AQ31" s="4">
        <v>60</v>
      </c>
      <c r="AR31" s="4">
        <v>1</v>
      </c>
      <c r="AS31" s="9">
        <v>8694.380000000001</v>
      </c>
      <c r="AT31" s="4">
        <v>11</v>
      </c>
      <c r="AU31" s="4">
        <v>39500</v>
      </c>
      <c r="AV31" s="4">
        <v>4</v>
      </c>
      <c r="AW31" s="4">
        <v>200000</v>
      </c>
      <c r="AX31" s="4">
        <v>2</v>
      </c>
      <c r="AY31" s="4"/>
      <c r="AZ31" s="4"/>
    </row>
    <row r="32" spans="1:52" x14ac:dyDescent="0.3">
      <c r="A32" s="16" t="s">
        <v>439</v>
      </c>
      <c r="B32" s="13"/>
      <c r="C32" s="4">
        <f t="shared" si="0"/>
        <v>895484.52500000165</v>
      </c>
      <c r="D32" s="4">
        <f t="shared" si="0"/>
        <v>1704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9">
        <f>AQ32+AS32+AU32+AW32</f>
        <v>876284.52500000165</v>
      </c>
      <c r="AP32" s="4">
        <v>1703</v>
      </c>
      <c r="AQ32" s="4">
        <v>1156</v>
      </c>
      <c r="AR32" s="4">
        <v>5</v>
      </c>
      <c r="AS32" s="9">
        <v>533809.52500000165</v>
      </c>
      <c r="AT32" s="4">
        <v>1667</v>
      </c>
      <c r="AU32" s="4">
        <v>336270</v>
      </c>
      <c r="AV32" s="4">
        <v>26</v>
      </c>
      <c r="AW32" s="4">
        <v>5049</v>
      </c>
      <c r="AX32" s="4">
        <v>5</v>
      </c>
      <c r="AY32" s="4">
        <v>19200</v>
      </c>
      <c r="AZ32" s="4">
        <v>1</v>
      </c>
    </row>
  </sheetData>
  <mergeCells count="105">
    <mergeCell ref="A1:A3"/>
    <mergeCell ref="C1:AZ1"/>
    <mergeCell ref="C2:D2"/>
    <mergeCell ref="E2:F2"/>
    <mergeCell ref="G2:H2"/>
    <mergeCell ref="I2:J2"/>
    <mergeCell ref="K2:L2"/>
    <mergeCell ref="M2:N2"/>
    <mergeCell ref="O2:P2"/>
    <mergeCell ref="Q2:R2"/>
    <mergeCell ref="AQ2:AR2"/>
    <mergeCell ref="AS2:AT2"/>
    <mergeCell ref="AU2:AV2"/>
    <mergeCell ref="AW2:AX2"/>
    <mergeCell ref="AY2:AZ2"/>
    <mergeCell ref="C3:C4"/>
    <mergeCell ref="D3:D4"/>
    <mergeCell ref="E3:E4"/>
    <mergeCell ref="F3:F4"/>
    <mergeCell ref="G3:G4"/>
    <mergeCell ref="AE2:AF2"/>
    <mergeCell ref="AG2:AH2"/>
    <mergeCell ref="AI2:AJ2"/>
    <mergeCell ref="AK2:AL2"/>
    <mergeCell ref="AM2:AN2"/>
    <mergeCell ref="AO2:AP2"/>
    <mergeCell ref="S2:T2"/>
    <mergeCell ref="U2:V2"/>
    <mergeCell ref="W2:X2"/>
    <mergeCell ref="Y2:Z2"/>
    <mergeCell ref="AA2:AB2"/>
    <mergeCell ref="AC2:AD2"/>
    <mergeCell ref="N3:N4"/>
    <mergeCell ref="O3:O4"/>
    <mergeCell ref="P3:P4"/>
    <mergeCell ref="Q3:Q4"/>
    <mergeCell ref="R3:R4"/>
    <mergeCell ref="S3:S4"/>
    <mergeCell ref="J3:J4"/>
    <mergeCell ref="K3:K4"/>
    <mergeCell ref="L3:L4"/>
    <mergeCell ref="M3:M4"/>
    <mergeCell ref="AK3:AK4"/>
    <mergeCell ref="Z3:Z4"/>
    <mergeCell ref="AA3:AA4"/>
    <mergeCell ref="AB3:AB4"/>
    <mergeCell ref="AC3:AC4"/>
    <mergeCell ref="AD3:AD4"/>
    <mergeCell ref="AE3:AE4"/>
    <mergeCell ref="T3:T4"/>
    <mergeCell ref="U3:U4"/>
    <mergeCell ref="V3:V4"/>
    <mergeCell ref="W3:W4"/>
    <mergeCell ref="X3:X4"/>
    <mergeCell ref="Y3:Y4"/>
    <mergeCell ref="AX3:AX4"/>
    <mergeCell ref="AY3:AY4"/>
    <mergeCell ref="AZ3:AZ4"/>
    <mergeCell ref="A5:B5"/>
    <mergeCell ref="A6:B6"/>
    <mergeCell ref="AR3:AR4"/>
    <mergeCell ref="AS3:AS4"/>
    <mergeCell ref="AT3:AT4"/>
    <mergeCell ref="AU3:AU4"/>
    <mergeCell ref="AV3:AV4"/>
    <mergeCell ref="AW3:AW4"/>
    <mergeCell ref="AL3:AL4"/>
    <mergeCell ref="AM3:AM4"/>
    <mergeCell ref="AN3:AN4"/>
    <mergeCell ref="AO3:AO4"/>
    <mergeCell ref="AP3:AP4"/>
    <mergeCell ref="AQ3:AQ4"/>
    <mergeCell ref="AF3:AF4"/>
    <mergeCell ref="AG3:AG4"/>
    <mergeCell ref="AH3:AH4"/>
    <mergeCell ref="AI3:AI4"/>
    <mergeCell ref="AJ3:AJ4"/>
    <mergeCell ref="H3:H4"/>
    <mergeCell ref="I3:I4"/>
    <mergeCell ref="A10:B10"/>
    <mergeCell ref="A11:B11"/>
    <mergeCell ref="A12:B12"/>
    <mergeCell ref="A7:B7"/>
    <mergeCell ref="A8:B8"/>
    <mergeCell ref="A9:B9"/>
    <mergeCell ref="A16:B16"/>
    <mergeCell ref="A17:B17"/>
    <mergeCell ref="A18:B18"/>
    <mergeCell ref="A13:B13"/>
    <mergeCell ref="A14:B14"/>
    <mergeCell ref="A15:B15"/>
    <mergeCell ref="A31:B31"/>
    <mergeCell ref="A32:B32"/>
    <mergeCell ref="A22:B22"/>
    <mergeCell ref="A23:B23"/>
    <mergeCell ref="A24:B24"/>
    <mergeCell ref="A19:B19"/>
    <mergeCell ref="A20:B20"/>
    <mergeCell ref="A21:B21"/>
    <mergeCell ref="A28:B28"/>
    <mergeCell ref="A29:B29"/>
    <mergeCell ref="A30:B30"/>
    <mergeCell ref="A25:B25"/>
    <mergeCell ref="A26:B26"/>
    <mergeCell ref="A27:B27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8E4B8-2E54-4CED-981F-6D8DCFAE46A8}">
  <dimension ref="A1:F293"/>
  <sheetViews>
    <sheetView zoomScale="55" zoomScaleNormal="55" workbookViewId="0">
      <selection activeCell="F145" sqref="F145"/>
    </sheetView>
  </sheetViews>
  <sheetFormatPr defaultRowHeight="16.5" x14ac:dyDescent="0.3"/>
  <cols>
    <col min="1" max="4" width="9" style="2"/>
    <col min="5" max="5" width="13.75" style="2" customWidth="1"/>
    <col min="6" max="6" width="9.5" style="2" bestFit="1" customWidth="1"/>
    <col min="7" max="16384" width="9" style="2"/>
  </cols>
  <sheetData>
    <row r="1" spans="1:5" x14ac:dyDescent="0.3">
      <c r="A1" s="15" t="s">
        <v>0</v>
      </c>
      <c r="B1" s="1" t="s">
        <v>1</v>
      </c>
      <c r="C1" s="14">
        <v>2023</v>
      </c>
      <c r="D1" s="14" t="s">
        <v>2</v>
      </c>
      <c r="E1" s="14" t="s">
        <v>2</v>
      </c>
    </row>
    <row r="2" spans="1:5" x14ac:dyDescent="0.3">
      <c r="A2" s="15" t="s">
        <v>0</v>
      </c>
      <c r="B2" s="1" t="s">
        <v>169</v>
      </c>
      <c r="C2" s="14" t="s">
        <v>170</v>
      </c>
      <c r="D2" s="14" t="s">
        <v>171</v>
      </c>
      <c r="E2" s="14" t="s">
        <v>172</v>
      </c>
    </row>
    <row r="3" spans="1:5" x14ac:dyDescent="0.3">
      <c r="A3" s="3" t="s">
        <v>173</v>
      </c>
      <c r="B3" s="3" t="s">
        <v>0</v>
      </c>
      <c r="C3" s="14" t="s">
        <v>170</v>
      </c>
      <c r="D3" s="14" t="s">
        <v>171</v>
      </c>
      <c r="E3" s="14" t="s">
        <v>172</v>
      </c>
    </row>
    <row r="4" spans="1:5" x14ac:dyDescent="0.3">
      <c r="A4" s="13" t="s">
        <v>174</v>
      </c>
      <c r="B4" s="13"/>
      <c r="C4" s="4"/>
      <c r="D4" s="4">
        <v>514</v>
      </c>
      <c r="E4" s="4">
        <v>102833460</v>
      </c>
    </row>
    <row r="5" spans="1:5" x14ac:dyDescent="0.3">
      <c r="A5" s="13" t="s">
        <v>175</v>
      </c>
      <c r="B5" s="13"/>
      <c r="C5" s="4"/>
      <c r="D5" s="4">
        <v>294</v>
      </c>
      <c r="E5" s="4">
        <v>102216931</v>
      </c>
    </row>
    <row r="6" spans="1:5" x14ac:dyDescent="0.3">
      <c r="A6" s="13" t="s">
        <v>72</v>
      </c>
      <c r="B6" s="13"/>
      <c r="C6" s="4"/>
      <c r="D6" s="4">
        <v>220</v>
      </c>
      <c r="E6" s="4">
        <v>616529</v>
      </c>
    </row>
    <row r="7" spans="1:5" x14ac:dyDescent="0.3">
      <c r="A7" s="13" t="s">
        <v>6</v>
      </c>
      <c r="B7" s="13"/>
      <c r="C7" s="4"/>
      <c r="D7" s="4">
        <v>63</v>
      </c>
      <c r="E7" s="4">
        <v>39308658</v>
      </c>
    </row>
    <row r="8" spans="1:5" x14ac:dyDescent="0.3">
      <c r="A8" s="13" t="s">
        <v>176</v>
      </c>
      <c r="B8" s="13"/>
      <c r="C8" s="4"/>
      <c r="D8" s="4">
        <v>57</v>
      </c>
      <c r="E8" s="4">
        <v>37508658</v>
      </c>
    </row>
    <row r="9" spans="1:5" x14ac:dyDescent="0.3">
      <c r="A9" s="13" t="s">
        <v>177</v>
      </c>
      <c r="B9" s="13"/>
      <c r="C9" s="4"/>
      <c r="D9" s="4">
        <v>2</v>
      </c>
      <c r="E9" s="4">
        <v>400000</v>
      </c>
    </row>
    <row r="10" spans="1:5" x14ac:dyDescent="0.3">
      <c r="A10" s="13" t="s">
        <v>178</v>
      </c>
      <c r="B10" s="13"/>
      <c r="C10" s="4"/>
      <c r="D10" s="4"/>
      <c r="E10" s="4"/>
    </row>
    <row r="11" spans="1:5" x14ac:dyDescent="0.3">
      <c r="A11" s="13" t="s">
        <v>179</v>
      </c>
      <c r="B11" s="13"/>
      <c r="C11" s="4"/>
      <c r="D11" s="4">
        <v>4</v>
      </c>
      <c r="E11" s="4">
        <v>1400000</v>
      </c>
    </row>
    <row r="12" spans="1:5" x14ac:dyDescent="0.3">
      <c r="A12" s="13" t="s">
        <v>175</v>
      </c>
      <c r="B12" s="13"/>
      <c r="C12" s="4"/>
      <c r="D12" s="4">
        <v>63</v>
      </c>
      <c r="E12" s="4">
        <v>39308658</v>
      </c>
    </row>
    <row r="13" spans="1:5" x14ac:dyDescent="0.3">
      <c r="A13" s="13" t="s">
        <v>178</v>
      </c>
      <c r="B13" s="13"/>
      <c r="C13" s="4"/>
      <c r="D13" s="4"/>
      <c r="E13" s="4"/>
    </row>
    <row r="14" spans="1:5" x14ac:dyDescent="0.3">
      <c r="A14" s="13" t="s">
        <v>180</v>
      </c>
      <c r="B14" s="13"/>
      <c r="C14" s="4"/>
      <c r="D14" s="4"/>
      <c r="E14" s="4"/>
    </row>
    <row r="15" spans="1:5" x14ac:dyDescent="0.3">
      <c r="A15" s="13" t="s">
        <v>179</v>
      </c>
      <c r="B15" s="13"/>
      <c r="C15" s="4"/>
      <c r="D15" s="4">
        <v>4</v>
      </c>
      <c r="E15" s="4">
        <v>1400000</v>
      </c>
    </row>
    <row r="16" spans="1:5" x14ac:dyDescent="0.3">
      <c r="A16" s="13" t="s">
        <v>181</v>
      </c>
      <c r="B16" s="13"/>
      <c r="C16" s="4">
        <v>350000</v>
      </c>
      <c r="D16" s="4">
        <v>4</v>
      </c>
      <c r="E16" s="4">
        <v>1400000</v>
      </c>
    </row>
    <row r="17" spans="1:5" x14ac:dyDescent="0.3">
      <c r="A17" s="13" t="s">
        <v>177</v>
      </c>
      <c r="B17" s="13"/>
      <c r="C17" s="4"/>
      <c r="D17" s="4">
        <v>2</v>
      </c>
      <c r="E17" s="4">
        <v>400000</v>
      </c>
    </row>
    <row r="18" spans="1:5" x14ac:dyDescent="0.3">
      <c r="A18" s="13" t="s">
        <v>182</v>
      </c>
      <c r="B18" s="13"/>
      <c r="C18" s="4"/>
      <c r="D18" s="4"/>
      <c r="E18" s="4"/>
    </row>
    <row r="19" spans="1:5" x14ac:dyDescent="0.3">
      <c r="A19" s="13" t="s">
        <v>183</v>
      </c>
      <c r="B19" s="13"/>
      <c r="C19" s="4">
        <v>200000</v>
      </c>
      <c r="D19" s="4">
        <v>2</v>
      </c>
      <c r="E19" s="4">
        <v>400000</v>
      </c>
    </row>
    <row r="20" spans="1:5" x14ac:dyDescent="0.3">
      <c r="A20" s="13" t="s">
        <v>176</v>
      </c>
      <c r="B20" s="13"/>
      <c r="C20" s="4"/>
      <c r="D20" s="4">
        <v>57</v>
      </c>
      <c r="E20" s="4">
        <v>37508658</v>
      </c>
    </row>
    <row r="21" spans="1:5" x14ac:dyDescent="0.3">
      <c r="A21" s="13" t="s">
        <v>184</v>
      </c>
      <c r="B21" s="13"/>
      <c r="C21" s="4"/>
      <c r="D21" s="4"/>
      <c r="E21" s="4"/>
    </row>
    <row r="22" spans="1:5" x14ac:dyDescent="0.3">
      <c r="A22" s="13" t="s">
        <v>185</v>
      </c>
      <c r="B22" s="13"/>
      <c r="C22" s="4">
        <v>560000</v>
      </c>
      <c r="D22" s="4">
        <v>2</v>
      </c>
      <c r="E22" s="4">
        <v>1120000</v>
      </c>
    </row>
    <row r="23" spans="1:5" x14ac:dyDescent="0.3">
      <c r="A23" s="13" t="s">
        <v>186</v>
      </c>
      <c r="B23" s="13"/>
      <c r="C23" s="4">
        <v>500000</v>
      </c>
      <c r="D23" s="4">
        <v>2</v>
      </c>
      <c r="E23" s="4">
        <v>1000000</v>
      </c>
    </row>
    <row r="24" spans="1:5" x14ac:dyDescent="0.3">
      <c r="A24" s="13" t="s">
        <v>187</v>
      </c>
      <c r="B24" s="13"/>
      <c r="C24" s="4">
        <v>500000</v>
      </c>
      <c r="D24" s="4">
        <v>5</v>
      </c>
      <c r="E24" s="4">
        <v>2500000</v>
      </c>
    </row>
    <row r="25" spans="1:5" x14ac:dyDescent="0.3">
      <c r="A25" s="13" t="s">
        <v>188</v>
      </c>
      <c r="B25" s="13"/>
      <c r="C25" s="4">
        <v>550000</v>
      </c>
      <c r="D25" s="4">
        <v>1</v>
      </c>
      <c r="E25" s="4">
        <v>550000</v>
      </c>
    </row>
    <row r="26" spans="1:5" x14ac:dyDescent="0.3">
      <c r="A26" s="13" t="s">
        <v>189</v>
      </c>
      <c r="B26" s="13"/>
      <c r="C26" s="4">
        <v>500000</v>
      </c>
      <c r="D26" s="4">
        <v>8</v>
      </c>
      <c r="E26" s="4">
        <v>4000000</v>
      </c>
    </row>
    <row r="27" spans="1:5" x14ac:dyDescent="0.3">
      <c r="A27" s="13" t="s">
        <v>190</v>
      </c>
      <c r="B27" s="13"/>
      <c r="C27" s="4">
        <v>1050000</v>
      </c>
      <c r="D27" s="4">
        <v>1</v>
      </c>
      <c r="E27" s="4">
        <v>1050000</v>
      </c>
    </row>
    <row r="28" spans="1:5" x14ac:dyDescent="0.3">
      <c r="A28" s="13" t="s">
        <v>191</v>
      </c>
      <c r="B28" s="13"/>
      <c r="C28" s="4">
        <v>1050000</v>
      </c>
      <c r="D28" s="4">
        <v>1</v>
      </c>
      <c r="E28" s="4">
        <v>1050000</v>
      </c>
    </row>
    <row r="29" spans="1:5" x14ac:dyDescent="0.3">
      <c r="A29" s="13" t="s">
        <v>192</v>
      </c>
      <c r="B29" s="13"/>
      <c r="C29" s="4">
        <v>500000</v>
      </c>
      <c r="D29" s="4">
        <v>8</v>
      </c>
      <c r="E29" s="4">
        <v>4000000</v>
      </c>
    </row>
    <row r="30" spans="1:5" x14ac:dyDescent="0.3">
      <c r="A30" s="13" t="s">
        <v>193</v>
      </c>
      <c r="B30" s="13"/>
      <c r="C30" s="4">
        <v>500000</v>
      </c>
      <c r="D30" s="4">
        <v>8</v>
      </c>
      <c r="E30" s="4">
        <v>4000000</v>
      </c>
    </row>
    <row r="31" spans="1:5" x14ac:dyDescent="0.3">
      <c r="A31" s="13" t="s">
        <v>194</v>
      </c>
      <c r="B31" s="13"/>
      <c r="C31" s="4">
        <v>1020000</v>
      </c>
      <c r="D31" s="4">
        <v>2</v>
      </c>
      <c r="E31" s="4">
        <v>2040000</v>
      </c>
    </row>
    <row r="32" spans="1:5" x14ac:dyDescent="0.3">
      <c r="A32" s="13" t="s">
        <v>195</v>
      </c>
      <c r="B32" s="13"/>
      <c r="C32" s="4">
        <v>800000</v>
      </c>
      <c r="D32" s="4">
        <v>2</v>
      </c>
      <c r="E32" s="4">
        <v>1600000</v>
      </c>
    </row>
    <row r="33" spans="1:5" x14ac:dyDescent="0.3">
      <c r="A33" s="13" t="s">
        <v>196</v>
      </c>
      <c r="B33" s="13"/>
      <c r="C33" s="4">
        <v>870000</v>
      </c>
      <c r="D33" s="4">
        <v>2</v>
      </c>
      <c r="E33" s="4">
        <v>1740000</v>
      </c>
    </row>
    <row r="34" spans="1:5" x14ac:dyDescent="0.3">
      <c r="A34" s="13" t="s">
        <v>197</v>
      </c>
      <c r="B34" s="13"/>
      <c r="C34" s="4">
        <v>870000</v>
      </c>
      <c r="D34" s="4">
        <v>2</v>
      </c>
      <c r="E34" s="4">
        <v>1740000</v>
      </c>
    </row>
    <row r="35" spans="1:5" x14ac:dyDescent="0.3">
      <c r="A35" s="13" t="s">
        <v>198</v>
      </c>
      <c r="B35" s="13"/>
      <c r="C35" s="4">
        <v>328600</v>
      </c>
      <c r="D35" s="4">
        <v>1</v>
      </c>
      <c r="E35" s="4">
        <v>328600</v>
      </c>
    </row>
    <row r="36" spans="1:5" x14ac:dyDescent="0.3">
      <c r="A36" s="13" t="s">
        <v>199</v>
      </c>
      <c r="B36" s="13"/>
      <c r="C36" s="4">
        <v>340000</v>
      </c>
      <c r="D36" s="4">
        <v>1</v>
      </c>
      <c r="E36" s="4">
        <v>340000</v>
      </c>
    </row>
    <row r="37" spans="1:5" x14ac:dyDescent="0.3">
      <c r="A37" s="13" t="s">
        <v>200</v>
      </c>
      <c r="B37" s="13"/>
      <c r="C37" s="4">
        <v>1022000</v>
      </c>
      <c r="D37" s="4">
        <v>1</v>
      </c>
      <c r="E37" s="4">
        <v>1022000</v>
      </c>
    </row>
    <row r="38" spans="1:5" x14ac:dyDescent="0.3">
      <c r="A38" s="13" t="s">
        <v>201</v>
      </c>
      <c r="B38" s="13"/>
      <c r="C38" s="4">
        <v>1022000</v>
      </c>
      <c r="D38" s="4">
        <v>1</v>
      </c>
      <c r="E38" s="4">
        <v>1022000</v>
      </c>
    </row>
    <row r="39" spans="1:5" x14ac:dyDescent="0.3">
      <c r="A39" s="13" t="s">
        <v>66</v>
      </c>
      <c r="B39" s="13"/>
      <c r="C39" s="4">
        <v>595000</v>
      </c>
      <c r="D39" s="4">
        <v>2</v>
      </c>
      <c r="E39" s="4">
        <v>1190000</v>
      </c>
    </row>
    <row r="40" spans="1:5" x14ac:dyDescent="0.3">
      <c r="A40" s="13" t="s">
        <v>202</v>
      </c>
      <c r="B40" s="13"/>
      <c r="C40" s="4">
        <v>1019029</v>
      </c>
      <c r="D40" s="4">
        <v>1</v>
      </c>
      <c r="E40" s="4">
        <v>1019029</v>
      </c>
    </row>
    <row r="41" spans="1:5" x14ac:dyDescent="0.3">
      <c r="A41" s="13" t="s">
        <v>203</v>
      </c>
      <c r="B41" s="13"/>
      <c r="C41" s="4">
        <v>1019029</v>
      </c>
      <c r="D41" s="4">
        <v>1</v>
      </c>
      <c r="E41" s="4">
        <v>1019029</v>
      </c>
    </row>
    <row r="42" spans="1:5" x14ac:dyDescent="0.3">
      <c r="A42" s="13" t="s">
        <v>204</v>
      </c>
      <c r="B42" s="13"/>
      <c r="C42" s="4">
        <v>1040000</v>
      </c>
      <c r="D42" s="4">
        <v>2</v>
      </c>
      <c r="E42" s="4">
        <v>2080000</v>
      </c>
    </row>
    <row r="43" spans="1:5" x14ac:dyDescent="0.3">
      <c r="A43" s="13" t="s">
        <v>205</v>
      </c>
      <c r="B43" s="13"/>
      <c r="C43" s="4">
        <v>1018000</v>
      </c>
      <c r="D43" s="4">
        <v>1</v>
      </c>
      <c r="E43" s="4">
        <v>1018000</v>
      </c>
    </row>
    <row r="44" spans="1:5" x14ac:dyDescent="0.3">
      <c r="A44" s="19" t="s">
        <v>206</v>
      </c>
      <c r="B44" s="13"/>
      <c r="C44" s="4">
        <v>2080000</v>
      </c>
      <c r="D44" s="4">
        <v>2</v>
      </c>
      <c r="E44" s="4">
        <v>2080000</v>
      </c>
    </row>
    <row r="45" spans="1:5" x14ac:dyDescent="0.3">
      <c r="A45" s="13" t="s">
        <v>11</v>
      </c>
      <c r="B45" s="13"/>
      <c r="C45" s="4"/>
      <c r="D45" s="4">
        <v>200</v>
      </c>
      <c r="E45" s="4">
        <v>34038252</v>
      </c>
    </row>
    <row r="46" spans="1:5" x14ac:dyDescent="0.3">
      <c r="A46" s="13" t="s">
        <v>179</v>
      </c>
      <c r="B46" s="13"/>
      <c r="C46" s="4"/>
      <c r="D46" s="4">
        <v>195</v>
      </c>
      <c r="E46" s="4">
        <v>32400807</v>
      </c>
    </row>
    <row r="47" spans="1:5" x14ac:dyDescent="0.3">
      <c r="A47" s="13" t="s">
        <v>207</v>
      </c>
      <c r="B47" s="13"/>
      <c r="C47" s="4"/>
      <c r="D47" s="4">
        <v>5</v>
      </c>
      <c r="E47" s="4">
        <v>465800</v>
      </c>
    </row>
    <row r="48" spans="1:5" x14ac:dyDescent="0.3">
      <c r="A48" s="13" t="s">
        <v>175</v>
      </c>
      <c r="B48" s="13"/>
      <c r="C48" s="4"/>
      <c r="D48" s="4">
        <v>190</v>
      </c>
      <c r="E48" s="4">
        <v>33558273</v>
      </c>
    </row>
    <row r="49" spans="1:5" x14ac:dyDescent="0.3">
      <c r="A49" s="13" t="s">
        <v>179</v>
      </c>
      <c r="B49" s="13"/>
      <c r="C49" s="4"/>
      <c r="D49" s="4">
        <v>185</v>
      </c>
      <c r="E49" s="4">
        <v>33092473</v>
      </c>
    </row>
    <row r="50" spans="1:5" x14ac:dyDescent="0.3">
      <c r="A50" s="13" t="s">
        <v>208</v>
      </c>
      <c r="B50" s="13"/>
      <c r="C50" s="4"/>
      <c r="D50" s="4">
        <v>104</v>
      </c>
      <c r="E50" s="4">
        <v>15641257</v>
      </c>
    </row>
    <row r="51" spans="1:5" x14ac:dyDescent="0.3">
      <c r="A51" s="13" t="s">
        <v>209</v>
      </c>
      <c r="B51" s="13"/>
      <c r="C51" s="4">
        <v>150000</v>
      </c>
      <c r="D51" s="4">
        <v>8</v>
      </c>
      <c r="E51" s="4">
        <v>1200000</v>
      </c>
    </row>
    <row r="52" spans="1:5" x14ac:dyDescent="0.3">
      <c r="A52" s="13" t="s">
        <v>210</v>
      </c>
      <c r="B52" s="13"/>
      <c r="C52" s="4">
        <v>75000</v>
      </c>
      <c r="D52" s="4">
        <v>8</v>
      </c>
      <c r="E52" s="4">
        <v>600000</v>
      </c>
    </row>
    <row r="53" spans="1:5" x14ac:dyDescent="0.3">
      <c r="A53" s="13" t="s">
        <v>211</v>
      </c>
      <c r="B53" s="13"/>
      <c r="C53" s="4">
        <v>150000</v>
      </c>
      <c r="D53" s="4">
        <v>8</v>
      </c>
      <c r="E53" s="4">
        <v>1200000</v>
      </c>
    </row>
    <row r="54" spans="1:5" x14ac:dyDescent="0.3">
      <c r="A54" s="13" t="s">
        <v>212</v>
      </c>
      <c r="B54" s="13"/>
      <c r="C54" s="4">
        <v>150000</v>
      </c>
      <c r="D54" s="4">
        <v>4</v>
      </c>
      <c r="E54" s="4">
        <v>600000</v>
      </c>
    </row>
    <row r="55" spans="1:5" x14ac:dyDescent="0.3">
      <c r="A55" s="13" t="s">
        <v>213</v>
      </c>
      <c r="B55" s="13"/>
      <c r="C55" s="4">
        <v>77758</v>
      </c>
      <c r="D55" s="4">
        <v>8</v>
      </c>
      <c r="E55" s="4">
        <v>622064</v>
      </c>
    </row>
    <row r="56" spans="1:5" x14ac:dyDescent="0.3">
      <c r="A56" s="13" t="s">
        <v>214</v>
      </c>
      <c r="B56" s="13"/>
      <c r="C56" s="4">
        <v>185000</v>
      </c>
      <c r="D56" s="4">
        <v>1</v>
      </c>
      <c r="E56" s="4">
        <v>185000</v>
      </c>
    </row>
    <row r="57" spans="1:5" x14ac:dyDescent="0.3">
      <c r="A57" s="13" t="s">
        <v>215</v>
      </c>
      <c r="B57" s="13"/>
      <c r="C57" s="4">
        <v>115000</v>
      </c>
      <c r="D57" s="4">
        <v>1</v>
      </c>
      <c r="E57" s="4">
        <v>115000</v>
      </c>
    </row>
    <row r="58" spans="1:5" x14ac:dyDescent="0.3">
      <c r="A58" s="13" t="s">
        <v>216</v>
      </c>
      <c r="B58" s="13"/>
      <c r="C58" s="4">
        <v>100000</v>
      </c>
      <c r="D58" s="4">
        <v>6</v>
      </c>
      <c r="E58" s="4">
        <v>600000</v>
      </c>
    </row>
    <row r="59" spans="1:5" x14ac:dyDescent="0.3">
      <c r="A59" s="13" t="s">
        <v>217</v>
      </c>
      <c r="B59" s="13"/>
      <c r="C59" s="4">
        <v>200000</v>
      </c>
      <c r="D59" s="4">
        <v>1</v>
      </c>
      <c r="E59" s="4">
        <v>200000</v>
      </c>
    </row>
    <row r="60" spans="1:5" x14ac:dyDescent="0.3">
      <c r="A60" s="13" t="s">
        <v>218</v>
      </c>
      <c r="B60" s="13"/>
      <c r="C60" s="4">
        <v>100000</v>
      </c>
      <c r="D60" s="4">
        <v>1</v>
      </c>
      <c r="E60" s="4">
        <v>100000</v>
      </c>
    </row>
    <row r="61" spans="1:5" x14ac:dyDescent="0.3">
      <c r="A61" s="13" t="s">
        <v>219</v>
      </c>
      <c r="B61" s="13"/>
      <c r="C61" s="4">
        <v>286300</v>
      </c>
      <c r="D61" s="4">
        <v>2</v>
      </c>
      <c r="E61" s="4">
        <v>572600</v>
      </c>
    </row>
    <row r="62" spans="1:5" x14ac:dyDescent="0.3">
      <c r="A62" s="13" t="s">
        <v>220</v>
      </c>
      <c r="B62" s="13"/>
      <c r="C62" s="4">
        <v>295900</v>
      </c>
      <c r="D62" s="4">
        <v>1</v>
      </c>
      <c r="E62" s="4">
        <v>295900</v>
      </c>
    </row>
    <row r="63" spans="1:5" x14ac:dyDescent="0.3">
      <c r="A63" s="13" t="s">
        <v>221</v>
      </c>
      <c r="B63" s="13"/>
      <c r="C63" s="4">
        <v>150000</v>
      </c>
      <c r="D63" s="4">
        <v>6</v>
      </c>
      <c r="E63" s="4">
        <v>900000</v>
      </c>
    </row>
    <row r="64" spans="1:5" x14ac:dyDescent="0.3">
      <c r="A64" s="13" t="s">
        <v>222</v>
      </c>
      <c r="B64" s="13"/>
      <c r="C64" s="4">
        <v>150000</v>
      </c>
      <c r="D64" s="4">
        <v>3</v>
      </c>
      <c r="E64" s="4">
        <v>450000</v>
      </c>
    </row>
    <row r="65" spans="1:5" x14ac:dyDescent="0.3">
      <c r="A65" s="13" t="s">
        <v>223</v>
      </c>
      <c r="B65" s="13"/>
      <c r="C65" s="4">
        <v>100000</v>
      </c>
      <c r="D65" s="4">
        <v>2</v>
      </c>
      <c r="E65" s="4">
        <v>200000</v>
      </c>
    </row>
    <row r="66" spans="1:5" x14ac:dyDescent="0.3">
      <c r="A66" s="13" t="s">
        <v>224</v>
      </c>
      <c r="B66" s="13"/>
      <c r="C66" s="4">
        <v>150000</v>
      </c>
      <c r="D66" s="4">
        <v>4</v>
      </c>
      <c r="E66" s="4">
        <v>600000</v>
      </c>
    </row>
    <row r="67" spans="1:5" x14ac:dyDescent="0.3">
      <c r="A67" s="13" t="s">
        <v>225</v>
      </c>
      <c r="B67" s="13"/>
      <c r="C67" s="4">
        <v>100000</v>
      </c>
      <c r="D67" s="4">
        <v>1</v>
      </c>
      <c r="E67" s="4">
        <v>100000</v>
      </c>
    </row>
    <row r="68" spans="1:5" x14ac:dyDescent="0.3">
      <c r="A68" s="13" t="s">
        <v>226</v>
      </c>
      <c r="B68" s="13"/>
      <c r="C68" s="4">
        <v>150000</v>
      </c>
      <c r="D68" s="4">
        <v>2</v>
      </c>
      <c r="E68" s="4">
        <v>300000</v>
      </c>
    </row>
    <row r="69" spans="1:5" x14ac:dyDescent="0.3">
      <c r="A69" s="13" t="s">
        <v>227</v>
      </c>
      <c r="B69" s="13"/>
      <c r="C69" s="4">
        <v>286600</v>
      </c>
      <c r="D69" s="4">
        <v>2</v>
      </c>
      <c r="E69" s="4">
        <v>573200</v>
      </c>
    </row>
    <row r="70" spans="1:5" x14ac:dyDescent="0.3">
      <c r="A70" s="13" t="s">
        <v>228</v>
      </c>
      <c r="B70" s="13"/>
      <c r="C70" s="4">
        <v>298700</v>
      </c>
      <c r="D70" s="4">
        <v>1</v>
      </c>
      <c r="E70" s="4">
        <v>298700</v>
      </c>
    </row>
    <row r="71" spans="1:5" x14ac:dyDescent="0.3">
      <c r="A71" s="13" t="s">
        <v>229</v>
      </c>
      <c r="B71" s="13"/>
      <c r="C71" s="4">
        <v>150000</v>
      </c>
      <c r="D71" s="4">
        <v>8</v>
      </c>
      <c r="E71" s="4">
        <v>1200000</v>
      </c>
    </row>
    <row r="72" spans="1:5" x14ac:dyDescent="0.3">
      <c r="A72" s="13" t="s">
        <v>230</v>
      </c>
      <c r="B72" s="13"/>
      <c r="C72" s="4">
        <v>150000</v>
      </c>
      <c r="D72" s="4">
        <v>4</v>
      </c>
      <c r="E72" s="4">
        <v>600000</v>
      </c>
    </row>
    <row r="73" spans="1:5" x14ac:dyDescent="0.3">
      <c r="A73" s="13" t="s">
        <v>231</v>
      </c>
      <c r="B73" s="13"/>
      <c r="C73" s="4">
        <v>160729</v>
      </c>
      <c r="D73" s="4">
        <v>2</v>
      </c>
      <c r="E73" s="4">
        <v>321458</v>
      </c>
    </row>
    <row r="74" spans="1:5" x14ac:dyDescent="0.3">
      <c r="A74" s="13" t="s">
        <v>232</v>
      </c>
      <c r="B74" s="13"/>
      <c r="C74" s="4">
        <v>182081</v>
      </c>
      <c r="D74" s="4">
        <v>1</v>
      </c>
      <c r="E74" s="4">
        <v>182081</v>
      </c>
    </row>
    <row r="75" spans="1:5" x14ac:dyDescent="0.3">
      <c r="A75" s="13" t="s">
        <v>233</v>
      </c>
      <c r="B75" s="13"/>
      <c r="C75" s="4">
        <v>163979</v>
      </c>
      <c r="D75" s="4">
        <v>2</v>
      </c>
      <c r="E75" s="4">
        <v>327958</v>
      </c>
    </row>
    <row r="76" spans="1:5" x14ac:dyDescent="0.3">
      <c r="A76" s="13" t="s">
        <v>234</v>
      </c>
      <c r="B76" s="13"/>
      <c r="C76" s="4">
        <v>180950</v>
      </c>
      <c r="D76" s="4">
        <v>1</v>
      </c>
      <c r="E76" s="4">
        <v>180950</v>
      </c>
    </row>
    <row r="77" spans="1:5" x14ac:dyDescent="0.3">
      <c r="A77" s="13" t="s">
        <v>235</v>
      </c>
      <c r="B77" s="13"/>
      <c r="C77" s="4">
        <v>150000</v>
      </c>
      <c r="D77" s="4">
        <v>2</v>
      </c>
      <c r="E77" s="4">
        <v>300000</v>
      </c>
    </row>
    <row r="78" spans="1:5" x14ac:dyDescent="0.3">
      <c r="A78" s="13" t="s">
        <v>236</v>
      </c>
      <c r="B78" s="13"/>
      <c r="C78" s="4">
        <v>150000</v>
      </c>
      <c r="D78" s="4">
        <v>1</v>
      </c>
      <c r="E78" s="4">
        <v>150000</v>
      </c>
    </row>
    <row r="79" spans="1:5" x14ac:dyDescent="0.3">
      <c r="A79" s="13" t="s">
        <v>237</v>
      </c>
      <c r="B79" s="13"/>
      <c r="C79" s="4">
        <v>233300</v>
      </c>
      <c r="D79" s="4">
        <v>2</v>
      </c>
      <c r="E79" s="4">
        <v>466600</v>
      </c>
    </row>
    <row r="80" spans="1:5" x14ac:dyDescent="0.3">
      <c r="A80" s="13" t="s">
        <v>238</v>
      </c>
      <c r="B80" s="13"/>
      <c r="C80" s="4">
        <v>251800</v>
      </c>
      <c r="D80" s="4">
        <v>1</v>
      </c>
      <c r="E80" s="4">
        <v>251800</v>
      </c>
    </row>
    <row r="81" spans="1:5" x14ac:dyDescent="0.3">
      <c r="A81" s="13" t="s">
        <v>239</v>
      </c>
      <c r="B81" s="13"/>
      <c r="C81" s="4">
        <v>183000</v>
      </c>
      <c r="D81" s="4">
        <v>3</v>
      </c>
      <c r="E81" s="4">
        <v>549000</v>
      </c>
    </row>
    <row r="82" spans="1:5" x14ac:dyDescent="0.3">
      <c r="A82" s="13" t="s">
        <v>240</v>
      </c>
      <c r="B82" s="13"/>
      <c r="C82" s="4">
        <v>299000</v>
      </c>
      <c r="D82" s="4">
        <v>1</v>
      </c>
      <c r="E82" s="4">
        <v>299000</v>
      </c>
    </row>
    <row r="83" spans="1:5" x14ac:dyDescent="0.3">
      <c r="A83" s="13" t="s">
        <v>241</v>
      </c>
      <c r="B83" s="13"/>
      <c r="C83" s="4">
        <v>234500</v>
      </c>
      <c r="D83" s="4">
        <v>1</v>
      </c>
      <c r="E83" s="4">
        <v>234500</v>
      </c>
    </row>
    <row r="84" spans="1:5" x14ac:dyDescent="0.3">
      <c r="A84" s="13" t="s">
        <v>242</v>
      </c>
      <c r="B84" s="13"/>
      <c r="C84" s="4">
        <v>127100</v>
      </c>
      <c r="D84" s="4">
        <v>1</v>
      </c>
      <c r="E84" s="4">
        <v>127100</v>
      </c>
    </row>
    <row r="85" spans="1:5" x14ac:dyDescent="0.3">
      <c r="A85" s="13" t="s">
        <v>243</v>
      </c>
      <c r="B85" s="13"/>
      <c r="C85" s="4">
        <v>241298</v>
      </c>
      <c r="D85" s="4">
        <v>2</v>
      </c>
      <c r="E85" s="4">
        <v>482596</v>
      </c>
    </row>
    <row r="86" spans="1:5" x14ac:dyDescent="0.3">
      <c r="A86" s="13" t="s">
        <v>244</v>
      </c>
      <c r="B86" s="13"/>
      <c r="C86" s="4">
        <v>127875</v>
      </c>
      <c r="D86" s="4">
        <v>2</v>
      </c>
      <c r="E86" s="4">
        <v>255750</v>
      </c>
    </row>
    <row r="87" spans="1:5" x14ac:dyDescent="0.3">
      <c r="A87" s="13" t="s">
        <v>245</v>
      </c>
      <c r="B87" s="13"/>
      <c r="C87" s="4"/>
      <c r="D87" s="4">
        <v>81</v>
      </c>
      <c r="E87" s="4">
        <v>17451216</v>
      </c>
    </row>
    <row r="88" spans="1:5" x14ac:dyDescent="0.3">
      <c r="A88" s="13" t="s">
        <v>246</v>
      </c>
      <c r="B88" s="13"/>
      <c r="C88" s="4">
        <v>100000</v>
      </c>
      <c r="D88" s="4">
        <v>6</v>
      </c>
      <c r="E88" s="4">
        <v>600000</v>
      </c>
    </row>
    <row r="89" spans="1:5" x14ac:dyDescent="0.3">
      <c r="A89" s="13" t="s">
        <v>247</v>
      </c>
      <c r="B89" s="13"/>
      <c r="C89" s="4">
        <v>150000</v>
      </c>
      <c r="D89" s="4">
        <v>2</v>
      </c>
      <c r="E89" s="4">
        <v>300000</v>
      </c>
    </row>
    <row r="90" spans="1:5" x14ac:dyDescent="0.3">
      <c r="A90" s="13" t="s">
        <v>248</v>
      </c>
      <c r="B90" s="13"/>
      <c r="C90" s="4">
        <v>183200</v>
      </c>
      <c r="D90" s="4">
        <v>4</v>
      </c>
      <c r="E90" s="4">
        <v>732800</v>
      </c>
    </row>
    <row r="91" spans="1:5" x14ac:dyDescent="0.3">
      <c r="A91" s="13" t="s">
        <v>249</v>
      </c>
      <c r="B91" s="13"/>
      <c r="C91" s="4">
        <v>208200</v>
      </c>
      <c r="D91" s="4">
        <v>2</v>
      </c>
      <c r="E91" s="4">
        <v>416400</v>
      </c>
    </row>
    <row r="92" spans="1:5" x14ac:dyDescent="0.3">
      <c r="A92" s="13" t="s">
        <v>250</v>
      </c>
      <c r="B92" s="13"/>
      <c r="C92" s="4">
        <v>242700</v>
      </c>
      <c r="D92" s="4">
        <v>3</v>
      </c>
      <c r="E92" s="4">
        <v>728100</v>
      </c>
    </row>
    <row r="93" spans="1:5" x14ac:dyDescent="0.3">
      <c r="A93" s="13" t="s">
        <v>251</v>
      </c>
      <c r="B93" s="13"/>
      <c r="C93" s="4">
        <v>132900</v>
      </c>
      <c r="D93" s="4">
        <v>3</v>
      </c>
      <c r="E93" s="4">
        <v>398700</v>
      </c>
    </row>
    <row r="94" spans="1:5" x14ac:dyDescent="0.3">
      <c r="A94" s="13" t="s">
        <v>252</v>
      </c>
      <c r="B94" s="13"/>
      <c r="C94" s="4">
        <v>160960</v>
      </c>
      <c r="D94" s="4">
        <v>2</v>
      </c>
      <c r="E94" s="4">
        <v>321920</v>
      </c>
    </row>
    <row r="95" spans="1:5" x14ac:dyDescent="0.3">
      <c r="A95" s="13" t="s">
        <v>253</v>
      </c>
      <c r="B95" s="13"/>
      <c r="C95" s="4">
        <v>178830</v>
      </c>
      <c r="D95" s="4">
        <v>1</v>
      </c>
      <c r="E95" s="4">
        <v>178830</v>
      </c>
    </row>
    <row r="96" spans="1:5" x14ac:dyDescent="0.3">
      <c r="A96" s="13" t="s">
        <v>254</v>
      </c>
      <c r="B96" s="13"/>
      <c r="C96" s="4">
        <v>174500</v>
      </c>
      <c r="D96" s="4">
        <v>2</v>
      </c>
      <c r="E96" s="4">
        <v>349000</v>
      </c>
    </row>
    <row r="97" spans="1:5" x14ac:dyDescent="0.3">
      <c r="A97" s="13" t="s">
        <v>255</v>
      </c>
      <c r="B97" s="13"/>
      <c r="C97" s="4">
        <v>184000</v>
      </c>
      <c r="D97" s="4">
        <v>1</v>
      </c>
      <c r="E97" s="4">
        <v>184000</v>
      </c>
    </row>
    <row r="98" spans="1:5" x14ac:dyDescent="0.3">
      <c r="A98" s="13" t="s">
        <v>256</v>
      </c>
      <c r="B98" s="13"/>
      <c r="C98" s="4">
        <v>250000</v>
      </c>
      <c r="D98" s="4">
        <v>1</v>
      </c>
      <c r="E98" s="4">
        <v>250000</v>
      </c>
    </row>
    <row r="99" spans="1:5" x14ac:dyDescent="0.3">
      <c r="A99" s="13" t="s">
        <v>257</v>
      </c>
      <c r="B99" s="13"/>
      <c r="C99" s="4">
        <v>132000</v>
      </c>
      <c r="D99" s="4">
        <v>1</v>
      </c>
      <c r="E99" s="4">
        <v>132000</v>
      </c>
    </row>
    <row r="100" spans="1:5" x14ac:dyDescent="0.3">
      <c r="A100" s="13" t="s">
        <v>258</v>
      </c>
      <c r="B100" s="13"/>
      <c r="C100" s="4">
        <v>269800</v>
      </c>
      <c r="D100" s="4">
        <v>2</v>
      </c>
      <c r="E100" s="4">
        <v>539600</v>
      </c>
    </row>
    <row r="101" spans="1:5" x14ac:dyDescent="0.3">
      <c r="A101" s="13" t="s">
        <v>259</v>
      </c>
      <c r="B101" s="13"/>
      <c r="C101" s="4">
        <v>306400</v>
      </c>
      <c r="D101" s="4">
        <v>1</v>
      </c>
      <c r="E101" s="4">
        <v>306400</v>
      </c>
    </row>
    <row r="102" spans="1:5" x14ac:dyDescent="0.3">
      <c r="A102" s="13" t="s">
        <v>260</v>
      </c>
      <c r="B102" s="13"/>
      <c r="C102" s="4">
        <v>163800</v>
      </c>
      <c r="D102" s="4">
        <v>2</v>
      </c>
      <c r="E102" s="4">
        <v>327600</v>
      </c>
    </row>
    <row r="103" spans="1:5" x14ac:dyDescent="0.3">
      <c r="A103" s="13" t="s">
        <v>261</v>
      </c>
      <c r="B103" s="13"/>
      <c r="C103" s="4">
        <v>197900</v>
      </c>
      <c r="D103" s="4">
        <v>1</v>
      </c>
      <c r="E103" s="4">
        <v>197900</v>
      </c>
    </row>
    <row r="104" spans="1:5" x14ac:dyDescent="0.3">
      <c r="A104" s="13" t="s">
        <v>262</v>
      </c>
      <c r="B104" s="13"/>
      <c r="C104" s="4">
        <v>285800</v>
      </c>
      <c r="D104" s="4">
        <v>2</v>
      </c>
      <c r="E104" s="4">
        <v>571600</v>
      </c>
    </row>
    <row r="105" spans="1:5" x14ac:dyDescent="0.3">
      <c r="A105" s="13" t="s">
        <v>263</v>
      </c>
      <c r="B105" s="13"/>
      <c r="C105" s="4">
        <v>292600</v>
      </c>
      <c r="D105" s="4">
        <v>1</v>
      </c>
      <c r="E105" s="4">
        <v>292600</v>
      </c>
    </row>
    <row r="106" spans="1:5" x14ac:dyDescent="0.3">
      <c r="A106" s="13" t="s">
        <v>264</v>
      </c>
      <c r="B106" s="13"/>
      <c r="C106" s="4">
        <v>153100</v>
      </c>
      <c r="D106" s="4">
        <v>4</v>
      </c>
      <c r="E106" s="4">
        <v>612400</v>
      </c>
    </row>
    <row r="107" spans="1:5" x14ac:dyDescent="0.3">
      <c r="A107" s="13" t="s">
        <v>265</v>
      </c>
      <c r="B107" s="13"/>
      <c r="C107" s="4">
        <v>188400</v>
      </c>
      <c r="D107" s="4">
        <v>2</v>
      </c>
      <c r="E107" s="4">
        <v>376800</v>
      </c>
    </row>
    <row r="108" spans="1:5" x14ac:dyDescent="0.3">
      <c r="A108" s="13" t="s">
        <v>266</v>
      </c>
      <c r="B108" s="13"/>
      <c r="C108" s="4">
        <v>240500</v>
      </c>
      <c r="D108" s="4">
        <v>4</v>
      </c>
      <c r="E108" s="4">
        <v>962000</v>
      </c>
    </row>
    <row r="109" spans="1:5" x14ac:dyDescent="0.3">
      <c r="A109" s="13" t="s">
        <v>267</v>
      </c>
      <c r="B109" s="13"/>
      <c r="C109" s="4">
        <v>244000</v>
      </c>
      <c r="D109" s="4">
        <v>2</v>
      </c>
      <c r="E109" s="4">
        <v>488000</v>
      </c>
    </row>
    <row r="110" spans="1:5" x14ac:dyDescent="0.3">
      <c r="A110" s="13" t="s">
        <v>268</v>
      </c>
      <c r="B110" s="13"/>
      <c r="C110" s="4">
        <v>242900</v>
      </c>
      <c r="D110" s="4">
        <v>2</v>
      </c>
      <c r="E110" s="4">
        <v>485800</v>
      </c>
    </row>
    <row r="111" spans="1:5" x14ac:dyDescent="0.3">
      <c r="A111" s="13" t="s">
        <v>269</v>
      </c>
      <c r="B111" s="13"/>
      <c r="C111" s="4">
        <v>265400</v>
      </c>
      <c r="D111" s="4">
        <v>1</v>
      </c>
      <c r="E111" s="4">
        <v>265400</v>
      </c>
    </row>
    <row r="112" spans="1:5" x14ac:dyDescent="0.3">
      <c r="A112" s="13" t="s">
        <v>270</v>
      </c>
      <c r="B112" s="13"/>
      <c r="C112" s="4">
        <v>165680</v>
      </c>
      <c r="D112" s="4">
        <v>3</v>
      </c>
      <c r="E112" s="4">
        <v>497040</v>
      </c>
    </row>
    <row r="113" spans="1:5" x14ac:dyDescent="0.3">
      <c r="A113" s="13" t="s">
        <v>271</v>
      </c>
      <c r="B113" s="13"/>
      <c r="C113" s="4">
        <v>272790</v>
      </c>
      <c r="D113" s="4">
        <v>1</v>
      </c>
      <c r="E113" s="4">
        <v>272790</v>
      </c>
    </row>
    <row r="114" spans="1:5" x14ac:dyDescent="0.3">
      <c r="A114" s="13" t="s">
        <v>272</v>
      </c>
      <c r="B114" s="13"/>
      <c r="C114" s="4">
        <v>286300</v>
      </c>
      <c r="D114" s="4">
        <v>4</v>
      </c>
      <c r="E114" s="4">
        <v>1145200</v>
      </c>
    </row>
    <row r="115" spans="1:5" x14ac:dyDescent="0.3">
      <c r="A115" s="13" t="s">
        <v>273</v>
      </c>
      <c r="B115" s="13"/>
      <c r="C115" s="4">
        <v>285800</v>
      </c>
      <c r="D115" s="4">
        <v>2</v>
      </c>
      <c r="E115" s="4">
        <v>571600</v>
      </c>
    </row>
    <row r="116" spans="1:5" x14ac:dyDescent="0.3">
      <c r="A116" s="13" t="s">
        <v>274</v>
      </c>
      <c r="B116" s="13"/>
      <c r="C116" s="4">
        <v>275500</v>
      </c>
      <c r="D116" s="4">
        <v>2</v>
      </c>
      <c r="E116" s="4">
        <v>551000</v>
      </c>
    </row>
    <row r="117" spans="1:5" x14ac:dyDescent="0.3">
      <c r="A117" s="13" t="s">
        <v>275</v>
      </c>
      <c r="B117" s="13"/>
      <c r="C117" s="4">
        <v>296600</v>
      </c>
      <c r="D117" s="4">
        <v>1</v>
      </c>
      <c r="E117" s="4">
        <v>296600</v>
      </c>
    </row>
    <row r="118" spans="1:5" x14ac:dyDescent="0.3">
      <c r="A118" s="13" t="s">
        <v>276</v>
      </c>
      <c r="B118" s="13"/>
      <c r="C118" s="4">
        <v>275500</v>
      </c>
      <c r="D118" s="4">
        <v>2</v>
      </c>
      <c r="E118" s="4">
        <v>551000</v>
      </c>
    </row>
    <row r="119" spans="1:5" x14ac:dyDescent="0.3">
      <c r="A119" s="13" t="s">
        <v>277</v>
      </c>
      <c r="B119" s="13"/>
      <c r="C119" s="4">
        <v>296600</v>
      </c>
      <c r="D119" s="4">
        <v>1</v>
      </c>
      <c r="E119" s="4">
        <v>296600</v>
      </c>
    </row>
    <row r="120" spans="1:5" x14ac:dyDescent="0.3">
      <c r="A120" s="13" t="s">
        <v>278</v>
      </c>
      <c r="B120" s="13"/>
      <c r="C120" s="4">
        <v>287700</v>
      </c>
      <c r="D120" s="4">
        <v>2</v>
      </c>
      <c r="E120" s="4">
        <v>575400</v>
      </c>
    </row>
    <row r="121" spans="1:5" x14ac:dyDescent="0.3">
      <c r="A121" s="13" t="s">
        <v>279</v>
      </c>
      <c r="B121" s="13"/>
      <c r="C121" s="4">
        <v>298800</v>
      </c>
      <c r="D121" s="4">
        <v>1</v>
      </c>
      <c r="E121" s="4">
        <v>298800</v>
      </c>
    </row>
    <row r="122" spans="1:5" x14ac:dyDescent="0.3">
      <c r="A122" s="13" t="s">
        <v>280</v>
      </c>
      <c r="B122" s="13"/>
      <c r="C122" s="4">
        <v>26650</v>
      </c>
      <c r="D122" s="4">
        <v>1</v>
      </c>
      <c r="E122" s="4">
        <v>26650</v>
      </c>
    </row>
    <row r="123" spans="1:5" x14ac:dyDescent="0.3">
      <c r="A123" s="13" t="s">
        <v>281</v>
      </c>
      <c r="B123" s="13"/>
      <c r="C123" s="4">
        <v>19186</v>
      </c>
      <c r="D123" s="4">
        <v>1</v>
      </c>
      <c r="E123" s="4">
        <v>19186</v>
      </c>
    </row>
    <row r="124" spans="1:5" x14ac:dyDescent="0.3">
      <c r="A124" s="13" t="s">
        <v>282</v>
      </c>
      <c r="B124" s="13"/>
      <c r="C124" s="4">
        <v>292000</v>
      </c>
      <c r="D124" s="4">
        <v>1</v>
      </c>
      <c r="E124" s="4">
        <v>292000</v>
      </c>
    </row>
    <row r="125" spans="1:5" x14ac:dyDescent="0.3">
      <c r="A125" s="13" t="s">
        <v>283</v>
      </c>
      <c r="B125" s="13"/>
      <c r="C125" s="4">
        <v>150800</v>
      </c>
      <c r="D125" s="4">
        <v>1</v>
      </c>
      <c r="E125" s="4">
        <v>150800</v>
      </c>
    </row>
    <row r="126" spans="1:5" x14ac:dyDescent="0.3">
      <c r="A126" s="13" t="s">
        <v>284</v>
      </c>
      <c r="B126" s="13"/>
      <c r="C126" s="4">
        <v>290200</v>
      </c>
      <c r="D126" s="4">
        <v>2</v>
      </c>
      <c r="E126" s="4">
        <v>580400</v>
      </c>
    </row>
    <row r="127" spans="1:5" x14ac:dyDescent="0.3">
      <c r="A127" s="19" t="s">
        <v>285</v>
      </c>
      <c r="B127" s="13"/>
      <c r="C127" s="4">
        <v>282900</v>
      </c>
      <c r="D127" s="4">
        <v>1</v>
      </c>
      <c r="E127" s="4">
        <v>282900</v>
      </c>
    </row>
    <row r="128" spans="1:5" x14ac:dyDescent="0.3">
      <c r="A128" s="19" t="s">
        <v>286</v>
      </c>
      <c r="B128" s="13"/>
      <c r="C128" s="4">
        <v>353356</v>
      </c>
      <c r="D128" s="4">
        <v>1</v>
      </c>
      <c r="E128" s="4">
        <v>353356</v>
      </c>
    </row>
    <row r="129" spans="1:6" x14ac:dyDescent="0.3">
      <c r="A129" s="19" t="s">
        <v>287</v>
      </c>
      <c r="B129" s="13"/>
      <c r="C129" s="4">
        <v>336022</v>
      </c>
      <c r="D129" s="4">
        <v>2</v>
      </c>
      <c r="E129" s="4">
        <v>672044</v>
      </c>
    </row>
    <row r="130" spans="1:6" x14ac:dyDescent="0.3">
      <c r="A130" s="13" t="s">
        <v>207</v>
      </c>
      <c r="B130" s="13"/>
      <c r="C130" s="4"/>
      <c r="D130" s="4">
        <v>5</v>
      </c>
      <c r="E130" s="4">
        <v>465800</v>
      </c>
    </row>
    <row r="131" spans="1:6" x14ac:dyDescent="0.3">
      <c r="A131" s="13" t="s">
        <v>288</v>
      </c>
      <c r="B131" s="13"/>
      <c r="C131" s="4">
        <v>93700</v>
      </c>
      <c r="D131" s="4">
        <v>4</v>
      </c>
      <c r="E131" s="4">
        <v>374800</v>
      </c>
    </row>
    <row r="132" spans="1:6" x14ac:dyDescent="0.3">
      <c r="A132" s="13" t="s">
        <v>289</v>
      </c>
      <c r="B132" s="13"/>
      <c r="C132" s="4">
        <v>91000</v>
      </c>
      <c r="D132" s="4">
        <v>1</v>
      </c>
      <c r="E132" s="4">
        <v>91000</v>
      </c>
    </row>
    <row r="133" spans="1:6" x14ac:dyDescent="0.3">
      <c r="A133" s="13" t="s">
        <v>72</v>
      </c>
      <c r="B133" s="13"/>
      <c r="C133" s="4"/>
      <c r="D133" s="4">
        <v>10</v>
      </c>
      <c r="E133" s="4">
        <v>479979</v>
      </c>
    </row>
    <row r="134" spans="1:6" x14ac:dyDescent="0.3">
      <c r="A134" s="13" t="s">
        <v>207</v>
      </c>
      <c r="B134" s="13"/>
      <c r="C134" s="4"/>
      <c r="D134" s="4"/>
      <c r="E134" s="4"/>
    </row>
    <row r="135" spans="1:6" x14ac:dyDescent="0.3">
      <c r="A135" s="13" t="s">
        <v>179</v>
      </c>
      <c r="B135" s="13"/>
      <c r="C135" s="4"/>
      <c r="D135" s="4">
        <v>10</v>
      </c>
      <c r="E135" s="4">
        <v>479979</v>
      </c>
      <c r="F135" s="6"/>
    </row>
    <row r="136" spans="1:6" x14ac:dyDescent="0.3">
      <c r="A136" s="13" t="s">
        <v>290</v>
      </c>
      <c r="B136" s="13"/>
      <c r="C136" s="4">
        <v>35000</v>
      </c>
      <c r="D136" s="4">
        <v>2</v>
      </c>
      <c r="E136" s="4">
        <v>70000</v>
      </c>
    </row>
    <row r="137" spans="1:6" x14ac:dyDescent="0.3">
      <c r="A137" s="13" t="s">
        <v>291</v>
      </c>
      <c r="B137" s="13"/>
      <c r="C137" s="4">
        <v>35000</v>
      </c>
      <c r="D137" s="4">
        <v>1</v>
      </c>
      <c r="E137" s="4">
        <v>35000</v>
      </c>
    </row>
    <row r="138" spans="1:6" x14ac:dyDescent="0.3">
      <c r="A138" s="13" t="s">
        <v>292</v>
      </c>
      <c r="B138" s="13"/>
      <c r="C138" s="4">
        <v>71893</v>
      </c>
      <c r="D138" s="4">
        <v>1</v>
      </c>
      <c r="E138" s="4">
        <v>71893</v>
      </c>
    </row>
    <row r="139" spans="1:6" x14ac:dyDescent="0.3">
      <c r="A139" s="13" t="s">
        <v>293</v>
      </c>
      <c r="B139" s="13"/>
      <c r="C139" s="4">
        <v>42474</v>
      </c>
      <c r="D139" s="4">
        <v>1</v>
      </c>
      <c r="E139" s="4">
        <v>42474</v>
      </c>
    </row>
    <row r="140" spans="1:6" x14ac:dyDescent="0.3">
      <c r="A140" s="13" t="s">
        <v>294</v>
      </c>
      <c r="B140" s="13"/>
      <c r="C140" s="4">
        <v>71893</v>
      </c>
      <c r="D140" s="4">
        <v>1</v>
      </c>
      <c r="E140" s="4">
        <v>71893</v>
      </c>
    </row>
    <row r="141" spans="1:6" x14ac:dyDescent="0.3">
      <c r="A141" s="13" t="s">
        <v>295</v>
      </c>
      <c r="B141" s="13"/>
      <c r="C141" s="4">
        <v>42474</v>
      </c>
      <c r="D141" s="4">
        <v>1</v>
      </c>
      <c r="E141" s="4">
        <v>42474</v>
      </c>
    </row>
    <row r="142" spans="1:6" x14ac:dyDescent="0.3">
      <c r="A142" s="20" t="s">
        <v>296</v>
      </c>
      <c r="B142" s="13"/>
      <c r="C142" s="4">
        <v>48514</v>
      </c>
      <c r="D142" s="4">
        <v>2</v>
      </c>
      <c r="E142" s="4">
        <v>97028</v>
      </c>
    </row>
    <row r="143" spans="1:6" x14ac:dyDescent="0.3">
      <c r="A143" s="19" t="s">
        <v>297</v>
      </c>
      <c r="B143" s="13"/>
      <c r="C143" s="4">
        <v>49217</v>
      </c>
      <c r="D143" s="4">
        <v>1</v>
      </c>
      <c r="E143" s="4">
        <v>49217</v>
      </c>
    </row>
    <row r="144" spans="1:6" x14ac:dyDescent="0.3">
      <c r="A144" s="13" t="s">
        <v>13</v>
      </c>
      <c r="B144" s="13"/>
      <c r="C144" s="4"/>
      <c r="D144" s="4">
        <v>210</v>
      </c>
      <c r="E144" s="4">
        <v>136550</v>
      </c>
    </row>
    <row r="145" spans="1:5" x14ac:dyDescent="0.3">
      <c r="A145" s="13" t="s">
        <v>178</v>
      </c>
      <c r="B145" s="13"/>
      <c r="C145" s="4"/>
      <c r="D145" s="4">
        <v>1</v>
      </c>
      <c r="E145" s="4">
        <v>40000</v>
      </c>
    </row>
    <row r="146" spans="1:5" x14ac:dyDescent="0.3">
      <c r="A146" s="13" t="s">
        <v>207</v>
      </c>
      <c r="B146" s="13"/>
      <c r="C146" s="4"/>
      <c r="D146" s="4">
        <v>209</v>
      </c>
      <c r="E146" s="4">
        <v>96550</v>
      </c>
    </row>
    <row r="147" spans="1:5" x14ac:dyDescent="0.3">
      <c r="A147" s="13" t="s">
        <v>72</v>
      </c>
      <c r="B147" s="13"/>
      <c r="C147" s="4"/>
      <c r="D147" s="4">
        <v>210</v>
      </c>
      <c r="E147" s="4">
        <v>136550</v>
      </c>
    </row>
    <row r="148" spans="1:5" x14ac:dyDescent="0.3">
      <c r="A148" s="13" t="s">
        <v>178</v>
      </c>
      <c r="B148" s="13"/>
      <c r="C148" s="4"/>
      <c r="D148" s="4">
        <v>1</v>
      </c>
      <c r="E148" s="4">
        <v>40000</v>
      </c>
    </row>
    <row r="149" spans="1:5" x14ac:dyDescent="0.3">
      <c r="A149" s="13" t="s">
        <v>73</v>
      </c>
      <c r="B149" s="13"/>
      <c r="C149" s="4">
        <v>40000</v>
      </c>
      <c r="D149" s="4">
        <v>1</v>
      </c>
      <c r="E149" s="4">
        <v>40000</v>
      </c>
    </row>
    <row r="150" spans="1:5" x14ac:dyDescent="0.3">
      <c r="A150" s="13" t="s">
        <v>207</v>
      </c>
      <c r="B150" s="13"/>
      <c r="C150" s="4"/>
      <c r="D150" s="4">
        <v>209</v>
      </c>
      <c r="E150" s="4">
        <v>96550</v>
      </c>
    </row>
    <row r="151" spans="1:5" x14ac:dyDescent="0.3">
      <c r="A151" s="13" t="s">
        <v>298</v>
      </c>
      <c r="B151" s="13"/>
      <c r="C151" s="4"/>
      <c r="D151" s="4"/>
      <c r="E151" s="4"/>
    </row>
    <row r="152" spans="1:5" x14ac:dyDescent="0.3">
      <c r="A152" s="13" t="s">
        <v>299</v>
      </c>
      <c r="B152" s="13"/>
      <c r="C152" s="4"/>
      <c r="D152" s="4"/>
      <c r="E152" s="4"/>
    </row>
    <row r="153" spans="1:5" x14ac:dyDescent="0.3">
      <c r="A153" s="13" t="s">
        <v>300</v>
      </c>
      <c r="B153" s="13"/>
      <c r="C153" s="4"/>
      <c r="D153" s="4"/>
      <c r="E153" s="4"/>
    </row>
    <row r="154" spans="1:5" x14ac:dyDescent="0.3">
      <c r="A154" s="13" t="s">
        <v>301</v>
      </c>
      <c r="B154" s="13"/>
      <c r="C154" s="4">
        <v>1000</v>
      </c>
      <c r="D154" s="4">
        <v>2</v>
      </c>
      <c r="E154" s="4">
        <v>2000</v>
      </c>
    </row>
    <row r="155" spans="1:5" x14ac:dyDescent="0.3">
      <c r="A155" s="13" t="s">
        <v>302</v>
      </c>
      <c r="B155" s="13"/>
      <c r="C155" s="4">
        <v>1500</v>
      </c>
      <c r="D155" s="4">
        <v>2</v>
      </c>
      <c r="E155" s="4">
        <v>3000</v>
      </c>
    </row>
    <row r="156" spans="1:5" x14ac:dyDescent="0.3">
      <c r="A156" s="13" t="s">
        <v>303</v>
      </c>
      <c r="B156" s="13"/>
      <c r="C156" s="4">
        <v>1500</v>
      </c>
      <c r="D156" s="4">
        <v>1</v>
      </c>
      <c r="E156" s="4">
        <v>1500</v>
      </c>
    </row>
    <row r="157" spans="1:5" x14ac:dyDescent="0.3">
      <c r="A157" s="13" t="s">
        <v>304</v>
      </c>
      <c r="B157" s="13"/>
      <c r="C157" s="4">
        <v>3000</v>
      </c>
      <c r="D157" s="4">
        <v>2</v>
      </c>
      <c r="E157" s="4">
        <v>6000</v>
      </c>
    </row>
    <row r="158" spans="1:5" x14ac:dyDescent="0.3">
      <c r="A158" s="13" t="s">
        <v>305</v>
      </c>
      <c r="B158" s="13"/>
      <c r="C158" s="4">
        <v>3000</v>
      </c>
      <c r="D158" s="4">
        <v>2</v>
      </c>
      <c r="E158" s="4">
        <v>6000</v>
      </c>
    </row>
    <row r="159" spans="1:5" x14ac:dyDescent="0.3">
      <c r="A159" s="13" t="s">
        <v>306</v>
      </c>
      <c r="B159" s="13"/>
      <c r="C159" s="4">
        <v>500</v>
      </c>
      <c r="D159" s="4">
        <v>2</v>
      </c>
      <c r="E159" s="4">
        <v>1000</v>
      </c>
    </row>
    <row r="160" spans="1:5" x14ac:dyDescent="0.3">
      <c r="A160" s="13" t="s">
        <v>307</v>
      </c>
      <c r="B160" s="13"/>
      <c r="C160" s="4">
        <v>800</v>
      </c>
      <c r="D160" s="4">
        <v>2</v>
      </c>
      <c r="E160" s="4">
        <v>1600</v>
      </c>
    </row>
    <row r="161" spans="1:5" x14ac:dyDescent="0.3">
      <c r="A161" s="13" t="s">
        <v>308</v>
      </c>
      <c r="B161" s="13"/>
      <c r="C161" s="4">
        <v>800</v>
      </c>
      <c r="D161" s="4">
        <v>1</v>
      </c>
      <c r="E161" s="4">
        <v>800</v>
      </c>
    </row>
    <row r="162" spans="1:5" x14ac:dyDescent="0.3">
      <c r="A162" s="13" t="s">
        <v>309</v>
      </c>
      <c r="B162" s="13"/>
      <c r="C162" s="4">
        <v>500</v>
      </c>
      <c r="D162" s="4">
        <v>1</v>
      </c>
      <c r="E162" s="4">
        <v>500</v>
      </c>
    </row>
    <row r="163" spans="1:5" x14ac:dyDescent="0.3">
      <c r="A163" s="13" t="s">
        <v>310</v>
      </c>
      <c r="B163" s="13"/>
      <c r="C163" s="4">
        <v>750</v>
      </c>
      <c r="D163" s="4">
        <v>2</v>
      </c>
      <c r="E163" s="4">
        <v>1500</v>
      </c>
    </row>
    <row r="164" spans="1:5" x14ac:dyDescent="0.3">
      <c r="A164" s="13" t="s">
        <v>311</v>
      </c>
      <c r="B164" s="13"/>
      <c r="C164" s="4">
        <v>1000</v>
      </c>
      <c r="D164" s="4">
        <v>2</v>
      </c>
      <c r="E164" s="4">
        <v>2000</v>
      </c>
    </row>
    <row r="165" spans="1:5" x14ac:dyDescent="0.3">
      <c r="A165" s="13" t="s">
        <v>312</v>
      </c>
      <c r="B165" s="13"/>
      <c r="C165" s="4">
        <v>500</v>
      </c>
      <c r="D165" s="4">
        <v>3</v>
      </c>
      <c r="E165" s="4">
        <v>1500</v>
      </c>
    </row>
    <row r="166" spans="1:5" x14ac:dyDescent="0.3">
      <c r="A166" s="13" t="s">
        <v>313</v>
      </c>
      <c r="B166" s="13"/>
      <c r="C166" s="4">
        <v>1000</v>
      </c>
      <c r="D166" s="4">
        <v>2</v>
      </c>
      <c r="E166" s="4">
        <v>2000</v>
      </c>
    </row>
    <row r="167" spans="1:5" x14ac:dyDescent="0.3">
      <c r="A167" s="13" t="s">
        <v>314</v>
      </c>
      <c r="B167" s="13"/>
      <c r="C167" s="4">
        <v>1000</v>
      </c>
      <c r="D167" s="4">
        <v>2</v>
      </c>
      <c r="E167" s="4">
        <v>2000</v>
      </c>
    </row>
    <row r="168" spans="1:5" x14ac:dyDescent="0.3">
      <c r="A168" s="13" t="s">
        <v>315</v>
      </c>
      <c r="B168" s="13"/>
      <c r="C168" s="4">
        <v>1000</v>
      </c>
      <c r="D168" s="4">
        <v>1</v>
      </c>
      <c r="E168" s="4">
        <v>1000</v>
      </c>
    </row>
    <row r="169" spans="1:5" x14ac:dyDescent="0.3">
      <c r="A169" s="13" t="s">
        <v>316</v>
      </c>
      <c r="B169" s="13"/>
      <c r="C169" s="4">
        <v>1000</v>
      </c>
      <c r="D169" s="4">
        <v>1</v>
      </c>
      <c r="E169" s="4">
        <v>1000</v>
      </c>
    </row>
    <row r="170" spans="1:5" x14ac:dyDescent="0.3">
      <c r="A170" s="13" t="s">
        <v>317</v>
      </c>
      <c r="B170" s="13"/>
      <c r="C170" s="4">
        <v>500</v>
      </c>
      <c r="D170" s="4">
        <v>1</v>
      </c>
      <c r="E170" s="4">
        <v>500</v>
      </c>
    </row>
    <row r="171" spans="1:5" x14ac:dyDescent="0.3">
      <c r="A171" s="13" t="s">
        <v>318</v>
      </c>
      <c r="B171" s="13"/>
      <c r="C171" s="4">
        <v>1000</v>
      </c>
      <c r="D171" s="4">
        <v>2</v>
      </c>
      <c r="E171" s="4">
        <v>2000</v>
      </c>
    </row>
    <row r="172" spans="1:5" x14ac:dyDescent="0.3">
      <c r="A172" s="13" t="s">
        <v>319</v>
      </c>
      <c r="B172" s="13"/>
      <c r="C172" s="4">
        <v>300</v>
      </c>
      <c r="D172" s="4">
        <v>3</v>
      </c>
      <c r="E172" s="4">
        <v>900</v>
      </c>
    </row>
    <row r="173" spans="1:5" x14ac:dyDescent="0.3">
      <c r="A173" s="13" t="s">
        <v>320</v>
      </c>
      <c r="B173" s="13"/>
      <c r="C173" s="4">
        <v>500</v>
      </c>
      <c r="D173" s="4">
        <v>1</v>
      </c>
      <c r="E173" s="4">
        <v>500</v>
      </c>
    </row>
    <row r="174" spans="1:5" x14ac:dyDescent="0.3">
      <c r="A174" s="13" t="s">
        <v>321</v>
      </c>
      <c r="B174" s="13"/>
      <c r="C174" s="4">
        <v>500</v>
      </c>
      <c r="D174" s="4">
        <v>1</v>
      </c>
      <c r="E174" s="4">
        <v>500</v>
      </c>
    </row>
    <row r="175" spans="1:5" x14ac:dyDescent="0.3">
      <c r="A175" s="13" t="s">
        <v>322</v>
      </c>
      <c r="B175" s="13"/>
      <c r="C175" s="4">
        <v>500</v>
      </c>
      <c r="D175" s="4">
        <v>2</v>
      </c>
      <c r="E175" s="4">
        <v>1000</v>
      </c>
    </row>
    <row r="176" spans="1:5" x14ac:dyDescent="0.3">
      <c r="A176" s="13" t="s">
        <v>323</v>
      </c>
      <c r="B176" s="13"/>
      <c r="C176" s="4">
        <v>450</v>
      </c>
      <c r="D176" s="4">
        <v>3</v>
      </c>
      <c r="E176" s="4">
        <v>1350</v>
      </c>
    </row>
    <row r="177" spans="1:5" x14ac:dyDescent="0.3">
      <c r="A177" s="13" t="s">
        <v>324</v>
      </c>
      <c r="B177" s="13"/>
      <c r="C177" s="4">
        <v>500</v>
      </c>
      <c r="D177" s="4">
        <v>1</v>
      </c>
      <c r="E177" s="4">
        <v>500</v>
      </c>
    </row>
    <row r="178" spans="1:5" x14ac:dyDescent="0.3">
      <c r="A178" s="13" t="s">
        <v>325</v>
      </c>
      <c r="B178" s="13"/>
      <c r="C178" s="4">
        <v>1000</v>
      </c>
      <c r="D178" s="4">
        <v>1</v>
      </c>
      <c r="E178" s="4">
        <v>1000</v>
      </c>
    </row>
    <row r="179" spans="1:5" x14ac:dyDescent="0.3">
      <c r="A179" s="13" t="s">
        <v>326</v>
      </c>
      <c r="B179" s="13"/>
      <c r="C179" s="4">
        <v>1500</v>
      </c>
      <c r="D179" s="4">
        <v>3</v>
      </c>
      <c r="E179" s="4">
        <v>4500</v>
      </c>
    </row>
    <row r="180" spans="1:5" x14ac:dyDescent="0.3">
      <c r="A180" s="13" t="s">
        <v>327</v>
      </c>
      <c r="B180" s="13"/>
      <c r="C180" s="4">
        <v>1500</v>
      </c>
      <c r="D180" s="4">
        <v>1</v>
      </c>
      <c r="E180" s="4">
        <v>1500</v>
      </c>
    </row>
    <row r="181" spans="1:5" x14ac:dyDescent="0.3">
      <c r="A181" s="13" t="s">
        <v>328</v>
      </c>
      <c r="B181" s="13"/>
      <c r="C181" s="4">
        <v>1500</v>
      </c>
      <c r="D181" s="4">
        <v>2</v>
      </c>
      <c r="E181" s="4">
        <v>3000</v>
      </c>
    </row>
    <row r="182" spans="1:5" x14ac:dyDescent="0.3">
      <c r="A182" s="13" t="s">
        <v>329</v>
      </c>
      <c r="B182" s="13"/>
      <c r="C182" s="4">
        <v>3000</v>
      </c>
      <c r="D182" s="4">
        <v>2</v>
      </c>
      <c r="E182" s="4">
        <v>6000</v>
      </c>
    </row>
    <row r="183" spans="1:5" x14ac:dyDescent="0.3">
      <c r="A183" s="13" t="s">
        <v>330</v>
      </c>
      <c r="B183" s="13"/>
      <c r="C183" s="4">
        <v>450</v>
      </c>
      <c r="D183" s="4">
        <v>1</v>
      </c>
      <c r="E183" s="4">
        <v>450</v>
      </c>
    </row>
    <row r="184" spans="1:5" x14ac:dyDescent="0.3">
      <c r="A184" s="13" t="s">
        <v>331</v>
      </c>
      <c r="B184" s="13"/>
      <c r="C184" s="4">
        <v>500</v>
      </c>
      <c r="D184" s="4">
        <v>1</v>
      </c>
      <c r="E184" s="4">
        <v>500</v>
      </c>
    </row>
    <row r="185" spans="1:5" x14ac:dyDescent="0.3">
      <c r="A185" s="13" t="s">
        <v>332</v>
      </c>
      <c r="B185" s="13"/>
      <c r="C185" s="4">
        <v>1300</v>
      </c>
      <c r="D185" s="4">
        <v>2</v>
      </c>
      <c r="E185" s="4">
        <v>2600</v>
      </c>
    </row>
    <row r="186" spans="1:5" x14ac:dyDescent="0.3">
      <c r="A186" s="13" t="s">
        <v>333</v>
      </c>
      <c r="B186" s="13"/>
      <c r="C186" s="4">
        <v>800</v>
      </c>
      <c r="D186" s="4">
        <v>3</v>
      </c>
      <c r="E186" s="4">
        <v>2400</v>
      </c>
    </row>
    <row r="187" spans="1:5" x14ac:dyDescent="0.3">
      <c r="A187" s="13" t="s">
        <v>334</v>
      </c>
      <c r="B187" s="13"/>
      <c r="C187" s="4">
        <v>1000</v>
      </c>
      <c r="D187" s="4">
        <v>2</v>
      </c>
      <c r="E187" s="4">
        <v>2000</v>
      </c>
    </row>
    <row r="188" spans="1:5" x14ac:dyDescent="0.3">
      <c r="A188" s="13" t="s">
        <v>335</v>
      </c>
      <c r="B188" s="13"/>
      <c r="C188" s="4">
        <v>1900</v>
      </c>
      <c r="D188" s="4">
        <v>3</v>
      </c>
      <c r="E188" s="4">
        <v>5700</v>
      </c>
    </row>
    <row r="189" spans="1:5" x14ac:dyDescent="0.3">
      <c r="A189" s="13" t="s">
        <v>336</v>
      </c>
      <c r="B189" s="13"/>
      <c r="C189" s="4">
        <v>150</v>
      </c>
      <c r="D189" s="4">
        <v>1</v>
      </c>
      <c r="E189" s="4">
        <v>150</v>
      </c>
    </row>
    <row r="190" spans="1:5" x14ac:dyDescent="0.3">
      <c r="A190" s="13" t="s">
        <v>337</v>
      </c>
      <c r="B190" s="13"/>
      <c r="C190" s="4">
        <v>500</v>
      </c>
      <c r="D190" s="4">
        <v>3</v>
      </c>
      <c r="E190" s="4">
        <v>1500</v>
      </c>
    </row>
    <row r="191" spans="1:5" x14ac:dyDescent="0.3">
      <c r="A191" s="13" t="s">
        <v>338</v>
      </c>
      <c r="B191" s="13"/>
      <c r="C191" s="4">
        <v>250</v>
      </c>
      <c r="D191" s="4">
        <v>1</v>
      </c>
      <c r="E191" s="4">
        <v>250</v>
      </c>
    </row>
    <row r="192" spans="1:5" x14ac:dyDescent="0.3">
      <c r="A192" s="13" t="s">
        <v>339</v>
      </c>
      <c r="B192" s="13"/>
      <c r="C192" s="4">
        <v>500</v>
      </c>
      <c r="D192" s="4">
        <v>1</v>
      </c>
      <c r="E192" s="4">
        <v>500</v>
      </c>
    </row>
    <row r="193" spans="1:5" x14ac:dyDescent="0.3">
      <c r="A193" s="13" t="s">
        <v>340</v>
      </c>
      <c r="B193" s="13"/>
      <c r="C193" s="4">
        <v>800</v>
      </c>
      <c r="D193" s="4">
        <v>2</v>
      </c>
      <c r="E193" s="4">
        <v>1600</v>
      </c>
    </row>
    <row r="194" spans="1:5" x14ac:dyDescent="0.3">
      <c r="A194" s="13" t="s">
        <v>341</v>
      </c>
      <c r="B194" s="13"/>
      <c r="C194" s="4">
        <v>80</v>
      </c>
      <c r="D194" s="4">
        <v>3</v>
      </c>
      <c r="E194" s="4">
        <v>240</v>
      </c>
    </row>
    <row r="195" spans="1:5" x14ac:dyDescent="0.3">
      <c r="A195" s="13" t="s">
        <v>342</v>
      </c>
      <c r="B195" s="13"/>
      <c r="C195" s="4">
        <v>80</v>
      </c>
      <c r="D195" s="4">
        <v>3</v>
      </c>
      <c r="E195" s="4">
        <v>240</v>
      </c>
    </row>
    <row r="196" spans="1:5" x14ac:dyDescent="0.3">
      <c r="A196" s="13" t="s">
        <v>343</v>
      </c>
      <c r="B196" s="13"/>
      <c r="C196" s="4">
        <v>150</v>
      </c>
      <c r="D196" s="4">
        <v>1</v>
      </c>
      <c r="E196" s="4">
        <v>150</v>
      </c>
    </row>
    <row r="197" spans="1:5" x14ac:dyDescent="0.3">
      <c r="A197" s="13" t="s">
        <v>344</v>
      </c>
      <c r="B197" s="13"/>
      <c r="C197" s="4">
        <v>80</v>
      </c>
      <c r="D197" s="4">
        <v>3</v>
      </c>
      <c r="E197" s="4">
        <v>240</v>
      </c>
    </row>
    <row r="198" spans="1:5" x14ac:dyDescent="0.3">
      <c r="A198" s="13" t="s">
        <v>345</v>
      </c>
      <c r="B198" s="13"/>
      <c r="C198" s="4">
        <v>150</v>
      </c>
      <c r="D198" s="4">
        <v>3</v>
      </c>
      <c r="E198" s="4">
        <v>450</v>
      </c>
    </row>
    <row r="199" spans="1:5" x14ac:dyDescent="0.3">
      <c r="A199" s="13" t="s">
        <v>346</v>
      </c>
      <c r="B199" s="13"/>
      <c r="C199" s="4">
        <v>150</v>
      </c>
      <c r="D199" s="4">
        <v>2</v>
      </c>
      <c r="E199" s="4">
        <v>300</v>
      </c>
    </row>
    <row r="200" spans="1:5" x14ac:dyDescent="0.3">
      <c r="A200" s="13" t="s">
        <v>347</v>
      </c>
      <c r="B200" s="13"/>
      <c r="C200" s="4">
        <v>150</v>
      </c>
      <c r="D200" s="4">
        <v>1</v>
      </c>
      <c r="E200" s="4">
        <v>150</v>
      </c>
    </row>
    <row r="201" spans="1:5" x14ac:dyDescent="0.3">
      <c r="A201" s="13" t="s">
        <v>348</v>
      </c>
      <c r="B201" s="13"/>
      <c r="C201" s="4">
        <v>200</v>
      </c>
      <c r="D201" s="4">
        <v>2</v>
      </c>
      <c r="E201" s="4">
        <v>400</v>
      </c>
    </row>
    <row r="202" spans="1:5" x14ac:dyDescent="0.3">
      <c r="A202" s="13" t="s">
        <v>349</v>
      </c>
      <c r="B202" s="13"/>
      <c r="C202" s="4">
        <v>200</v>
      </c>
      <c r="D202" s="4">
        <v>1</v>
      </c>
      <c r="E202" s="4">
        <v>200</v>
      </c>
    </row>
    <row r="203" spans="1:5" x14ac:dyDescent="0.3">
      <c r="A203" s="13" t="s">
        <v>350</v>
      </c>
      <c r="B203" s="13"/>
      <c r="C203" s="4">
        <v>150</v>
      </c>
      <c r="D203" s="4">
        <v>1</v>
      </c>
      <c r="E203" s="4">
        <v>150</v>
      </c>
    </row>
    <row r="204" spans="1:5" x14ac:dyDescent="0.3">
      <c r="A204" s="13" t="s">
        <v>351</v>
      </c>
      <c r="B204" s="13"/>
      <c r="C204" s="4">
        <v>300</v>
      </c>
      <c r="D204" s="4">
        <v>2</v>
      </c>
      <c r="E204" s="4">
        <v>600</v>
      </c>
    </row>
    <row r="205" spans="1:5" x14ac:dyDescent="0.3">
      <c r="A205" s="13" t="s">
        <v>352</v>
      </c>
      <c r="B205" s="13"/>
      <c r="C205" s="4">
        <v>500</v>
      </c>
      <c r="D205" s="4">
        <v>1</v>
      </c>
      <c r="E205" s="4">
        <v>500</v>
      </c>
    </row>
    <row r="206" spans="1:5" x14ac:dyDescent="0.3">
      <c r="A206" s="13" t="s">
        <v>353</v>
      </c>
      <c r="B206" s="13"/>
      <c r="C206" s="4">
        <v>250</v>
      </c>
      <c r="D206" s="4">
        <v>2</v>
      </c>
      <c r="E206" s="4">
        <v>500</v>
      </c>
    </row>
    <row r="207" spans="1:5" x14ac:dyDescent="0.3">
      <c r="A207" s="13" t="s">
        <v>354</v>
      </c>
      <c r="B207" s="13"/>
      <c r="C207" s="4">
        <v>500</v>
      </c>
      <c r="D207" s="4">
        <v>2</v>
      </c>
      <c r="E207" s="4">
        <v>1000</v>
      </c>
    </row>
    <row r="208" spans="1:5" x14ac:dyDescent="0.3">
      <c r="A208" s="13" t="s">
        <v>355</v>
      </c>
      <c r="B208" s="13"/>
      <c r="C208" s="4">
        <v>150</v>
      </c>
      <c r="D208" s="4">
        <v>3</v>
      </c>
      <c r="E208" s="4">
        <v>450</v>
      </c>
    </row>
    <row r="209" spans="1:5" x14ac:dyDescent="0.3">
      <c r="A209" s="13" t="s">
        <v>356</v>
      </c>
      <c r="B209" s="13"/>
      <c r="C209" s="4">
        <v>300</v>
      </c>
      <c r="D209" s="4">
        <v>1</v>
      </c>
      <c r="E209" s="4">
        <v>300</v>
      </c>
    </row>
    <row r="210" spans="1:5" x14ac:dyDescent="0.3">
      <c r="A210" s="13" t="s">
        <v>357</v>
      </c>
      <c r="B210" s="13"/>
      <c r="C210" s="4">
        <v>500</v>
      </c>
      <c r="D210" s="4">
        <v>2</v>
      </c>
      <c r="E210" s="4">
        <v>1000</v>
      </c>
    </row>
    <row r="211" spans="1:5" x14ac:dyDescent="0.3">
      <c r="A211" s="13" t="s">
        <v>358</v>
      </c>
      <c r="B211" s="13"/>
      <c r="C211" s="4">
        <v>300</v>
      </c>
      <c r="D211" s="4">
        <v>2</v>
      </c>
      <c r="E211" s="4">
        <v>600</v>
      </c>
    </row>
    <row r="212" spans="1:5" x14ac:dyDescent="0.3">
      <c r="A212" s="13" t="s">
        <v>359</v>
      </c>
      <c r="B212" s="13"/>
      <c r="C212" s="4">
        <v>150</v>
      </c>
      <c r="D212" s="4">
        <v>3</v>
      </c>
      <c r="E212" s="4">
        <v>450</v>
      </c>
    </row>
    <row r="213" spans="1:5" x14ac:dyDescent="0.3">
      <c r="A213" s="13" t="s">
        <v>360</v>
      </c>
      <c r="B213" s="13"/>
      <c r="C213" s="4">
        <v>500</v>
      </c>
      <c r="D213" s="4">
        <v>3</v>
      </c>
      <c r="E213" s="4">
        <v>1500</v>
      </c>
    </row>
    <row r="214" spans="1:5" x14ac:dyDescent="0.3">
      <c r="A214" s="13" t="s">
        <v>361</v>
      </c>
      <c r="B214" s="13"/>
      <c r="C214" s="4">
        <v>150</v>
      </c>
      <c r="D214" s="4">
        <v>3</v>
      </c>
      <c r="E214" s="4">
        <v>450</v>
      </c>
    </row>
    <row r="215" spans="1:5" x14ac:dyDescent="0.3">
      <c r="A215" s="13" t="s">
        <v>362</v>
      </c>
      <c r="B215" s="13"/>
      <c r="C215" s="4">
        <v>80</v>
      </c>
      <c r="D215" s="4">
        <v>3</v>
      </c>
      <c r="E215" s="4">
        <v>240</v>
      </c>
    </row>
    <row r="216" spans="1:5" x14ac:dyDescent="0.3">
      <c r="A216" s="13" t="s">
        <v>363</v>
      </c>
      <c r="B216" s="13"/>
      <c r="C216" s="4">
        <v>500</v>
      </c>
      <c r="D216" s="4">
        <v>1</v>
      </c>
      <c r="E216" s="4">
        <v>500</v>
      </c>
    </row>
    <row r="217" spans="1:5" x14ac:dyDescent="0.3">
      <c r="A217" s="13" t="s">
        <v>364</v>
      </c>
      <c r="B217" s="13"/>
      <c r="C217" s="4">
        <v>500</v>
      </c>
      <c r="D217" s="4">
        <v>2</v>
      </c>
      <c r="E217" s="4">
        <v>1000</v>
      </c>
    </row>
    <row r="218" spans="1:5" x14ac:dyDescent="0.3">
      <c r="A218" s="13" t="s">
        <v>365</v>
      </c>
      <c r="B218" s="13"/>
      <c r="C218" s="4">
        <v>300</v>
      </c>
      <c r="D218" s="4">
        <v>1</v>
      </c>
      <c r="E218" s="4">
        <v>300</v>
      </c>
    </row>
    <row r="219" spans="1:5" x14ac:dyDescent="0.3">
      <c r="A219" s="13" t="s">
        <v>366</v>
      </c>
      <c r="B219" s="13"/>
      <c r="C219" s="4">
        <v>150</v>
      </c>
      <c r="D219" s="4">
        <v>3</v>
      </c>
      <c r="E219" s="4">
        <v>450</v>
      </c>
    </row>
    <row r="220" spans="1:5" x14ac:dyDescent="0.3">
      <c r="A220" s="13" t="s">
        <v>367</v>
      </c>
      <c r="B220" s="13"/>
      <c r="C220" s="4">
        <v>80</v>
      </c>
      <c r="D220" s="4">
        <v>1</v>
      </c>
      <c r="E220" s="4">
        <v>80</v>
      </c>
    </row>
    <row r="221" spans="1:5" x14ac:dyDescent="0.3">
      <c r="A221" s="13" t="s">
        <v>368</v>
      </c>
      <c r="B221" s="13"/>
      <c r="C221" s="4">
        <v>100</v>
      </c>
      <c r="D221" s="4">
        <v>2</v>
      </c>
      <c r="E221" s="4">
        <v>200</v>
      </c>
    </row>
    <row r="222" spans="1:5" x14ac:dyDescent="0.3">
      <c r="A222" s="13" t="s">
        <v>369</v>
      </c>
      <c r="B222" s="13"/>
      <c r="C222" s="4">
        <v>150</v>
      </c>
      <c r="D222" s="4">
        <v>3</v>
      </c>
      <c r="E222" s="4">
        <v>450</v>
      </c>
    </row>
    <row r="223" spans="1:5" x14ac:dyDescent="0.3">
      <c r="A223" s="13" t="s">
        <v>370</v>
      </c>
      <c r="B223" s="13"/>
      <c r="C223" s="4">
        <v>80</v>
      </c>
      <c r="D223" s="4">
        <v>1</v>
      </c>
      <c r="E223" s="4">
        <v>80</v>
      </c>
    </row>
    <row r="224" spans="1:5" x14ac:dyDescent="0.3">
      <c r="A224" s="13" t="s">
        <v>371</v>
      </c>
      <c r="B224" s="13"/>
      <c r="C224" s="4">
        <v>40</v>
      </c>
      <c r="D224" s="4">
        <v>2</v>
      </c>
      <c r="E224" s="4">
        <v>80</v>
      </c>
    </row>
    <row r="225" spans="1:5" x14ac:dyDescent="0.3">
      <c r="A225" s="13" t="s">
        <v>372</v>
      </c>
      <c r="B225" s="13"/>
      <c r="C225" s="4">
        <v>80</v>
      </c>
      <c r="D225" s="4">
        <v>1</v>
      </c>
      <c r="E225" s="4">
        <v>80</v>
      </c>
    </row>
    <row r="226" spans="1:5" x14ac:dyDescent="0.3">
      <c r="A226" s="13" t="s">
        <v>373</v>
      </c>
      <c r="B226" s="13"/>
      <c r="C226" s="4">
        <v>40</v>
      </c>
      <c r="D226" s="4">
        <v>2</v>
      </c>
      <c r="E226" s="4">
        <v>80</v>
      </c>
    </row>
    <row r="227" spans="1:5" x14ac:dyDescent="0.3">
      <c r="A227" s="13" t="s">
        <v>374</v>
      </c>
      <c r="B227" s="13"/>
      <c r="C227" s="4">
        <v>150</v>
      </c>
      <c r="D227" s="4">
        <v>3</v>
      </c>
      <c r="E227" s="4">
        <v>450</v>
      </c>
    </row>
    <row r="228" spans="1:5" x14ac:dyDescent="0.3">
      <c r="A228" s="13" t="s">
        <v>375</v>
      </c>
      <c r="B228" s="13"/>
      <c r="C228" s="4">
        <v>100</v>
      </c>
      <c r="D228" s="4">
        <v>1</v>
      </c>
      <c r="E228" s="4">
        <v>100</v>
      </c>
    </row>
    <row r="229" spans="1:5" x14ac:dyDescent="0.3">
      <c r="A229" s="13" t="s">
        <v>376</v>
      </c>
      <c r="B229" s="13"/>
      <c r="C229" s="4">
        <v>150</v>
      </c>
      <c r="D229" s="4">
        <v>2</v>
      </c>
      <c r="E229" s="4">
        <v>300</v>
      </c>
    </row>
    <row r="230" spans="1:5" x14ac:dyDescent="0.3">
      <c r="A230" s="13" t="s">
        <v>377</v>
      </c>
      <c r="B230" s="13"/>
      <c r="C230" s="4">
        <v>80</v>
      </c>
      <c r="D230" s="4">
        <v>3</v>
      </c>
      <c r="E230" s="4">
        <v>240</v>
      </c>
    </row>
    <row r="231" spans="1:5" x14ac:dyDescent="0.3">
      <c r="A231" s="13" t="s">
        <v>378</v>
      </c>
      <c r="B231" s="13"/>
      <c r="C231" s="4">
        <v>80</v>
      </c>
      <c r="D231" s="4">
        <v>1</v>
      </c>
      <c r="E231" s="4">
        <v>80</v>
      </c>
    </row>
    <row r="232" spans="1:5" x14ac:dyDescent="0.3">
      <c r="A232" s="13" t="s">
        <v>379</v>
      </c>
      <c r="B232" s="13"/>
      <c r="C232" s="4">
        <v>40</v>
      </c>
      <c r="D232" s="4">
        <v>2</v>
      </c>
      <c r="E232" s="4">
        <v>80</v>
      </c>
    </row>
    <row r="233" spans="1:5" x14ac:dyDescent="0.3">
      <c r="A233" s="13" t="s">
        <v>380</v>
      </c>
      <c r="B233" s="13"/>
      <c r="C233" s="4">
        <v>80</v>
      </c>
      <c r="D233" s="4">
        <v>1</v>
      </c>
      <c r="E233" s="4">
        <v>80</v>
      </c>
    </row>
    <row r="234" spans="1:5" x14ac:dyDescent="0.3">
      <c r="A234" s="13" t="s">
        <v>381</v>
      </c>
      <c r="B234" s="13"/>
      <c r="C234" s="4">
        <v>40</v>
      </c>
      <c r="D234" s="4">
        <v>2</v>
      </c>
      <c r="E234" s="4">
        <v>80</v>
      </c>
    </row>
    <row r="235" spans="1:5" x14ac:dyDescent="0.3">
      <c r="A235" s="13" t="s">
        <v>382</v>
      </c>
      <c r="B235" s="13"/>
      <c r="C235" s="4">
        <v>200</v>
      </c>
      <c r="D235" s="4">
        <v>3</v>
      </c>
      <c r="E235" s="4">
        <v>600</v>
      </c>
    </row>
    <row r="236" spans="1:5" x14ac:dyDescent="0.3">
      <c r="A236" s="18" t="s">
        <v>383</v>
      </c>
      <c r="B236" s="18"/>
      <c r="C236" s="7">
        <v>250</v>
      </c>
      <c r="D236" s="7">
        <v>3</v>
      </c>
      <c r="E236" s="7">
        <v>750</v>
      </c>
    </row>
    <row r="237" spans="1:5" x14ac:dyDescent="0.3">
      <c r="A237" s="13" t="s">
        <v>384</v>
      </c>
      <c r="B237" s="13"/>
      <c r="C237" s="4">
        <v>100</v>
      </c>
      <c r="D237" s="4">
        <v>2</v>
      </c>
      <c r="E237" s="4">
        <v>200</v>
      </c>
    </row>
    <row r="238" spans="1:5" x14ac:dyDescent="0.3">
      <c r="A238" s="13" t="s">
        <v>385</v>
      </c>
      <c r="B238" s="13"/>
      <c r="C238" s="4">
        <v>100</v>
      </c>
      <c r="D238" s="4">
        <v>1</v>
      </c>
      <c r="E238" s="4">
        <v>100</v>
      </c>
    </row>
    <row r="239" spans="1:5" x14ac:dyDescent="0.3">
      <c r="A239" s="13" t="s">
        <v>386</v>
      </c>
      <c r="B239" s="13"/>
      <c r="C239" s="4">
        <v>80</v>
      </c>
      <c r="D239" s="4">
        <v>3</v>
      </c>
      <c r="E239" s="4">
        <v>240</v>
      </c>
    </row>
    <row r="240" spans="1:5" x14ac:dyDescent="0.3">
      <c r="A240" s="13" t="s">
        <v>387</v>
      </c>
      <c r="B240" s="13"/>
      <c r="C240" s="4">
        <v>80</v>
      </c>
      <c r="D240" s="4">
        <v>3</v>
      </c>
      <c r="E240" s="4">
        <v>240</v>
      </c>
    </row>
    <row r="241" spans="1:5" x14ac:dyDescent="0.3">
      <c r="A241" s="13" t="s">
        <v>388</v>
      </c>
      <c r="B241" s="13"/>
      <c r="C241" s="4">
        <v>250</v>
      </c>
      <c r="D241" s="4">
        <v>3</v>
      </c>
      <c r="E241" s="4">
        <v>750</v>
      </c>
    </row>
    <row r="242" spans="1:5" x14ac:dyDescent="0.3">
      <c r="A242" s="13" t="s">
        <v>389</v>
      </c>
      <c r="B242" s="13"/>
      <c r="C242" s="4">
        <v>100</v>
      </c>
      <c r="D242" s="4">
        <v>3</v>
      </c>
      <c r="E242" s="4">
        <v>300</v>
      </c>
    </row>
    <row r="243" spans="1:5" x14ac:dyDescent="0.3">
      <c r="A243" s="13" t="s">
        <v>390</v>
      </c>
      <c r="B243" s="13"/>
      <c r="C243" s="4">
        <v>80</v>
      </c>
      <c r="D243" s="4">
        <v>3</v>
      </c>
      <c r="E243" s="4">
        <v>240</v>
      </c>
    </row>
    <row r="244" spans="1:5" x14ac:dyDescent="0.3">
      <c r="A244" s="13" t="s">
        <v>391</v>
      </c>
      <c r="B244" s="13"/>
      <c r="C244" s="4">
        <v>80</v>
      </c>
      <c r="D244" s="4">
        <v>3</v>
      </c>
      <c r="E244" s="4">
        <v>240</v>
      </c>
    </row>
    <row r="245" spans="1:5" x14ac:dyDescent="0.3">
      <c r="A245" s="13" t="s">
        <v>392</v>
      </c>
      <c r="B245" s="13"/>
      <c r="C245" s="4">
        <v>100</v>
      </c>
      <c r="D245" s="4">
        <v>3</v>
      </c>
      <c r="E245" s="4">
        <v>300</v>
      </c>
    </row>
    <row r="246" spans="1:5" x14ac:dyDescent="0.3">
      <c r="A246" s="13" t="s">
        <v>393</v>
      </c>
      <c r="B246" s="13"/>
      <c r="C246" s="4">
        <v>80</v>
      </c>
      <c r="D246" s="4">
        <v>3</v>
      </c>
      <c r="E246" s="4">
        <v>240</v>
      </c>
    </row>
    <row r="247" spans="1:5" x14ac:dyDescent="0.3">
      <c r="A247" s="13" t="s">
        <v>394</v>
      </c>
      <c r="B247" s="13"/>
      <c r="C247" s="4">
        <v>250</v>
      </c>
      <c r="D247" s="4">
        <v>3</v>
      </c>
      <c r="E247" s="4">
        <v>750</v>
      </c>
    </row>
    <row r="248" spans="1:5" x14ac:dyDescent="0.3">
      <c r="A248" s="13" t="s">
        <v>395</v>
      </c>
      <c r="B248" s="13"/>
      <c r="C248" s="4">
        <v>80</v>
      </c>
      <c r="D248" s="4">
        <v>3</v>
      </c>
      <c r="E248" s="4">
        <v>240</v>
      </c>
    </row>
    <row r="249" spans="1:5" x14ac:dyDescent="0.3">
      <c r="A249" s="13" t="s">
        <v>396</v>
      </c>
      <c r="B249" s="13"/>
      <c r="C249" s="4">
        <v>80</v>
      </c>
      <c r="D249" s="4">
        <v>3</v>
      </c>
      <c r="E249" s="4">
        <v>240</v>
      </c>
    </row>
    <row r="250" spans="1:5" x14ac:dyDescent="0.3">
      <c r="A250" s="13" t="s">
        <v>397</v>
      </c>
      <c r="B250" s="13"/>
      <c r="C250" s="4">
        <v>80</v>
      </c>
      <c r="D250" s="4">
        <v>3</v>
      </c>
      <c r="E250" s="4">
        <v>240</v>
      </c>
    </row>
    <row r="251" spans="1:5" x14ac:dyDescent="0.3">
      <c r="A251" s="13" t="s">
        <v>398</v>
      </c>
      <c r="B251" s="13"/>
      <c r="C251" s="4">
        <v>100</v>
      </c>
      <c r="D251" s="4">
        <v>1</v>
      </c>
      <c r="E251" s="4">
        <v>100</v>
      </c>
    </row>
    <row r="252" spans="1:5" x14ac:dyDescent="0.3">
      <c r="A252" s="13" t="s">
        <v>399</v>
      </c>
      <c r="B252" s="13"/>
      <c r="C252" s="4">
        <v>250</v>
      </c>
      <c r="D252" s="4">
        <v>2</v>
      </c>
      <c r="E252" s="4">
        <v>500</v>
      </c>
    </row>
    <row r="253" spans="1:5" x14ac:dyDescent="0.3">
      <c r="A253" s="13" t="s">
        <v>400</v>
      </c>
      <c r="B253" s="13"/>
      <c r="C253" s="4">
        <v>80</v>
      </c>
      <c r="D253" s="4">
        <v>2</v>
      </c>
      <c r="E253" s="4">
        <v>160</v>
      </c>
    </row>
    <row r="254" spans="1:5" x14ac:dyDescent="0.3">
      <c r="A254" s="13" t="s">
        <v>401</v>
      </c>
      <c r="B254" s="13"/>
      <c r="C254" s="4">
        <v>60</v>
      </c>
      <c r="D254" s="4">
        <v>1</v>
      </c>
      <c r="E254" s="4">
        <v>60</v>
      </c>
    </row>
    <row r="255" spans="1:5" x14ac:dyDescent="0.3">
      <c r="A255" s="13" t="s">
        <v>402</v>
      </c>
      <c r="B255" s="13"/>
      <c r="C255" s="4">
        <v>80</v>
      </c>
      <c r="D255" s="4">
        <v>3</v>
      </c>
      <c r="E255" s="4">
        <v>240</v>
      </c>
    </row>
    <row r="256" spans="1:5" x14ac:dyDescent="0.3">
      <c r="A256" s="13" t="s">
        <v>403</v>
      </c>
      <c r="B256" s="13"/>
      <c r="C256" s="4">
        <v>300</v>
      </c>
      <c r="D256" s="4">
        <v>1</v>
      </c>
      <c r="E256" s="4">
        <v>300</v>
      </c>
    </row>
    <row r="257" spans="1:5" x14ac:dyDescent="0.3">
      <c r="A257" s="13" t="s">
        <v>404</v>
      </c>
      <c r="B257" s="13"/>
      <c r="C257" s="4">
        <v>200</v>
      </c>
      <c r="D257" s="4">
        <v>2</v>
      </c>
      <c r="E257" s="4">
        <v>400</v>
      </c>
    </row>
    <row r="258" spans="1:5" x14ac:dyDescent="0.3">
      <c r="A258" s="13" t="s">
        <v>5</v>
      </c>
      <c r="B258" s="13"/>
      <c r="C258" s="4"/>
      <c r="D258" s="4">
        <v>25</v>
      </c>
      <c r="E258" s="4">
        <v>24650000</v>
      </c>
    </row>
    <row r="259" spans="1:5" x14ac:dyDescent="0.3">
      <c r="A259" s="13" t="s">
        <v>175</v>
      </c>
      <c r="B259" s="13"/>
      <c r="C259" s="4"/>
      <c r="D259" s="4">
        <v>25</v>
      </c>
      <c r="E259" s="4">
        <v>24650000</v>
      </c>
    </row>
    <row r="260" spans="1:5" x14ac:dyDescent="0.3">
      <c r="A260" s="13" t="s">
        <v>405</v>
      </c>
      <c r="B260" s="13"/>
      <c r="C260" s="4">
        <v>650000</v>
      </c>
      <c r="D260" s="4">
        <v>1</v>
      </c>
      <c r="E260" s="4">
        <v>650000</v>
      </c>
    </row>
    <row r="261" spans="1:5" x14ac:dyDescent="0.3">
      <c r="A261" s="13" t="s">
        <v>406</v>
      </c>
      <c r="B261" s="13"/>
      <c r="C261" s="4">
        <v>950000</v>
      </c>
      <c r="D261" s="4">
        <v>1</v>
      </c>
      <c r="E261" s="4">
        <v>950000</v>
      </c>
    </row>
    <row r="262" spans="1:5" x14ac:dyDescent="0.3">
      <c r="A262" s="13" t="s">
        <v>407</v>
      </c>
      <c r="B262" s="13"/>
      <c r="C262" s="4">
        <v>950000</v>
      </c>
      <c r="D262" s="4">
        <v>1</v>
      </c>
      <c r="E262" s="4">
        <v>950000</v>
      </c>
    </row>
    <row r="263" spans="1:5" x14ac:dyDescent="0.3">
      <c r="A263" s="13" t="s">
        <v>408</v>
      </c>
      <c r="B263" s="13"/>
      <c r="C263" s="4">
        <v>1000000</v>
      </c>
      <c r="D263" s="4">
        <v>1</v>
      </c>
      <c r="E263" s="4">
        <v>1000000</v>
      </c>
    </row>
    <row r="264" spans="1:5" x14ac:dyDescent="0.3">
      <c r="A264" s="13" t="s">
        <v>409</v>
      </c>
      <c r="B264" s="13"/>
      <c r="C264" s="4">
        <v>1000000</v>
      </c>
      <c r="D264" s="4">
        <v>1</v>
      </c>
      <c r="E264" s="4">
        <v>1000000</v>
      </c>
    </row>
    <row r="265" spans="1:5" x14ac:dyDescent="0.3">
      <c r="A265" s="13" t="s">
        <v>410</v>
      </c>
      <c r="B265" s="13"/>
      <c r="C265" s="4">
        <v>1400000</v>
      </c>
      <c r="D265" s="4">
        <v>1</v>
      </c>
      <c r="E265" s="4">
        <v>1400000</v>
      </c>
    </row>
    <row r="266" spans="1:5" x14ac:dyDescent="0.3">
      <c r="A266" s="13" t="s">
        <v>411</v>
      </c>
      <c r="B266" s="13"/>
      <c r="C266" s="4">
        <v>1400000</v>
      </c>
      <c r="D266" s="4">
        <v>1</v>
      </c>
      <c r="E266" s="4">
        <v>1400000</v>
      </c>
    </row>
    <row r="267" spans="1:5" x14ac:dyDescent="0.3">
      <c r="A267" s="13" t="s">
        <v>412</v>
      </c>
      <c r="B267" s="13"/>
      <c r="C267" s="4">
        <v>700000</v>
      </c>
      <c r="D267" s="4">
        <v>1</v>
      </c>
      <c r="E267" s="4">
        <v>700000</v>
      </c>
    </row>
    <row r="268" spans="1:5" x14ac:dyDescent="0.3">
      <c r="A268" s="13" t="s">
        <v>413</v>
      </c>
      <c r="B268" s="13"/>
      <c r="C268" s="4">
        <v>700000</v>
      </c>
      <c r="D268" s="4">
        <v>1</v>
      </c>
      <c r="E268" s="4">
        <v>700000</v>
      </c>
    </row>
    <row r="269" spans="1:5" x14ac:dyDescent="0.3">
      <c r="A269" s="13" t="s">
        <v>414</v>
      </c>
      <c r="B269" s="13"/>
      <c r="C269" s="4">
        <v>700000</v>
      </c>
      <c r="D269" s="4">
        <v>1</v>
      </c>
      <c r="E269" s="4">
        <v>700000</v>
      </c>
    </row>
    <row r="270" spans="1:5" x14ac:dyDescent="0.3">
      <c r="A270" s="13" t="s">
        <v>415</v>
      </c>
      <c r="B270" s="13"/>
      <c r="C270" s="4">
        <v>1000000</v>
      </c>
      <c r="D270" s="4">
        <v>1</v>
      </c>
      <c r="E270" s="4">
        <v>1000000</v>
      </c>
    </row>
    <row r="271" spans="1:5" x14ac:dyDescent="0.3">
      <c r="A271" s="13" t="s">
        <v>416</v>
      </c>
      <c r="B271" s="13"/>
      <c r="C271" s="4">
        <v>1000000</v>
      </c>
      <c r="D271" s="4">
        <v>1</v>
      </c>
      <c r="E271" s="4">
        <v>1000000</v>
      </c>
    </row>
    <row r="272" spans="1:5" x14ac:dyDescent="0.3">
      <c r="A272" s="13" t="s">
        <v>417</v>
      </c>
      <c r="B272" s="13"/>
      <c r="C272" s="4">
        <v>950000</v>
      </c>
      <c r="D272" s="4">
        <v>1</v>
      </c>
      <c r="E272" s="4">
        <v>950000</v>
      </c>
    </row>
    <row r="273" spans="1:5" x14ac:dyDescent="0.3">
      <c r="A273" s="13" t="s">
        <v>418</v>
      </c>
      <c r="B273" s="13"/>
      <c r="C273" s="4">
        <v>950000</v>
      </c>
      <c r="D273" s="4">
        <v>1</v>
      </c>
      <c r="E273" s="4">
        <v>950000</v>
      </c>
    </row>
    <row r="274" spans="1:5" x14ac:dyDescent="0.3">
      <c r="A274" s="13" t="s">
        <v>419</v>
      </c>
      <c r="B274" s="13"/>
      <c r="C274" s="4">
        <v>1000000</v>
      </c>
      <c r="D274" s="4">
        <v>1</v>
      </c>
      <c r="E274" s="4">
        <v>1000000</v>
      </c>
    </row>
    <row r="275" spans="1:5" x14ac:dyDescent="0.3">
      <c r="A275" s="13" t="s">
        <v>420</v>
      </c>
      <c r="B275" s="13"/>
      <c r="C275" s="4">
        <v>1000000</v>
      </c>
      <c r="D275" s="4">
        <v>1</v>
      </c>
      <c r="E275" s="4">
        <v>1000000</v>
      </c>
    </row>
    <row r="276" spans="1:5" x14ac:dyDescent="0.3">
      <c r="A276" s="13" t="s">
        <v>421</v>
      </c>
      <c r="B276" s="13"/>
      <c r="C276" s="4">
        <v>1000000</v>
      </c>
      <c r="D276" s="4">
        <v>1</v>
      </c>
      <c r="E276" s="4">
        <v>1000000</v>
      </c>
    </row>
    <row r="277" spans="1:5" x14ac:dyDescent="0.3">
      <c r="A277" s="13" t="s">
        <v>422</v>
      </c>
      <c r="B277" s="13"/>
      <c r="C277" s="4">
        <v>1000000</v>
      </c>
      <c r="D277" s="4">
        <v>1</v>
      </c>
      <c r="E277" s="4">
        <v>1000000</v>
      </c>
    </row>
    <row r="278" spans="1:5" x14ac:dyDescent="0.3">
      <c r="A278" s="13" t="s">
        <v>423</v>
      </c>
      <c r="B278" s="13"/>
      <c r="C278" s="4">
        <v>950000</v>
      </c>
      <c r="D278" s="4">
        <v>1</v>
      </c>
      <c r="E278" s="4">
        <v>950000</v>
      </c>
    </row>
    <row r="279" spans="1:5" x14ac:dyDescent="0.3">
      <c r="A279" s="13" t="s">
        <v>424</v>
      </c>
      <c r="B279" s="13"/>
      <c r="C279" s="4">
        <v>950000</v>
      </c>
      <c r="D279" s="4">
        <v>1</v>
      </c>
      <c r="E279" s="4">
        <v>950000</v>
      </c>
    </row>
    <row r="280" spans="1:5" x14ac:dyDescent="0.3">
      <c r="A280" s="13" t="s">
        <v>425</v>
      </c>
      <c r="B280" s="13"/>
      <c r="C280" s="4">
        <v>1000000</v>
      </c>
      <c r="D280" s="4">
        <v>1</v>
      </c>
      <c r="E280" s="4">
        <v>1000000</v>
      </c>
    </row>
    <row r="281" spans="1:5" x14ac:dyDescent="0.3">
      <c r="A281" s="13" t="s">
        <v>426</v>
      </c>
      <c r="B281" s="13"/>
      <c r="C281" s="4">
        <v>1000000</v>
      </c>
      <c r="D281" s="4">
        <v>1</v>
      </c>
      <c r="E281" s="4">
        <v>1000000</v>
      </c>
    </row>
    <row r="282" spans="1:5" x14ac:dyDescent="0.3">
      <c r="A282" s="13" t="s">
        <v>427</v>
      </c>
      <c r="B282" s="13"/>
      <c r="C282" s="4">
        <v>1000000</v>
      </c>
      <c r="D282" s="4">
        <v>1</v>
      </c>
      <c r="E282" s="4">
        <v>1000000</v>
      </c>
    </row>
    <row r="283" spans="1:5" x14ac:dyDescent="0.3">
      <c r="A283" s="13" t="s">
        <v>428</v>
      </c>
      <c r="B283" s="13"/>
      <c r="C283" s="4">
        <v>1000000</v>
      </c>
      <c r="D283" s="4">
        <v>1</v>
      </c>
      <c r="E283" s="4">
        <v>1000000</v>
      </c>
    </row>
    <row r="284" spans="1:5" x14ac:dyDescent="0.3">
      <c r="A284" s="13" t="s">
        <v>429</v>
      </c>
      <c r="B284" s="13"/>
      <c r="C284" s="4">
        <v>1400000</v>
      </c>
      <c r="D284" s="4">
        <v>1</v>
      </c>
      <c r="E284" s="4">
        <v>1400000</v>
      </c>
    </row>
    <row r="285" spans="1:5" x14ac:dyDescent="0.3">
      <c r="A285" s="13" t="s">
        <v>17</v>
      </c>
      <c r="B285" s="13"/>
      <c r="C285" s="4"/>
      <c r="D285" s="4">
        <v>16</v>
      </c>
      <c r="E285" s="4">
        <v>4700000</v>
      </c>
    </row>
    <row r="286" spans="1:5" x14ac:dyDescent="0.3">
      <c r="A286" s="13" t="s">
        <v>175</v>
      </c>
      <c r="B286" s="13"/>
      <c r="C286" s="4"/>
      <c r="D286" s="4">
        <v>16</v>
      </c>
      <c r="E286" s="4">
        <v>4700000</v>
      </c>
    </row>
    <row r="287" spans="1:5" x14ac:dyDescent="0.3">
      <c r="A287" s="13" t="s">
        <v>430</v>
      </c>
      <c r="B287" s="13"/>
      <c r="C287" s="4">
        <v>200000</v>
      </c>
      <c r="D287" s="4">
        <v>2</v>
      </c>
      <c r="E287" s="4">
        <v>400000</v>
      </c>
    </row>
    <row r="288" spans="1:5" x14ac:dyDescent="0.3">
      <c r="A288" s="13" t="s">
        <v>431</v>
      </c>
      <c r="B288" s="13"/>
      <c r="C288" s="4">
        <v>300000</v>
      </c>
      <c r="D288" s="4">
        <v>2</v>
      </c>
      <c r="E288" s="4">
        <v>600000</v>
      </c>
    </row>
    <row r="289" spans="1:5" x14ac:dyDescent="0.3">
      <c r="A289" s="13" t="s">
        <v>432</v>
      </c>
      <c r="B289" s="13"/>
      <c r="C289" s="4">
        <v>300000</v>
      </c>
      <c r="D289" s="4">
        <v>2</v>
      </c>
      <c r="E289" s="4">
        <v>600000</v>
      </c>
    </row>
    <row r="290" spans="1:5" x14ac:dyDescent="0.3">
      <c r="A290" s="13" t="s">
        <v>433</v>
      </c>
      <c r="B290" s="13"/>
      <c r="C290" s="4">
        <v>350000</v>
      </c>
      <c r="D290" s="4">
        <v>2</v>
      </c>
      <c r="E290" s="4">
        <v>700000</v>
      </c>
    </row>
    <row r="291" spans="1:5" x14ac:dyDescent="0.3">
      <c r="A291" s="13" t="s">
        <v>434</v>
      </c>
      <c r="B291" s="13"/>
      <c r="C291" s="4">
        <v>250000</v>
      </c>
      <c r="D291" s="4">
        <v>4</v>
      </c>
      <c r="E291" s="4">
        <v>1000000</v>
      </c>
    </row>
    <row r="292" spans="1:5" x14ac:dyDescent="0.3">
      <c r="A292" s="13" t="s">
        <v>435</v>
      </c>
      <c r="B292" s="13"/>
      <c r="C292" s="4">
        <v>300000</v>
      </c>
      <c r="D292" s="4">
        <v>2</v>
      </c>
      <c r="E292" s="4">
        <v>600000</v>
      </c>
    </row>
    <row r="293" spans="1:5" x14ac:dyDescent="0.3">
      <c r="A293" s="13" t="s">
        <v>436</v>
      </c>
      <c r="B293" s="13"/>
      <c r="C293" s="4">
        <v>400000</v>
      </c>
      <c r="D293" s="4">
        <v>2</v>
      </c>
      <c r="E293" s="4">
        <v>800000</v>
      </c>
    </row>
  </sheetData>
  <mergeCells count="295">
    <mergeCell ref="A1:A2"/>
    <mergeCell ref="C1:E1"/>
    <mergeCell ref="C2:C3"/>
    <mergeCell ref="D2:D3"/>
    <mergeCell ref="E2:E3"/>
    <mergeCell ref="A4:B4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71:B71"/>
    <mergeCell ref="A72:B72"/>
    <mergeCell ref="A73:B73"/>
    <mergeCell ref="A74:B74"/>
    <mergeCell ref="A75:B75"/>
    <mergeCell ref="A76:B76"/>
    <mergeCell ref="A65:B65"/>
    <mergeCell ref="A66:B66"/>
    <mergeCell ref="A67:B67"/>
    <mergeCell ref="A68:B68"/>
    <mergeCell ref="A69:B69"/>
    <mergeCell ref="A70:B70"/>
    <mergeCell ref="A83:B83"/>
    <mergeCell ref="A84:B84"/>
    <mergeCell ref="A85:B85"/>
    <mergeCell ref="A86:B86"/>
    <mergeCell ref="A87:B87"/>
    <mergeCell ref="A88:B88"/>
    <mergeCell ref="A77:B77"/>
    <mergeCell ref="A78:B78"/>
    <mergeCell ref="A79:B79"/>
    <mergeCell ref="A80:B80"/>
    <mergeCell ref="A81:B81"/>
    <mergeCell ref="A82:B82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  <mergeCell ref="A105:B105"/>
    <mergeCell ref="A106:B106"/>
    <mergeCell ref="A119:B119"/>
    <mergeCell ref="A120:B120"/>
    <mergeCell ref="A121:B121"/>
    <mergeCell ref="A122:B122"/>
    <mergeCell ref="A123:B123"/>
    <mergeCell ref="A124:B124"/>
    <mergeCell ref="A113:B113"/>
    <mergeCell ref="A114:B114"/>
    <mergeCell ref="A115:B115"/>
    <mergeCell ref="A116:B116"/>
    <mergeCell ref="A117:B117"/>
    <mergeCell ref="A118:B118"/>
    <mergeCell ref="A131:B131"/>
    <mergeCell ref="A132:B132"/>
    <mergeCell ref="A133:B133"/>
    <mergeCell ref="A134:B134"/>
    <mergeCell ref="A135:B135"/>
    <mergeCell ref="A136:B136"/>
    <mergeCell ref="A125:B125"/>
    <mergeCell ref="A126:B126"/>
    <mergeCell ref="A127:B127"/>
    <mergeCell ref="A128:B128"/>
    <mergeCell ref="A129:B129"/>
    <mergeCell ref="A130:B130"/>
    <mergeCell ref="A143:B143"/>
    <mergeCell ref="A144:B144"/>
    <mergeCell ref="A145:B145"/>
    <mergeCell ref="A146:B146"/>
    <mergeCell ref="A147:B147"/>
    <mergeCell ref="A148:B148"/>
    <mergeCell ref="A137:B137"/>
    <mergeCell ref="A138:B138"/>
    <mergeCell ref="A139:B139"/>
    <mergeCell ref="A140:B140"/>
    <mergeCell ref="A141:B141"/>
    <mergeCell ref="A142:B142"/>
    <mergeCell ref="A155:B155"/>
    <mergeCell ref="A156:B156"/>
    <mergeCell ref="A157:B157"/>
    <mergeCell ref="A158:B158"/>
    <mergeCell ref="A159:B159"/>
    <mergeCell ref="A160:B160"/>
    <mergeCell ref="A149:B149"/>
    <mergeCell ref="A150:B150"/>
    <mergeCell ref="A151:B151"/>
    <mergeCell ref="A152:B152"/>
    <mergeCell ref="A153:B153"/>
    <mergeCell ref="A154:B154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79:B179"/>
    <mergeCell ref="A180:B180"/>
    <mergeCell ref="A181:B181"/>
    <mergeCell ref="A182:B182"/>
    <mergeCell ref="A183:B183"/>
    <mergeCell ref="A184:B184"/>
    <mergeCell ref="A173:B173"/>
    <mergeCell ref="A174:B174"/>
    <mergeCell ref="A175:B175"/>
    <mergeCell ref="A176:B176"/>
    <mergeCell ref="A177:B177"/>
    <mergeCell ref="A178:B178"/>
    <mergeCell ref="A191:B191"/>
    <mergeCell ref="A192:B192"/>
    <mergeCell ref="A193:B193"/>
    <mergeCell ref="A194:B194"/>
    <mergeCell ref="A195:B195"/>
    <mergeCell ref="A196:B196"/>
    <mergeCell ref="A185:B185"/>
    <mergeCell ref="A186:B186"/>
    <mergeCell ref="A187:B187"/>
    <mergeCell ref="A188:B188"/>
    <mergeCell ref="A189:B189"/>
    <mergeCell ref="A190:B190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15:B215"/>
    <mergeCell ref="A216:B216"/>
    <mergeCell ref="A217:B217"/>
    <mergeCell ref="A218:B218"/>
    <mergeCell ref="A219:B219"/>
    <mergeCell ref="A220:B220"/>
    <mergeCell ref="A209:B209"/>
    <mergeCell ref="A210:B210"/>
    <mergeCell ref="A211:B211"/>
    <mergeCell ref="A212:B212"/>
    <mergeCell ref="A213:B213"/>
    <mergeCell ref="A214:B214"/>
    <mergeCell ref="A227:B227"/>
    <mergeCell ref="A228:B228"/>
    <mergeCell ref="A229:B229"/>
    <mergeCell ref="A230:B230"/>
    <mergeCell ref="A231:B231"/>
    <mergeCell ref="A232:B232"/>
    <mergeCell ref="A221:B221"/>
    <mergeCell ref="A222:B222"/>
    <mergeCell ref="A223:B223"/>
    <mergeCell ref="A224:B224"/>
    <mergeCell ref="A225:B225"/>
    <mergeCell ref="A226:B226"/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51:B251"/>
    <mergeCell ref="A252:B252"/>
    <mergeCell ref="A253:B253"/>
    <mergeCell ref="A254:B254"/>
    <mergeCell ref="A255:B255"/>
    <mergeCell ref="A256:B256"/>
    <mergeCell ref="A245:B245"/>
    <mergeCell ref="A246:B246"/>
    <mergeCell ref="A247:B247"/>
    <mergeCell ref="A248:B248"/>
    <mergeCell ref="A249:B249"/>
    <mergeCell ref="A250:B250"/>
    <mergeCell ref="A263:B263"/>
    <mergeCell ref="A264:B264"/>
    <mergeCell ref="A265:B265"/>
    <mergeCell ref="A266:B266"/>
    <mergeCell ref="A267:B267"/>
    <mergeCell ref="A268:B268"/>
    <mergeCell ref="A257:B257"/>
    <mergeCell ref="A258:B258"/>
    <mergeCell ref="A259:B259"/>
    <mergeCell ref="A260:B260"/>
    <mergeCell ref="A261:B261"/>
    <mergeCell ref="A262:B262"/>
    <mergeCell ref="A275:B275"/>
    <mergeCell ref="A276:B276"/>
    <mergeCell ref="A277:B277"/>
    <mergeCell ref="A278:B278"/>
    <mergeCell ref="A279:B279"/>
    <mergeCell ref="A280:B280"/>
    <mergeCell ref="A269:B269"/>
    <mergeCell ref="A270:B270"/>
    <mergeCell ref="A271:B271"/>
    <mergeCell ref="A272:B272"/>
    <mergeCell ref="A273:B273"/>
    <mergeCell ref="A274:B274"/>
    <mergeCell ref="A293:B293"/>
    <mergeCell ref="A287:B287"/>
    <mergeCell ref="A288:B288"/>
    <mergeCell ref="A289:B289"/>
    <mergeCell ref="A290:B290"/>
    <mergeCell ref="A291:B291"/>
    <mergeCell ref="A292:B292"/>
    <mergeCell ref="A281:B281"/>
    <mergeCell ref="A282:B282"/>
    <mergeCell ref="A283:B283"/>
    <mergeCell ref="A284:B284"/>
    <mergeCell ref="A285:B285"/>
    <mergeCell ref="A286:B286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5C426-9E87-48D8-BDFD-8B4DF6D96245}">
  <dimension ref="A1:T27"/>
  <sheetViews>
    <sheetView zoomScale="85" zoomScaleNormal="85" workbookViewId="0">
      <selection activeCell="V34" sqref="U34:V34"/>
    </sheetView>
  </sheetViews>
  <sheetFormatPr defaultRowHeight="16.5" x14ac:dyDescent="0.3"/>
  <cols>
    <col min="1" max="2" width="9" style="2"/>
    <col min="3" max="3" width="11.625" style="2" bestFit="1" customWidth="1"/>
    <col min="4" max="4" width="10.625" style="2" bestFit="1" customWidth="1"/>
    <col min="5" max="7" width="11.625" style="2" bestFit="1" customWidth="1"/>
    <col min="8" max="9" width="10.625" style="2" bestFit="1" customWidth="1"/>
    <col min="10" max="10" width="11.625" style="2" bestFit="1" customWidth="1"/>
    <col min="11" max="13" width="10.625" style="2" bestFit="1" customWidth="1"/>
    <col min="14" max="14" width="11.625" style="2" bestFit="1" customWidth="1"/>
    <col min="15" max="15" width="10.625" style="2" bestFit="1" customWidth="1"/>
    <col min="16" max="16" width="9.625" style="2" bestFit="1" customWidth="1"/>
    <col min="17" max="19" width="11.625" style="2" bestFit="1" customWidth="1"/>
    <col min="20" max="20" width="10.625" style="2" bestFit="1" customWidth="1"/>
    <col min="21" max="16384" width="9" style="2"/>
  </cols>
  <sheetData>
    <row r="1" spans="1:20" x14ac:dyDescent="0.3">
      <c r="A1" s="15" t="s">
        <v>0</v>
      </c>
      <c r="B1" s="1" t="s">
        <v>1</v>
      </c>
      <c r="C1" s="14">
        <v>2023</v>
      </c>
      <c r="D1" s="14" t="s">
        <v>2</v>
      </c>
      <c r="E1" s="14" t="s">
        <v>2</v>
      </c>
      <c r="F1" s="14" t="s">
        <v>2</v>
      </c>
      <c r="G1" s="14" t="s">
        <v>2</v>
      </c>
      <c r="H1" s="14" t="s">
        <v>2</v>
      </c>
      <c r="I1" s="14" t="s">
        <v>2</v>
      </c>
      <c r="J1" s="14" t="s">
        <v>2</v>
      </c>
      <c r="K1" s="14" t="s">
        <v>2</v>
      </c>
      <c r="L1" s="14" t="s">
        <v>2</v>
      </c>
      <c r="M1" s="14" t="s">
        <v>2</v>
      </c>
      <c r="N1" s="14" t="s">
        <v>2</v>
      </c>
      <c r="O1" s="14" t="s">
        <v>2</v>
      </c>
      <c r="P1" s="14" t="s">
        <v>2</v>
      </c>
      <c r="Q1" s="14" t="s">
        <v>2</v>
      </c>
      <c r="R1" s="14" t="s">
        <v>2</v>
      </c>
      <c r="S1" s="14" t="s">
        <v>2</v>
      </c>
      <c r="T1" s="14" t="s">
        <v>2</v>
      </c>
    </row>
    <row r="2" spans="1:20" x14ac:dyDescent="0.3">
      <c r="A2" s="15" t="s">
        <v>0</v>
      </c>
      <c r="B2" s="1" t="s">
        <v>754</v>
      </c>
      <c r="C2" s="14" t="s">
        <v>4</v>
      </c>
      <c r="D2" s="14" t="s">
        <v>47</v>
      </c>
      <c r="E2" s="14" t="s">
        <v>755</v>
      </c>
      <c r="F2" s="14" t="s">
        <v>48</v>
      </c>
      <c r="G2" s="14" t="s">
        <v>756</v>
      </c>
      <c r="H2" s="14" t="s">
        <v>757</v>
      </c>
      <c r="I2" s="14" t="s">
        <v>758</v>
      </c>
      <c r="J2" s="14" t="s">
        <v>759</v>
      </c>
      <c r="K2" s="14" t="s">
        <v>760</v>
      </c>
      <c r="L2" s="14" t="s">
        <v>761</v>
      </c>
      <c r="M2" s="14" t="s">
        <v>762</v>
      </c>
      <c r="N2" s="14" t="s">
        <v>763</v>
      </c>
      <c r="O2" s="14" t="s">
        <v>764</v>
      </c>
      <c r="P2" s="14" t="s">
        <v>765</v>
      </c>
      <c r="Q2" s="14" t="s">
        <v>50</v>
      </c>
      <c r="R2" s="14" t="s">
        <v>766</v>
      </c>
      <c r="S2" s="14" t="s">
        <v>767</v>
      </c>
      <c r="T2" s="14" t="s">
        <v>768</v>
      </c>
    </row>
    <row r="3" spans="1:20" x14ac:dyDescent="0.3">
      <c r="A3" s="3" t="s">
        <v>769</v>
      </c>
      <c r="B3" s="3" t="s">
        <v>0</v>
      </c>
      <c r="C3" s="14" t="s">
        <v>4</v>
      </c>
      <c r="D3" s="14" t="s">
        <v>47</v>
      </c>
      <c r="E3" s="14" t="s">
        <v>755</v>
      </c>
      <c r="F3" s="14" t="s">
        <v>48</v>
      </c>
      <c r="G3" s="14" t="s">
        <v>756</v>
      </c>
      <c r="H3" s="14" t="s">
        <v>757</v>
      </c>
      <c r="I3" s="14" t="s">
        <v>758</v>
      </c>
      <c r="J3" s="14" t="s">
        <v>759</v>
      </c>
      <c r="K3" s="14" t="s">
        <v>760</v>
      </c>
      <c r="L3" s="14" t="s">
        <v>761</v>
      </c>
      <c r="M3" s="14" t="s">
        <v>762</v>
      </c>
      <c r="N3" s="14" t="s">
        <v>763</v>
      </c>
      <c r="O3" s="14" t="s">
        <v>764</v>
      </c>
      <c r="P3" s="14" t="s">
        <v>765</v>
      </c>
      <c r="Q3" s="14" t="s">
        <v>50</v>
      </c>
      <c r="R3" s="14" t="s">
        <v>766</v>
      </c>
      <c r="S3" s="14" t="s">
        <v>767</v>
      </c>
      <c r="T3" s="14" t="s">
        <v>768</v>
      </c>
    </row>
    <row r="4" spans="1:20" x14ac:dyDescent="0.3">
      <c r="A4" s="13" t="s">
        <v>4</v>
      </c>
      <c r="B4" s="13"/>
      <c r="C4" s="4">
        <v>144420.90800650357</v>
      </c>
      <c r="D4" s="4">
        <v>966.44549500000005</v>
      </c>
      <c r="E4" s="4">
        <v>22073.017724999991</v>
      </c>
      <c r="F4" s="4">
        <v>14210.456644999995</v>
      </c>
      <c r="G4" s="4">
        <v>11295.794048000324</v>
      </c>
      <c r="H4" s="4">
        <v>194.79878999999997</v>
      </c>
      <c r="I4" s="4">
        <v>1929.102513999959</v>
      </c>
      <c r="J4" s="4">
        <v>26922.409871000742</v>
      </c>
      <c r="K4" s="4">
        <v>616.08285000000001</v>
      </c>
      <c r="L4" s="4">
        <v>419.57771099999877</v>
      </c>
      <c r="M4" s="4">
        <v>6696.0345600014462</v>
      </c>
      <c r="N4" s="4">
        <v>15363.388110000758</v>
      </c>
      <c r="O4" s="4">
        <v>6702.4300599999997</v>
      </c>
      <c r="P4" s="4">
        <v>829.99526999999659</v>
      </c>
      <c r="Q4" s="4">
        <v>5476.4423249999991</v>
      </c>
      <c r="R4" s="4">
        <v>17278.605457500431</v>
      </c>
      <c r="S4" s="4">
        <v>11525.339849999962</v>
      </c>
      <c r="T4" s="4">
        <v>1920.9867249999868</v>
      </c>
    </row>
    <row r="5" spans="1:20" x14ac:dyDescent="0.3">
      <c r="A5" s="13" t="s">
        <v>770</v>
      </c>
      <c r="B5" s="13"/>
      <c r="C5" s="10">
        <v>1</v>
      </c>
      <c r="D5" s="10">
        <v>6.6918669072242578E-3</v>
      </c>
      <c r="E5" s="10">
        <v>0.15283810377376936</v>
      </c>
      <c r="F5" s="10">
        <v>9.8396117578488485E-2</v>
      </c>
      <c r="G5" s="10">
        <v>7.8214395712646059E-2</v>
      </c>
      <c r="H5" s="10">
        <v>1.34882679169437E-3</v>
      </c>
      <c r="I5" s="10">
        <v>1.335750162928686E-2</v>
      </c>
      <c r="J5" s="10">
        <v>0.18641629001382798</v>
      </c>
      <c r="K5" s="10">
        <v>4.2658840641845051E-3</v>
      </c>
      <c r="L5" s="10">
        <v>2.9052421618973919E-3</v>
      </c>
      <c r="M5" s="10">
        <v>4.6364717217398398E-2</v>
      </c>
      <c r="N5" s="10">
        <v>0.1063792516060688</v>
      </c>
      <c r="O5" s="10">
        <v>4.6409000971647234E-2</v>
      </c>
      <c r="P5" s="10">
        <v>5.7470575518235919E-3</v>
      </c>
      <c r="Q5" s="10">
        <v>3.7920010340562214E-2</v>
      </c>
      <c r="R5" s="10">
        <v>0.11964060949348373</v>
      </c>
      <c r="S5" s="10">
        <v>7.9803817944981717E-2</v>
      </c>
      <c r="T5" s="10">
        <v>1.3301306241015193E-2</v>
      </c>
    </row>
    <row r="6" spans="1:20" x14ac:dyDescent="0.3">
      <c r="A6" s="13" t="s">
        <v>5</v>
      </c>
      <c r="B6" s="13"/>
      <c r="C6" s="4">
        <v>24650</v>
      </c>
      <c r="D6" s="4"/>
      <c r="E6" s="4"/>
      <c r="F6" s="4"/>
      <c r="G6" s="4"/>
      <c r="H6" s="4"/>
      <c r="I6" s="4"/>
      <c r="J6" s="4"/>
      <c r="K6" s="4"/>
      <c r="L6" s="4"/>
      <c r="M6" s="4"/>
      <c r="N6" s="4">
        <v>5900</v>
      </c>
      <c r="O6" s="4">
        <v>4550</v>
      </c>
      <c r="P6" s="4"/>
      <c r="Q6" s="4">
        <v>2800</v>
      </c>
      <c r="R6" s="4">
        <v>11400</v>
      </c>
      <c r="S6" s="4"/>
      <c r="T6" s="4"/>
    </row>
    <row r="7" spans="1:20" x14ac:dyDescent="0.3">
      <c r="A7" s="13" t="s">
        <v>6</v>
      </c>
      <c r="B7" s="13"/>
      <c r="C7" s="4">
        <v>39308.657999999996</v>
      </c>
      <c r="D7" s="4"/>
      <c r="E7" s="4">
        <v>1400</v>
      </c>
      <c r="F7" s="4">
        <v>5080</v>
      </c>
      <c r="G7" s="4">
        <v>5714</v>
      </c>
      <c r="H7" s="4"/>
      <c r="I7" s="4"/>
      <c r="J7" s="4">
        <v>18246.058000000001</v>
      </c>
      <c r="K7" s="4"/>
      <c r="L7" s="4"/>
      <c r="M7" s="4"/>
      <c r="N7" s="4">
        <v>668.6</v>
      </c>
      <c r="O7" s="4"/>
      <c r="P7" s="4"/>
      <c r="Q7" s="4"/>
      <c r="R7" s="4"/>
      <c r="S7" s="4">
        <v>8200</v>
      </c>
      <c r="T7" s="4"/>
    </row>
    <row r="8" spans="1:20" x14ac:dyDescent="0.3">
      <c r="A8" s="13" t="s">
        <v>176</v>
      </c>
      <c r="B8" s="13"/>
      <c r="C8" s="4">
        <v>37508.657999999996</v>
      </c>
      <c r="D8" s="4"/>
      <c r="E8" s="4"/>
      <c r="F8" s="4">
        <v>5080</v>
      </c>
      <c r="G8" s="4">
        <v>5314</v>
      </c>
      <c r="H8" s="4"/>
      <c r="I8" s="4"/>
      <c r="J8" s="4">
        <v>18246.058000000001</v>
      </c>
      <c r="K8" s="4"/>
      <c r="L8" s="4"/>
      <c r="M8" s="4"/>
      <c r="N8" s="4">
        <v>668.6</v>
      </c>
      <c r="O8" s="4"/>
      <c r="P8" s="4"/>
      <c r="Q8" s="4"/>
      <c r="R8" s="4"/>
      <c r="S8" s="4">
        <v>8200</v>
      </c>
      <c r="T8" s="4"/>
    </row>
    <row r="9" spans="1:20" x14ac:dyDescent="0.3">
      <c r="A9" s="13" t="s">
        <v>177</v>
      </c>
      <c r="B9" s="13"/>
      <c r="C9" s="4">
        <v>400</v>
      </c>
      <c r="D9" s="4"/>
      <c r="E9" s="4"/>
      <c r="F9" s="4"/>
      <c r="G9" s="4">
        <v>400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 x14ac:dyDescent="0.3">
      <c r="A10" s="13" t="s">
        <v>178</v>
      </c>
      <c r="B10" s="1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 x14ac:dyDescent="0.3">
      <c r="A11" s="13" t="s">
        <v>179</v>
      </c>
      <c r="B11" s="13"/>
      <c r="C11" s="4">
        <v>1400</v>
      </c>
      <c r="D11" s="4"/>
      <c r="E11" s="4">
        <v>1400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 x14ac:dyDescent="0.3">
      <c r="A12" s="13" t="s">
        <v>11</v>
      </c>
      <c r="B12" s="13"/>
      <c r="C12" s="4">
        <v>34038.252</v>
      </c>
      <c r="D12" s="4">
        <v>738.346</v>
      </c>
      <c r="E12" s="4">
        <v>11836.493999999999</v>
      </c>
      <c r="F12" s="4">
        <v>8238.4469999999983</v>
      </c>
      <c r="G12" s="4">
        <v>848</v>
      </c>
      <c r="H12" s="4"/>
      <c r="I12" s="4"/>
      <c r="J12" s="4">
        <v>4077.55</v>
      </c>
      <c r="K12" s="4"/>
      <c r="L12" s="4"/>
      <c r="M12" s="4">
        <v>718.40000000000009</v>
      </c>
      <c r="N12" s="4">
        <v>2378.9</v>
      </c>
      <c r="O12" s="4">
        <v>1845.836</v>
      </c>
      <c r="P12" s="4"/>
      <c r="Q12" s="4">
        <v>2514.6999999999998</v>
      </c>
      <c r="R12" s="4">
        <v>361.6</v>
      </c>
      <c r="S12" s="4"/>
      <c r="T12" s="4">
        <v>479.97899999999998</v>
      </c>
    </row>
    <row r="13" spans="1:20" x14ac:dyDescent="0.3">
      <c r="A13" s="13" t="s">
        <v>13</v>
      </c>
      <c r="B13" s="13"/>
      <c r="C13" s="4">
        <v>136.54999999999998</v>
      </c>
      <c r="D13" s="4"/>
      <c r="E13" s="4">
        <v>0.44999999999999996</v>
      </c>
      <c r="F13" s="4">
        <v>36.22999999999999</v>
      </c>
      <c r="G13" s="4"/>
      <c r="H13" s="4"/>
      <c r="I13" s="4"/>
      <c r="J13" s="4">
        <v>3.81</v>
      </c>
      <c r="K13" s="4"/>
      <c r="L13" s="4"/>
      <c r="M13" s="4">
        <v>7.3400000000000016</v>
      </c>
      <c r="N13" s="4">
        <v>22.439999999999991</v>
      </c>
      <c r="O13" s="4"/>
      <c r="P13" s="4"/>
      <c r="Q13" s="4"/>
      <c r="R13" s="4">
        <v>18.5</v>
      </c>
      <c r="S13" s="4">
        <v>0.89</v>
      </c>
      <c r="T13" s="4">
        <v>46.89</v>
      </c>
    </row>
    <row r="14" spans="1:20" x14ac:dyDescent="0.3">
      <c r="A14" s="13" t="s">
        <v>178</v>
      </c>
      <c r="B14" s="13"/>
      <c r="C14" s="4">
        <v>40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>
        <v>40</v>
      </c>
    </row>
    <row r="15" spans="1:20" x14ac:dyDescent="0.3">
      <c r="A15" s="13" t="s">
        <v>207</v>
      </c>
      <c r="B15" s="13"/>
      <c r="C15" s="4">
        <v>96.549999999999983</v>
      </c>
      <c r="D15" s="4"/>
      <c r="E15" s="4">
        <v>0.44999999999999996</v>
      </c>
      <c r="F15" s="4">
        <v>36.22999999999999</v>
      </c>
      <c r="G15" s="4"/>
      <c r="H15" s="4"/>
      <c r="I15" s="4"/>
      <c r="J15" s="4">
        <v>3.81</v>
      </c>
      <c r="K15" s="4"/>
      <c r="L15" s="4"/>
      <c r="M15" s="4">
        <v>7.3400000000000016</v>
      </c>
      <c r="N15" s="4">
        <v>22.439999999999991</v>
      </c>
      <c r="O15" s="4"/>
      <c r="P15" s="4"/>
      <c r="Q15" s="4"/>
      <c r="R15" s="4">
        <v>18.5</v>
      </c>
      <c r="S15" s="4">
        <v>0.89</v>
      </c>
      <c r="T15" s="4">
        <v>6.8900000000000015</v>
      </c>
    </row>
    <row r="16" spans="1:20" x14ac:dyDescent="0.3">
      <c r="A16" s="13" t="s">
        <v>14</v>
      </c>
      <c r="B16" s="13"/>
      <c r="C16" s="4">
        <v>9821.0059999999994</v>
      </c>
      <c r="D16" s="4">
        <v>64</v>
      </c>
      <c r="E16" s="4">
        <v>6043.4779999999982</v>
      </c>
      <c r="F16" s="4">
        <v>338.3</v>
      </c>
      <c r="G16" s="4">
        <v>431.20000000000005</v>
      </c>
      <c r="H16" s="4">
        <v>136.30000000000001</v>
      </c>
      <c r="I16" s="4"/>
      <c r="J16" s="4">
        <v>596.69999999999993</v>
      </c>
      <c r="K16" s="4">
        <v>530.44100000000003</v>
      </c>
      <c r="L16" s="4">
        <v>115.24600000000001</v>
      </c>
      <c r="M16" s="4">
        <v>445.36900000000003</v>
      </c>
      <c r="N16" s="4">
        <v>312.5</v>
      </c>
      <c r="O16" s="4">
        <v>19</v>
      </c>
      <c r="P16" s="4">
        <v>487.1</v>
      </c>
      <c r="Q16" s="4"/>
      <c r="R16" s="4">
        <v>156.1</v>
      </c>
      <c r="S16" s="4">
        <v>145.27200000000002</v>
      </c>
      <c r="T16" s="4"/>
    </row>
    <row r="17" spans="1:20" x14ac:dyDescent="0.3">
      <c r="A17" s="13" t="s">
        <v>176</v>
      </c>
      <c r="B17" s="13"/>
      <c r="C17" s="4">
        <v>1259.2240000000002</v>
      </c>
      <c r="D17" s="4"/>
      <c r="E17" s="4">
        <v>253.35500000000002</v>
      </c>
      <c r="F17" s="4"/>
      <c r="G17" s="4"/>
      <c r="H17" s="4"/>
      <c r="I17" s="4"/>
      <c r="J17" s="4"/>
      <c r="K17" s="4"/>
      <c r="L17" s="4"/>
      <c r="M17" s="4">
        <v>445.36900000000003</v>
      </c>
      <c r="N17" s="4">
        <v>312.5</v>
      </c>
      <c r="O17" s="4">
        <v>19</v>
      </c>
      <c r="P17" s="4">
        <v>72.900000000000006</v>
      </c>
      <c r="Q17" s="4"/>
      <c r="R17" s="4">
        <v>156.1</v>
      </c>
      <c r="S17" s="4"/>
      <c r="T17" s="4"/>
    </row>
    <row r="18" spans="1:20" x14ac:dyDescent="0.3">
      <c r="A18" s="13" t="s">
        <v>455</v>
      </c>
      <c r="B18" s="13"/>
      <c r="C18" s="4">
        <v>108.7</v>
      </c>
      <c r="D18" s="4"/>
      <c r="E18" s="4">
        <v>38.9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>
        <v>43.5</v>
      </c>
      <c r="Q18" s="4"/>
      <c r="R18" s="4"/>
      <c r="S18" s="4">
        <v>26.3</v>
      </c>
      <c r="T18" s="4"/>
    </row>
    <row r="19" spans="1:20" x14ac:dyDescent="0.3">
      <c r="A19" s="13" t="s">
        <v>179</v>
      </c>
      <c r="B19" s="13"/>
      <c r="C19" s="4">
        <v>8365.0819999999985</v>
      </c>
      <c r="D19" s="4">
        <v>64</v>
      </c>
      <c r="E19" s="4">
        <v>5751.2229999999981</v>
      </c>
      <c r="F19" s="4">
        <v>338.3</v>
      </c>
      <c r="G19" s="4">
        <v>431.20000000000005</v>
      </c>
      <c r="H19" s="4">
        <v>48.3</v>
      </c>
      <c r="I19" s="4"/>
      <c r="J19" s="4">
        <v>596.69999999999993</v>
      </c>
      <c r="K19" s="4">
        <v>530.44100000000003</v>
      </c>
      <c r="L19" s="4">
        <v>115.24600000000001</v>
      </c>
      <c r="M19" s="4"/>
      <c r="N19" s="4"/>
      <c r="O19" s="4"/>
      <c r="P19" s="4">
        <v>370.70000000000005</v>
      </c>
      <c r="Q19" s="4"/>
      <c r="R19" s="4"/>
      <c r="S19" s="4">
        <v>118.97200000000001</v>
      </c>
      <c r="T19" s="4"/>
    </row>
    <row r="20" spans="1:20" x14ac:dyDescent="0.3">
      <c r="A20" s="13" t="s">
        <v>771</v>
      </c>
      <c r="B20" s="13"/>
      <c r="C20" s="4">
        <v>738.346</v>
      </c>
      <c r="D20" s="4">
        <v>11836.493999999999</v>
      </c>
      <c r="E20" s="4">
        <v>8238.4469999999983</v>
      </c>
      <c r="F20" s="4">
        <v>848</v>
      </c>
      <c r="G20" s="4"/>
      <c r="H20" s="4"/>
      <c r="I20" s="4">
        <v>3611.75</v>
      </c>
      <c r="J20" s="4"/>
      <c r="K20" s="4"/>
      <c r="L20" s="4">
        <v>718.40000000000009</v>
      </c>
      <c r="M20" s="4">
        <v>2378.9</v>
      </c>
      <c r="N20" s="4">
        <v>1845.836</v>
      </c>
      <c r="O20" s="4"/>
      <c r="P20" s="4">
        <v>2514.6999999999998</v>
      </c>
      <c r="Q20" s="4">
        <v>361.6</v>
      </c>
      <c r="R20" s="4"/>
      <c r="S20" s="4">
        <v>479.97899999999998</v>
      </c>
      <c r="T20" s="4"/>
    </row>
    <row r="21" spans="1:20" x14ac:dyDescent="0.3">
      <c r="A21" s="13" t="s">
        <v>22</v>
      </c>
      <c r="B21" s="13"/>
      <c r="C21" s="4">
        <v>88</v>
      </c>
      <c r="D21" s="4"/>
      <c r="E21" s="4"/>
      <c r="F21" s="4"/>
      <c r="G21" s="4"/>
      <c r="H21" s="4">
        <v>88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0" x14ac:dyDescent="0.3">
      <c r="A22" s="13" t="s">
        <v>17</v>
      </c>
      <c r="B22" s="13"/>
      <c r="C22" s="4">
        <v>4700</v>
      </c>
      <c r="D22" s="4"/>
      <c r="E22" s="4">
        <v>400</v>
      </c>
      <c r="F22" s="4"/>
      <c r="G22" s="4">
        <v>1000</v>
      </c>
      <c r="H22" s="4"/>
      <c r="I22" s="4"/>
      <c r="J22" s="4"/>
      <c r="K22" s="4"/>
      <c r="L22" s="4"/>
      <c r="M22" s="4">
        <v>600</v>
      </c>
      <c r="N22" s="4"/>
      <c r="O22" s="4"/>
      <c r="P22" s="4"/>
      <c r="Q22" s="4"/>
      <c r="R22" s="4">
        <v>1400</v>
      </c>
      <c r="S22" s="4">
        <v>1300</v>
      </c>
      <c r="T22" s="4"/>
    </row>
    <row r="23" spans="1:20" x14ac:dyDescent="0.3">
      <c r="A23" s="13" t="s">
        <v>18</v>
      </c>
      <c r="B23" s="13"/>
      <c r="C23" s="4">
        <v>31395.507006503292</v>
      </c>
      <c r="D23" s="4">
        <v>136.149495</v>
      </c>
      <c r="E23" s="4">
        <v>2332.9407249999076</v>
      </c>
      <c r="F23" s="4">
        <v>486.6996449999973</v>
      </c>
      <c r="G23" s="4">
        <v>3283.6240480002089</v>
      </c>
      <c r="H23" s="4">
        <v>58.498789999999957</v>
      </c>
      <c r="I23" s="4">
        <v>1877.8055140000306</v>
      </c>
      <c r="J23" s="4">
        <v>3988.9018710007335</v>
      </c>
      <c r="K23" s="4">
        <v>82.391849999999991</v>
      </c>
      <c r="L23" s="4">
        <v>299.97171099999878</v>
      </c>
      <c r="M23" s="4">
        <v>4910.2305600013715</v>
      </c>
      <c r="N23" s="4">
        <v>6058.0781100007671</v>
      </c>
      <c r="O23" s="4">
        <v>253.69405999999961</v>
      </c>
      <c r="P23" s="4">
        <v>332.99526999999654</v>
      </c>
      <c r="Q23" s="4">
        <v>139.84232499999996</v>
      </c>
      <c r="R23" s="4">
        <v>3903.4704575003061</v>
      </c>
      <c r="S23" s="4">
        <v>1875.294849999985</v>
      </c>
      <c r="T23" s="4">
        <v>1374.9177249999866</v>
      </c>
    </row>
    <row r="24" spans="1:20" x14ac:dyDescent="0.3">
      <c r="A24" s="13" t="s">
        <v>483</v>
      </c>
      <c r="B24" s="13"/>
      <c r="C24" s="4">
        <v>1586.98</v>
      </c>
      <c r="D24" s="4"/>
      <c r="E24" s="4">
        <v>260.10000000000002</v>
      </c>
      <c r="F24" s="4"/>
      <c r="G24" s="4">
        <v>505.28</v>
      </c>
      <c r="H24" s="4"/>
      <c r="I24" s="4">
        <v>502</v>
      </c>
      <c r="J24" s="4"/>
      <c r="K24" s="4"/>
      <c r="L24" s="4"/>
      <c r="M24" s="4">
        <v>57.1</v>
      </c>
      <c r="N24" s="4">
        <v>22.5</v>
      </c>
      <c r="O24" s="4"/>
      <c r="P24" s="4"/>
      <c r="Q24" s="4"/>
      <c r="R24" s="4">
        <v>140</v>
      </c>
      <c r="S24" s="4">
        <v>100</v>
      </c>
      <c r="T24" s="4"/>
    </row>
    <row r="25" spans="1:20" x14ac:dyDescent="0.3">
      <c r="A25" s="13" t="s">
        <v>501</v>
      </c>
      <c r="B25" s="13"/>
      <c r="C25" s="4">
        <v>230.0164</v>
      </c>
      <c r="D25" s="4">
        <v>0.3</v>
      </c>
      <c r="E25" s="4">
        <v>15.809000000000001</v>
      </c>
      <c r="F25" s="4">
        <v>12.599</v>
      </c>
      <c r="G25" s="4">
        <v>19.815000000000001</v>
      </c>
      <c r="H25" s="4"/>
      <c r="I25" s="4">
        <v>17.004000000000001</v>
      </c>
      <c r="J25" s="4">
        <v>32.296999999999997</v>
      </c>
      <c r="K25" s="4">
        <v>2.31</v>
      </c>
      <c r="L25" s="4">
        <v>1.83</v>
      </c>
      <c r="M25" s="4">
        <v>21.287000000000003</v>
      </c>
      <c r="N25" s="4">
        <v>16.245000000000001</v>
      </c>
      <c r="O25" s="4">
        <v>0.02</v>
      </c>
      <c r="P25" s="4">
        <v>4.0600000000000005</v>
      </c>
      <c r="Q25" s="4">
        <v>0.3</v>
      </c>
      <c r="R25" s="4">
        <v>39.454999999999998</v>
      </c>
      <c r="S25" s="4">
        <v>45.468999999999994</v>
      </c>
      <c r="T25" s="4">
        <v>1.2164000000000001</v>
      </c>
    </row>
    <row r="26" spans="1:20" x14ac:dyDescent="0.3">
      <c r="A26" s="13" t="s">
        <v>772</v>
      </c>
      <c r="B26" s="13"/>
      <c r="C26" s="4">
        <v>29578.510606503292</v>
      </c>
      <c r="D26" s="4">
        <v>135.84949499999999</v>
      </c>
      <c r="E26" s="4">
        <v>2057.0317249999075</v>
      </c>
      <c r="F26" s="4">
        <v>474.10064499999731</v>
      </c>
      <c r="G26" s="4">
        <v>2758.5290480002086</v>
      </c>
      <c r="H26" s="4">
        <v>58.498789999999957</v>
      </c>
      <c r="I26" s="4">
        <v>1358.8015140000307</v>
      </c>
      <c r="J26" s="4">
        <v>3956.6048710007335</v>
      </c>
      <c r="K26" s="4">
        <v>80.081849999999989</v>
      </c>
      <c r="L26" s="4">
        <v>298.14171099999879</v>
      </c>
      <c r="M26" s="4">
        <v>4831.8435600013718</v>
      </c>
      <c r="N26" s="4">
        <v>6019.3331100007672</v>
      </c>
      <c r="O26" s="4">
        <v>253.6740599999996</v>
      </c>
      <c r="P26" s="4">
        <v>328.93526999999654</v>
      </c>
      <c r="Q26" s="4">
        <v>139.54232499999995</v>
      </c>
      <c r="R26" s="4">
        <v>3724.0154575003062</v>
      </c>
      <c r="S26" s="4">
        <v>1729.8258499999849</v>
      </c>
      <c r="T26" s="4">
        <v>1373.7013249999866</v>
      </c>
    </row>
    <row r="27" spans="1:20" x14ac:dyDescent="0.3">
      <c r="A27" s="13" t="s">
        <v>22</v>
      </c>
      <c r="B27" s="13"/>
      <c r="C27" s="4">
        <v>370.93499999999989</v>
      </c>
      <c r="D27" s="4">
        <v>27.950000000000003</v>
      </c>
      <c r="E27" s="4">
        <v>59.654999999999994</v>
      </c>
      <c r="F27" s="4">
        <v>30.78</v>
      </c>
      <c r="G27" s="4">
        <v>18.97</v>
      </c>
      <c r="H27" s="4"/>
      <c r="I27" s="4">
        <v>51.296999999999997</v>
      </c>
      <c r="J27" s="4">
        <v>9.39</v>
      </c>
      <c r="K27" s="4">
        <v>3.25</v>
      </c>
      <c r="L27" s="4">
        <v>4.3600000000000003</v>
      </c>
      <c r="M27" s="4">
        <v>14.695</v>
      </c>
      <c r="N27" s="4">
        <v>22.869999999999997</v>
      </c>
      <c r="O27" s="4">
        <v>33.9</v>
      </c>
      <c r="P27" s="4">
        <v>9.9</v>
      </c>
      <c r="Q27" s="4">
        <v>21.9</v>
      </c>
      <c r="R27" s="4">
        <v>38.935000000000002</v>
      </c>
      <c r="S27" s="4">
        <v>3.883</v>
      </c>
      <c r="T27" s="4">
        <v>19.2</v>
      </c>
    </row>
  </sheetData>
  <mergeCells count="44">
    <mergeCell ref="A5:B5"/>
    <mergeCell ref="K2:K3"/>
    <mergeCell ref="L2:L3"/>
    <mergeCell ref="M2:M3"/>
    <mergeCell ref="N2:N3"/>
    <mergeCell ref="A1:A2"/>
    <mergeCell ref="C1:T1"/>
    <mergeCell ref="C2:C3"/>
    <mergeCell ref="D2:D3"/>
    <mergeCell ref="E2:E3"/>
    <mergeCell ref="F2:F3"/>
    <mergeCell ref="G2:G3"/>
    <mergeCell ref="H2:H3"/>
    <mergeCell ref="I2:I3"/>
    <mergeCell ref="J2:J3"/>
    <mergeCell ref="Q2:Q3"/>
    <mergeCell ref="R2:R3"/>
    <mergeCell ref="S2:S3"/>
    <mergeCell ref="T2:T3"/>
    <mergeCell ref="A4:B4"/>
    <mergeCell ref="O2:O3"/>
    <mergeCell ref="P2:P3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46F08-7FD3-4CE5-9A5E-8789BECC837A}">
  <dimension ref="A1:D16"/>
  <sheetViews>
    <sheetView workbookViewId="0">
      <selection activeCell="C51" sqref="C51"/>
    </sheetView>
  </sheetViews>
  <sheetFormatPr defaultRowHeight="16.5" x14ac:dyDescent="0.3"/>
  <cols>
    <col min="1" max="2" width="9" style="2"/>
    <col min="3" max="3" width="16.25" style="2" customWidth="1"/>
    <col min="4" max="4" width="19.125" style="2" customWidth="1"/>
    <col min="5" max="16384" width="9" style="2"/>
  </cols>
  <sheetData>
    <row r="1" spans="1:4" x14ac:dyDescent="0.3">
      <c r="A1" s="15" t="s">
        <v>0</v>
      </c>
      <c r="B1" s="1" t="s">
        <v>1</v>
      </c>
      <c r="C1" s="14">
        <v>2023</v>
      </c>
      <c r="D1" s="14" t="s">
        <v>2</v>
      </c>
    </row>
    <row r="2" spans="1:4" x14ac:dyDescent="0.3">
      <c r="A2" s="15" t="s">
        <v>0</v>
      </c>
      <c r="B2" s="1" t="s">
        <v>169</v>
      </c>
      <c r="C2" s="14" t="s">
        <v>472</v>
      </c>
      <c r="D2" s="14" t="s">
        <v>473</v>
      </c>
    </row>
    <row r="3" spans="1:4" x14ac:dyDescent="0.3">
      <c r="A3" s="3" t="s">
        <v>3</v>
      </c>
      <c r="B3" s="3" t="s">
        <v>0</v>
      </c>
      <c r="C3" s="14" t="s">
        <v>472</v>
      </c>
      <c r="D3" s="14" t="s">
        <v>473</v>
      </c>
    </row>
    <row r="4" spans="1:4" x14ac:dyDescent="0.3">
      <c r="A4" s="13" t="s">
        <v>4</v>
      </c>
      <c r="B4" s="13"/>
      <c r="C4" s="4">
        <f>SUM(C5,C6,C11,C12,C13,C14,C15,C16)</f>
        <v>144420.9080064561</v>
      </c>
      <c r="D4" s="4">
        <v>132372</v>
      </c>
    </row>
    <row r="5" spans="1:4" x14ac:dyDescent="0.3">
      <c r="A5" s="13" t="s">
        <v>5</v>
      </c>
      <c r="B5" s="13"/>
      <c r="C5" s="4">
        <v>24650</v>
      </c>
      <c r="D5" s="4">
        <v>25</v>
      </c>
    </row>
    <row r="6" spans="1:4" x14ac:dyDescent="0.3">
      <c r="A6" s="13" t="s">
        <v>6</v>
      </c>
      <c r="B6" s="13"/>
      <c r="C6" s="4">
        <v>39308.657999999996</v>
      </c>
      <c r="D6" s="4">
        <v>63</v>
      </c>
    </row>
    <row r="7" spans="1:4" x14ac:dyDescent="0.3">
      <c r="A7" s="13" t="s">
        <v>177</v>
      </c>
      <c r="B7" s="13"/>
      <c r="C7" s="4">
        <v>400</v>
      </c>
      <c r="D7" s="4">
        <v>2</v>
      </c>
    </row>
    <row r="8" spans="1:4" x14ac:dyDescent="0.3">
      <c r="A8" s="13" t="s">
        <v>176</v>
      </c>
      <c r="B8" s="13"/>
      <c r="C8" s="4">
        <v>37508.657999999996</v>
      </c>
      <c r="D8" s="4">
        <v>57</v>
      </c>
    </row>
    <row r="9" spans="1:4" x14ac:dyDescent="0.3">
      <c r="A9" s="13" t="s">
        <v>178</v>
      </c>
      <c r="B9" s="13"/>
      <c r="C9" s="4"/>
      <c r="D9" s="4"/>
    </row>
    <row r="10" spans="1:4" x14ac:dyDescent="0.3">
      <c r="A10" s="13" t="s">
        <v>179</v>
      </c>
      <c r="B10" s="13"/>
      <c r="C10" s="4">
        <v>1400</v>
      </c>
      <c r="D10" s="4">
        <v>4</v>
      </c>
    </row>
    <row r="11" spans="1:4" x14ac:dyDescent="0.3">
      <c r="A11" s="13" t="s">
        <v>11</v>
      </c>
      <c r="B11" s="13"/>
      <c r="C11" s="4">
        <v>34038.252000000008</v>
      </c>
      <c r="D11" s="4">
        <v>200</v>
      </c>
    </row>
    <row r="12" spans="1:4" x14ac:dyDescent="0.3">
      <c r="A12" s="13" t="s">
        <v>13</v>
      </c>
      <c r="B12" s="13"/>
      <c r="C12" s="4">
        <v>136.55000000000007</v>
      </c>
      <c r="D12" s="4">
        <v>210</v>
      </c>
    </row>
    <row r="13" spans="1:4" x14ac:dyDescent="0.3">
      <c r="A13" s="13" t="s">
        <v>14</v>
      </c>
      <c r="B13" s="13"/>
      <c r="C13" s="4">
        <v>9821.0059999999939</v>
      </c>
      <c r="D13" s="4">
        <v>83</v>
      </c>
    </row>
    <row r="14" spans="1:4" x14ac:dyDescent="0.3">
      <c r="A14" s="13" t="s">
        <v>17</v>
      </c>
      <c r="B14" s="13"/>
      <c r="C14" s="4">
        <v>4700</v>
      </c>
      <c r="D14" s="4">
        <v>16</v>
      </c>
    </row>
    <row r="15" spans="1:4" x14ac:dyDescent="0.3">
      <c r="A15" s="13" t="s">
        <v>18</v>
      </c>
      <c r="B15" s="13"/>
      <c r="C15" s="4">
        <v>31395.507006456097</v>
      </c>
      <c r="D15" s="4">
        <v>131709</v>
      </c>
    </row>
    <row r="16" spans="1:4" x14ac:dyDescent="0.3">
      <c r="A16" s="13" t="s">
        <v>22</v>
      </c>
      <c r="B16" s="13"/>
      <c r="C16" s="4">
        <v>370.93499999999995</v>
      </c>
      <c r="D16" s="4">
        <v>66</v>
      </c>
    </row>
  </sheetData>
  <mergeCells count="17">
    <mergeCell ref="A11:B11"/>
    <mergeCell ref="A1:A2"/>
    <mergeCell ref="C1:D1"/>
    <mergeCell ref="C2:C3"/>
    <mergeCell ref="D2:D3"/>
    <mergeCell ref="A4:B4"/>
    <mergeCell ref="A5:B5"/>
    <mergeCell ref="A6:B6"/>
    <mergeCell ref="A7:B7"/>
    <mergeCell ref="A8:B8"/>
    <mergeCell ref="A9:B9"/>
    <mergeCell ref="A10:B10"/>
    <mergeCell ref="A12:B12"/>
    <mergeCell ref="A13:B13"/>
    <mergeCell ref="A14:B14"/>
    <mergeCell ref="A15:B15"/>
    <mergeCell ref="A16:B16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80A47-698F-497B-A44E-AEE3B9AB8080}">
  <dimension ref="A1:C11"/>
  <sheetViews>
    <sheetView workbookViewId="0">
      <selection activeCell="E7" sqref="E7"/>
    </sheetView>
  </sheetViews>
  <sheetFormatPr defaultRowHeight="16.5" x14ac:dyDescent="0.3"/>
  <cols>
    <col min="1" max="16384" width="9" style="2"/>
  </cols>
  <sheetData>
    <row r="1" spans="1:3" x14ac:dyDescent="0.3">
      <c r="A1" s="5" t="s">
        <v>0</v>
      </c>
      <c r="B1" s="1" t="s">
        <v>1</v>
      </c>
      <c r="C1" s="14">
        <v>2023</v>
      </c>
    </row>
    <row r="2" spans="1:3" x14ac:dyDescent="0.3">
      <c r="A2" s="3" t="s">
        <v>721</v>
      </c>
      <c r="B2" s="3" t="s">
        <v>0</v>
      </c>
      <c r="C2" s="14" t="s">
        <v>2</v>
      </c>
    </row>
    <row r="3" spans="1:3" x14ac:dyDescent="0.3">
      <c r="A3" s="13" t="s">
        <v>4</v>
      </c>
      <c r="B3" s="13"/>
      <c r="C3" s="4">
        <f>SUM(C4,C5,C9,C10,C11)</f>
        <v>144420.44200647459</v>
      </c>
    </row>
    <row r="4" spans="1:3" x14ac:dyDescent="0.3">
      <c r="A4" s="13" t="s">
        <v>5</v>
      </c>
      <c r="B4" s="13"/>
      <c r="C4" s="4">
        <v>24650</v>
      </c>
    </row>
    <row r="5" spans="1:3" x14ac:dyDescent="0.3">
      <c r="A5" s="13" t="s">
        <v>442</v>
      </c>
      <c r="B5" s="13"/>
      <c r="C5" s="4">
        <v>83216</v>
      </c>
    </row>
    <row r="6" spans="1:3" x14ac:dyDescent="0.3">
      <c r="A6" s="13" t="s">
        <v>691</v>
      </c>
      <c r="B6" s="13"/>
      <c r="C6" s="4">
        <v>39167.881999999998</v>
      </c>
    </row>
    <row r="7" spans="1:3" x14ac:dyDescent="0.3">
      <c r="A7" s="13" t="s">
        <v>455</v>
      </c>
      <c r="B7" s="13"/>
      <c r="C7" s="4">
        <v>711.05</v>
      </c>
    </row>
    <row r="8" spans="1:3" x14ac:dyDescent="0.3">
      <c r="A8" s="13" t="s">
        <v>179</v>
      </c>
      <c r="B8" s="13"/>
      <c r="C8" s="4">
        <v>43337.534</v>
      </c>
    </row>
    <row r="9" spans="1:3" x14ac:dyDescent="0.3">
      <c r="A9" s="13" t="s">
        <v>17</v>
      </c>
      <c r="B9" s="13"/>
      <c r="C9" s="4">
        <v>4700</v>
      </c>
    </row>
    <row r="10" spans="1:3" x14ac:dyDescent="0.3">
      <c r="A10" s="13" t="s">
        <v>18</v>
      </c>
      <c r="B10" s="13"/>
      <c r="C10" s="4">
        <v>31395.5070064746</v>
      </c>
    </row>
    <row r="11" spans="1:3" x14ac:dyDescent="0.3">
      <c r="A11" s="13" t="s">
        <v>22</v>
      </c>
      <c r="B11" s="13"/>
      <c r="C11" s="4">
        <v>458.93499999999995</v>
      </c>
    </row>
  </sheetData>
  <mergeCells count="10">
    <mergeCell ref="A8:B8"/>
    <mergeCell ref="A9:B9"/>
    <mergeCell ref="A10:B10"/>
    <mergeCell ref="A11:B11"/>
    <mergeCell ref="C1:C2"/>
    <mergeCell ref="A3:B3"/>
    <mergeCell ref="A4:B4"/>
    <mergeCell ref="A5:B5"/>
    <mergeCell ref="A6:B6"/>
    <mergeCell ref="A7:B7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7203F-C2A1-4BD2-A52E-9982EF2CDABE}">
  <dimension ref="A1:H17"/>
  <sheetViews>
    <sheetView workbookViewId="0">
      <selection activeCell="V51" sqref="V51"/>
    </sheetView>
  </sheetViews>
  <sheetFormatPr defaultRowHeight="16.5" x14ac:dyDescent="0.3"/>
  <cols>
    <col min="1" max="16384" width="9" style="2"/>
  </cols>
  <sheetData>
    <row r="1" spans="1:8" x14ac:dyDescent="0.3">
      <c r="A1" s="15" t="s">
        <v>0</v>
      </c>
      <c r="B1" s="1" t="s">
        <v>1</v>
      </c>
      <c r="C1" s="14">
        <v>2023</v>
      </c>
      <c r="D1" s="14" t="s">
        <v>2</v>
      </c>
      <c r="E1" s="14" t="s">
        <v>2</v>
      </c>
      <c r="F1" s="14" t="s">
        <v>2</v>
      </c>
      <c r="G1" s="14" t="s">
        <v>2</v>
      </c>
      <c r="H1" s="14" t="s">
        <v>2</v>
      </c>
    </row>
    <row r="2" spans="1:8" x14ac:dyDescent="0.3">
      <c r="A2" s="15" t="s">
        <v>0</v>
      </c>
      <c r="B2" s="1" t="s">
        <v>464</v>
      </c>
      <c r="C2" s="14" t="s">
        <v>4</v>
      </c>
      <c r="D2" s="14" t="s">
        <v>4</v>
      </c>
      <c r="E2" s="14" t="s">
        <v>441</v>
      </c>
      <c r="F2" s="14" t="s">
        <v>441</v>
      </c>
      <c r="G2" s="14" t="s">
        <v>444</v>
      </c>
      <c r="H2" s="14" t="s">
        <v>444</v>
      </c>
    </row>
    <row r="3" spans="1:8" x14ac:dyDescent="0.3">
      <c r="A3" s="15" t="s">
        <v>0</v>
      </c>
      <c r="B3" s="1" t="s">
        <v>169</v>
      </c>
      <c r="C3" s="14" t="s">
        <v>472</v>
      </c>
      <c r="D3" s="14" t="s">
        <v>473</v>
      </c>
      <c r="E3" s="14" t="s">
        <v>472</v>
      </c>
      <c r="F3" s="14" t="s">
        <v>473</v>
      </c>
      <c r="G3" s="14" t="s">
        <v>472</v>
      </c>
      <c r="H3" s="14" t="s">
        <v>473</v>
      </c>
    </row>
    <row r="4" spans="1:8" x14ac:dyDescent="0.3">
      <c r="A4" s="3" t="s">
        <v>3</v>
      </c>
      <c r="B4" s="3" t="s">
        <v>0</v>
      </c>
      <c r="C4" s="14" t="s">
        <v>472</v>
      </c>
      <c r="D4" s="14" t="s">
        <v>473</v>
      </c>
      <c r="E4" s="14" t="s">
        <v>472</v>
      </c>
      <c r="F4" s="14" t="s">
        <v>473</v>
      </c>
      <c r="G4" s="14" t="s">
        <v>472</v>
      </c>
      <c r="H4" s="14" t="s">
        <v>473</v>
      </c>
    </row>
    <row r="5" spans="1:8" x14ac:dyDescent="0.3">
      <c r="A5" s="13" t="s">
        <v>4</v>
      </c>
      <c r="B5" s="13"/>
      <c r="C5" s="4">
        <f>E5+G5</f>
        <v>183729.12400000001</v>
      </c>
      <c r="D5" s="4">
        <f>F5+H5</f>
        <v>132435</v>
      </c>
      <c r="E5" s="4">
        <f>SUM(E6:E17)</f>
        <v>117194.003</v>
      </c>
      <c r="F5" s="4">
        <f t="shared" ref="F5:H5" si="0">SUM(F6:F17)</f>
        <v>851</v>
      </c>
      <c r="G5" s="4">
        <f t="shared" si="0"/>
        <v>66535.120999999999</v>
      </c>
      <c r="H5" s="4">
        <f t="shared" si="0"/>
        <v>131584</v>
      </c>
    </row>
    <row r="6" spans="1:8" x14ac:dyDescent="0.3">
      <c r="A6" s="13" t="s">
        <v>5</v>
      </c>
      <c r="B6" s="13"/>
      <c r="C6" s="4">
        <f t="shared" ref="C6:D17" si="1">E6+G6</f>
        <v>24650</v>
      </c>
      <c r="D6" s="4">
        <f t="shared" si="1"/>
        <v>25</v>
      </c>
      <c r="E6" s="4">
        <v>24650</v>
      </c>
      <c r="F6" s="4">
        <v>25</v>
      </c>
      <c r="G6" s="4">
        <v>0</v>
      </c>
      <c r="H6" s="4">
        <v>0</v>
      </c>
    </row>
    <row r="7" spans="1:8" x14ac:dyDescent="0.3">
      <c r="A7" s="13" t="s">
        <v>6</v>
      </c>
      <c r="B7" s="13"/>
      <c r="C7" s="4">
        <f t="shared" si="1"/>
        <v>39308.657999999996</v>
      </c>
      <c r="D7" s="4">
        <f t="shared" si="1"/>
        <v>63</v>
      </c>
      <c r="E7" s="4">
        <v>33958.657999999996</v>
      </c>
      <c r="F7" s="4">
        <v>57</v>
      </c>
      <c r="G7" s="4">
        <v>5350</v>
      </c>
      <c r="H7" s="4">
        <v>6</v>
      </c>
    </row>
    <row r="8" spans="1:8" x14ac:dyDescent="0.3">
      <c r="A8" s="13" t="s">
        <v>177</v>
      </c>
      <c r="B8" s="13"/>
      <c r="C8" s="4">
        <f t="shared" si="1"/>
        <v>400</v>
      </c>
      <c r="D8" s="4">
        <f t="shared" si="1"/>
        <v>2</v>
      </c>
      <c r="E8" s="4">
        <v>400</v>
      </c>
      <c r="F8" s="4">
        <v>2</v>
      </c>
      <c r="G8" s="4">
        <v>0</v>
      </c>
      <c r="H8" s="4">
        <v>0</v>
      </c>
    </row>
    <row r="9" spans="1:8" x14ac:dyDescent="0.3">
      <c r="A9" s="13" t="s">
        <v>176</v>
      </c>
      <c r="B9" s="13"/>
      <c r="C9" s="4">
        <f t="shared" si="1"/>
        <v>37508.658000000003</v>
      </c>
      <c r="D9" s="4">
        <f t="shared" si="1"/>
        <v>57</v>
      </c>
      <c r="E9" s="4">
        <v>32158.658000000003</v>
      </c>
      <c r="F9" s="4">
        <v>51</v>
      </c>
      <c r="G9" s="4">
        <v>5350</v>
      </c>
      <c r="H9" s="4">
        <v>6</v>
      </c>
    </row>
    <row r="10" spans="1:8" x14ac:dyDescent="0.3">
      <c r="A10" s="13" t="s">
        <v>178</v>
      </c>
      <c r="B10" s="13"/>
      <c r="C10" s="4"/>
      <c r="D10" s="4"/>
      <c r="E10" s="4"/>
      <c r="F10" s="4"/>
      <c r="G10" s="4"/>
      <c r="H10" s="4"/>
    </row>
    <row r="11" spans="1:8" x14ac:dyDescent="0.3">
      <c r="A11" s="13" t="s">
        <v>179</v>
      </c>
      <c r="B11" s="13"/>
      <c r="C11" s="4">
        <f t="shared" si="1"/>
        <v>1400</v>
      </c>
      <c r="D11" s="4">
        <f t="shared" si="1"/>
        <v>4</v>
      </c>
      <c r="E11" s="4">
        <v>1400</v>
      </c>
      <c r="F11" s="4">
        <v>4</v>
      </c>
      <c r="G11" s="4">
        <v>0</v>
      </c>
      <c r="H11" s="4">
        <v>0</v>
      </c>
    </row>
    <row r="12" spans="1:8" x14ac:dyDescent="0.3">
      <c r="A12" s="13" t="s">
        <v>11</v>
      </c>
      <c r="B12" s="13"/>
      <c r="C12" s="4">
        <f t="shared" si="1"/>
        <v>34038.251999999993</v>
      </c>
      <c r="D12" s="4">
        <f t="shared" si="1"/>
        <v>200</v>
      </c>
      <c r="E12" s="4">
        <v>16121.235999999997</v>
      </c>
      <c r="F12" s="4">
        <v>114</v>
      </c>
      <c r="G12" s="4">
        <v>17917.016</v>
      </c>
      <c r="H12" s="4">
        <v>86</v>
      </c>
    </row>
    <row r="13" spans="1:8" x14ac:dyDescent="0.3">
      <c r="A13" s="13" t="s">
        <v>13</v>
      </c>
      <c r="B13" s="13"/>
      <c r="C13" s="4">
        <f t="shared" si="1"/>
        <v>136.55000000000001</v>
      </c>
      <c r="D13" s="4">
        <f t="shared" si="1"/>
        <v>210</v>
      </c>
      <c r="E13" s="4">
        <v>136.55000000000001</v>
      </c>
      <c r="F13" s="4">
        <v>210</v>
      </c>
      <c r="G13" s="4">
        <v>0</v>
      </c>
      <c r="H13" s="4">
        <v>0</v>
      </c>
    </row>
    <row r="14" spans="1:8" x14ac:dyDescent="0.3">
      <c r="A14" s="13" t="s">
        <v>14</v>
      </c>
      <c r="B14" s="13"/>
      <c r="C14" s="4">
        <f t="shared" si="1"/>
        <v>9821.0059999999976</v>
      </c>
      <c r="D14" s="4">
        <f t="shared" si="1"/>
        <v>83</v>
      </c>
      <c r="E14" s="4">
        <v>880.90099999999995</v>
      </c>
      <c r="F14" s="4">
        <v>5</v>
      </c>
      <c r="G14" s="4">
        <v>8940.1049999999977</v>
      </c>
      <c r="H14" s="4">
        <v>78</v>
      </c>
    </row>
    <row r="15" spans="1:8" x14ac:dyDescent="0.3">
      <c r="A15" s="13" t="s">
        <v>17</v>
      </c>
      <c r="B15" s="13"/>
      <c r="C15" s="4">
        <f t="shared" si="1"/>
        <v>4700</v>
      </c>
      <c r="D15" s="4">
        <f t="shared" si="1"/>
        <v>16</v>
      </c>
      <c r="E15" s="4">
        <v>4700</v>
      </c>
      <c r="F15" s="4">
        <v>16</v>
      </c>
      <c r="G15" s="4">
        <v>0</v>
      </c>
      <c r="H15" s="4">
        <v>0</v>
      </c>
    </row>
    <row r="16" spans="1:8" x14ac:dyDescent="0.3">
      <c r="A16" s="13" t="s">
        <v>18</v>
      </c>
      <c r="B16" s="13"/>
      <c r="C16" s="4">
        <f t="shared" si="1"/>
        <v>31395</v>
      </c>
      <c r="D16" s="4">
        <f t="shared" si="1"/>
        <v>131709</v>
      </c>
      <c r="E16" s="4">
        <v>2778</v>
      </c>
      <c r="F16" s="4">
        <v>366</v>
      </c>
      <c r="G16" s="4">
        <v>28617</v>
      </c>
      <c r="H16" s="4">
        <v>131343</v>
      </c>
    </row>
    <row r="17" spans="1:8" x14ac:dyDescent="0.3">
      <c r="A17" s="13" t="s">
        <v>22</v>
      </c>
      <c r="B17" s="13"/>
      <c r="C17" s="4">
        <f t="shared" si="1"/>
        <v>371</v>
      </c>
      <c r="D17" s="4">
        <f t="shared" si="1"/>
        <v>66</v>
      </c>
      <c r="E17" s="4">
        <v>10</v>
      </c>
      <c r="F17" s="4">
        <v>1</v>
      </c>
      <c r="G17" s="4">
        <v>361</v>
      </c>
      <c r="H17" s="4">
        <v>65</v>
      </c>
    </row>
  </sheetData>
  <mergeCells count="24">
    <mergeCell ref="A9:B9"/>
    <mergeCell ref="A1:A3"/>
    <mergeCell ref="C1:H1"/>
    <mergeCell ref="C2:D2"/>
    <mergeCell ref="E2:F2"/>
    <mergeCell ref="G2:H2"/>
    <mergeCell ref="C3:C4"/>
    <mergeCell ref="D3:D4"/>
    <mergeCell ref="E3:E4"/>
    <mergeCell ref="F3:F4"/>
    <mergeCell ref="G3:G4"/>
    <mergeCell ref="H3:H4"/>
    <mergeCell ref="A5:B5"/>
    <mergeCell ref="A6:B6"/>
    <mergeCell ref="A7:B7"/>
    <mergeCell ref="A8:B8"/>
    <mergeCell ref="A16:B16"/>
    <mergeCell ref="A17:B17"/>
    <mergeCell ref="A10:B10"/>
    <mergeCell ref="A11:B11"/>
    <mergeCell ref="A12:B12"/>
    <mergeCell ref="A13:B13"/>
    <mergeCell ref="A14:B14"/>
    <mergeCell ref="A15:B15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F05F7-EEB9-48F0-9660-B92623C56B84}">
  <dimension ref="A1:D9"/>
  <sheetViews>
    <sheetView workbookViewId="0">
      <selection activeCell="C51" sqref="C51"/>
    </sheetView>
  </sheetViews>
  <sheetFormatPr defaultRowHeight="16.5" x14ac:dyDescent="0.3"/>
  <cols>
    <col min="1" max="2" width="9" style="2"/>
    <col min="3" max="3" width="16.75" style="2" customWidth="1"/>
    <col min="4" max="4" width="17" style="2" customWidth="1"/>
    <col min="5" max="16384" width="9" style="2"/>
  </cols>
  <sheetData>
    <row r="1" spans="1:4" x14ac:dyDescent="0.3">
      <c r="A1" s="15" t="s">
        <v>0</v>
      </c>
      <c r="B1" s="1" t="s">
        <v>1</v>
      </c>
      <c r="C1" s="14">
        <v>2023</v>
      </c>
      <c r="D1" s="14" t="s">
        <v>2</v>
      </c>
    </row>
    <row r="2" spans="1:4" x14ac:dyDescent="0.3">
      <c r="A2" s="15" t="s">
        <v>0</v>
      </c>
      <c r="B2" s="1" t="s">
        <v>464</v>
      </c>
      <c r="C2" s="14" t="s">
        <v>441</v>
      </c>
      <c r="D2" s="14" t="s">
        <v>444</v>
      </c>
    </row>
    <row r="3" spans="1:4" x14ac:dyDescent="0.3">
      <c r="A3" s="3" t="s">
        <v>465</v>
      </c>
      <c r="B3" s="3" t="s">
        <v>0</v>
      </c>
      <c r="C3" s="14" t="s">
        <v>441</v>
      </c>
      <c r="D3" s="14" t="s">
        <v>444</v>
      </c>
    </row>
    <row r="4" spans="1:4" x14ac:dyDescent="0.3">
      <c r="A4" s="13" t="s">
        <v>4</v>
      </c>
      <c r="B4" s="13"/>
      <c r="C4" s="10">
        <v>57.63</v>
      </c>
      <c r="D4" s="10">
        <v>42.37</v>
      </c>
    </row>
    <row r="5" spans="1:4" x14ac:dyDescent="0.3">
      <c r="A5" s="13" t="s">
        <v>5</v>
      </c>
      <c r="B5" s="13"/>
      <c r="C5" s="10">
        <v>100</v>
      </c>
      <c r="D5" s="10">
        <v>0</v>
      </c>
    </row>
    <row r="6" spans="1:4" x14ac:dyDescent="0.3">
      <c r="A6" s="13" t="s">
        <v>466</v>
      </c>
      <c r="B6" s="13"/>
      <c r="C6" s="10">
        <v>61.4</v>
      </c>
      <c r="D6" s="10">
        <v>38.6</v>
      </c>
    </row>
    <row r="7" spans="1:4" x14ac:dyDescent="0.3">
      <c r="A7" s="13" t="s">
        <v>17</v>
      </c>
      <c r="B7" s="13"/>
      <c r="C7" s="10">
        <v>100</v>
      </c>
      <c r="D7" s="10">
        <v>0</v>
      </c>
    </row>
    <row r="8" spans="1:4" x14ac:dyDescent="0.3">
      <c r="A8" s="13" t="s">
        <v>18</v>
      </c>
      <c r="B8" s="13"/>
      <c r="C8" s="10">
        <v>8.85</v>
      </c>
      <c r="D8" s="10">
        <v>91.15</v>
      </c>
    </row>
    <row r="9" spans="1:4" x14ac:dyDescent="0.3">
      <c r="A9" s="13" t="s">
        <v>22</v>
      </c>
      <c r="B9" s="13"/>
      <c r="C9" s="10">
        <v>2.1800000000000002</v>
      </c>
      <c r="D9" s="10">
        <v>97.82</v>
      </c>
    </row>
  </sheetData>
  <mergeCells count="10">
    <mergeCell ref="C1:D1"/>
    <mergeCell ref="C2:C3"/>
    <mergeCell ref="D2:D3"/>
    <mergeCell ref="A4:B4"/>
    <mergeCell ref="A5:B5"/>
    <mergeCell ref="A6:B6"/>
    <mergeCell ref="A7:B7"/>
    <mergeCell ref="A8:B8"/>
    <mergeCell ref="A9:B9"/>
    <mergeCell ref="A1:A2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E7B07-CDDC-4D6E-BE5F-43F0416B9E6F}">
  <dimension ref="A1:C12"/>
  <sheetViews>
    <sheetView workbookViewId="0">
      <selection activeCell="C51" sqref="C51"/>
    </sheetView>
  </sheetViews>
  <sheetFormatPr defaultRowHeight="16.5" x14ac:dyDescent="0.3"/>
  <cols>
    <col min="1" max="16384" width="9" style="2"/>
  </cols>
  <sheetData>
    <row r="1" spans="1:3" x14ac:dyDescent="0.3">
      <c r="A1" s="5" t="s">
        <v>0</v>
      </c>
      <c r="B1" s="1" t="s">
        <v>1</v>
      </c>
      <c r="C1" s="14">
        <v>2023</v>
      </c>
    </row>
    <row r="2" spans="1:3" x14ac:dyDescent="0.3">
      <c r="A2" s="3" t="s">
        <v>465</v>
      </c>
      <c r="B2" s="3" t="s">
        <v>0</v>
      </c>
      <c r="C2" s="14" t="s">
        <v>2</v>
      </c>
    </row>
    <row r="3" spans="1:3" x14ac:dyDescent="0.3">
      <c r="A3" s="13" t="s">
        <v>4</v>
      </c>
      <c r="B3" s="13"/>
      <c r="C3" s="4">
        <v>144420908.00647548</v>
      </c>
    </row>
    <row r="4" spans="1:3" x14ac:dyDescent="0.3">
      <c r="A4" s="13" t="s">
        <v>443</v>
      </c>
      <c r="B4" s="13"/>
      <c r="C4" s="4">
        <v>6516996.4000000004</v>
      </c>
    </row>
    <row r="5" spans="1:3" x14ac:dyDescent="0.3">
      <c r="A5" s="13" t="s">
        <v>6</v>
      </c>
      <c r="B5" s="13"/>
      <c r="C5" s="4"/>
    </row>
    <row r="6" spans="1:3" x14ac:dyDescent="0.3">
      <c r="A6" s="13" t="s">
        <v>176</v>
      </c>
      <c r="B6" s="13"/>
      <c r="C6" s="4">
        <v>37508658</v>
      </c>
    </row>
    <row r="7" spans="1:3" x14ac:dyDescent="0.3">
      <c r="A7" s="13" t="s">
        <v>177</v>
      </c>
      <c r="B7" s="13"/>
      <c r="C7" s="4">
        <v>400000</v>
      </c>
    </row>
    <row r="8" spans="1:3" x14ac:dyDescent="0.3">
      <c r="A8" s="13" t="s">
        <v>178</v>
      </c>
      <c r="B8" s="13"/>
      <c r="C8" s="4">
        <v>0</v>
      </c>
    </row>
    <row r="9" spans="1:3" x14ac:dyDescent="0.3">
      <c r="A9" s="13" t="s">
        <v>179</v>
      </c>
      <c r="B9" s="13"/>
      <c r="C9" s="4">
        <v>1400000</v>
      </c>
    </row>
    <row r="10" spans="1:3" x14ac:dyDescent="0.3">
      <c r="A10" s="13" t="s">
        <v>467</v>
      </c>
      <c r="B10" s="13"/>
      <c r="C10" s="4">
        <v>34174802</v>
      </c>
    </row>
    <row r="11" spans="1:3" x14ac:dyDescent="0.3">
      <c r="A11" s="13" t="s">
        <v>5</v>
      </c>
      <c r="B11" s="13"/>
      <c r="C11" s="4">
        <v>24650000</v>
      </c>
    </row>
    <row r="12" spans="1:3" x14ac:dyDescent="0.3">
      <c r="A12" s="13" t="s">
        <v>468</v>
      </c>
      <c r="B12" s="13"/>
      <c r="C12" s="4">
        <v>39770451.606475495</v>
      </c>
    </row>
  </sheetData>
  <mergeCells count="11">
    <mergeCell ref="A7:B7"/>
    <mergeCell ref="C1:C2"/>
    <mergeCell ref="A3:B3"/>
    <mergeCell ref="A4:B4"/>
    <mergeCell ref="A5:B5"/>
    <mergeCell ref="A6:B6"/>
    <mergeCell ref="A8:B8"/>
    <mergeCell ref="A9:B9"/>
    <mergeCell ref="A10:B10"/>
    <mergeCell ref="A11:B11"/>
    <mergeCell ref="A12:B12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86C5F-0C85-4F72-A773-BB7625AC799A}">
  <dimension ref="A1:C230"/>
  <sheetViews>
    <sheetView zoomScale="115" zoomScaleNormal="115" workbookViewId="0">
      <selection activeCell="O16" sqref="O16"/>
    </sheetView>
  </sheetViews>
  <sheetFormatPr defaultRowHeight="16.5" x14ac:dyDescent="0.3"/>
  <cols>
    <col min="1" max="16384" width="9" style="2"/>
  </cols>
  <sheetData>
    <row r="1" spans="1:3" x14ac:dyDescent="0.3">
      <c r="A1" s="5" t="s">
        <v>0</v>
      </c>
      <c r="B1" s="1" t="s">
        <v>1</v>
      </c>
      <c r="C1" s="14">
        <v>2023</v>
      </c>
    </row>
    <row r="2" spans="1:3" x14ac:dyDescent="0.3">
      <c r="A2" s="3" t="s">
        <v>46</v>
      </c>
      <c r="B2" s="3" t="s">
        <v>0</v>
      </c>
      <c r="C2" s="14" t="s">
        <v>2</v>
      </c>
    </row>
    <row r="3" spans="1:3" x14ac:dyDescent="0.3">
      <c r="A3" s="13" t="s">
        <v>4</v>
      </c>
      <c r="B3" s="13"/>
      <c r="C3" s="4">
        <v>6512423</v>
      </c>
    </row>
    <row r="4" spans="1:3" x14ac:dyDescent="0.3">
      <c r="A4" s="13" t="s">
        <v>17</v>
      </c>
      <c r="B4" s="13"/>
      <c r="C4" s="4">
        <v>4700000</v>
      </c>
    </row>
    <row r="5" spans="1:3" x14ac:dyDescent="0.3">
      <c r="A5" s="13" t="s">
        <v>476</v>
      </c>
      <c r="B5" s="13"/>
      <c r="C5" s="4">
        <v>400000</v>
      </c>
    </row>
    <row r="6" spans="1:3" x14ac:dyDescent="0.3">
      <c r="A6" s="13" t="s">
        <v>477</v>
      </c>
      <c r="B6" s="13"/>
      <c r="C6" s="4">
        <v>600000</v>
      </c>
    </row>
    <row r="7" spans="1:3" x14ac:dyDescent="0.3">
      <c r="A7" s="13" t="s">
        <v>478</v>
      </c>
      <c r="B7" s="13"/>
      <c r="C7" s="4">
        <v>600000</v>
      </c>
    </row>
    <row r="8" spans="1:3" x14ac:dyDescent="0.3">
      <c r="A8" s="13" t="s">
        <v>479</v>
      </c>
      <c r="B8" s="13"/>
      <c r="C8" s="4">
        <v>700000</v>
      </c>
    </row>
    <row r="9" spans="1:3" x14ac:dyDescent="0.3">
      <c r="A9" s="13" t="s">
        <v>480</v>
      </c>
      <c r="B9" s="13"/>
      <c r="C9" s="4">
        <v>1000000</v>
      </c>
    </row>
    <row r="10" spans="1:3" x14ac:dyDescent="0.3">
      <c r="A10" s="13" t="s">
        <v>481</v>
      </c>
      <c r="B10" s="13"/>
      <c r="C10" s="4">
        <v>600000</v>
      </c>
    </row>
    <row r="11" spans="1:3" x14ac:dyDescent="0.3">
      <c r="A11" s="13" t="s">
        <v>482</v>
      </c>
      <c r="B11" s="13"/>
      <c r="C11" s="4">
        <v>800000</v>
      </c>
    </row>
    <row r="12" spans="1:3" x14ac:dyDescent="0.3">
      <c r="A12" s="13" t="s">
        <v>483</v>
      </c>
      <c r="B12" s="13"/>
      <c r="C12" s="4">
        <v>1581980</v>
      </c>
    </row>
    <row r="13" spans="1:3" x14ac:dyDescent="0.3">
      <c r="A13" s="13" t="s">
        <v>484</v>
      </c>
      <c r="B13" s="13"/>
      <c r="C13" s="4">
        <v>108000</v>
      </c>
    </row>
    <row r="14" spans="1:3" x14ac:dyDescent="0.3">
      <c r="A14" s="13" t="s">
        <v>485</v>
      </c>
      <c r="B14" s="13"/>
      <c r="C14" s="4">
        <v>62280</v>
      </c>
    </row>
    <row r="15" spans="1:3" x14ac:dyDescent="0.3">
      <c r="A15" s="13" t="s">
        <v>486</v>
      </c>
      <c r="B15" s="13"/>
      <c r="C15" s="4">
        <v>48000</v>
      </c>
    </row>
    <row r="16" spans="1:3" x14ac:dyDescent="0.3">
      <c r="A16" s="13" t="s">
        <v>487</v>
      </c>
      <c r="B16" s="13"/>
      <c r="C16" s="4">
        <v>140100</v>
      </c>
    </row>
    <row r="17" spans="1:3" x14ac:dyDescent="0.3">
      <c r="A17" s="13" t="s">
        <v>488</v>
      </c>
      <c r="B17" s="13"/>
      <c r="C17" s="4">
        <v>120000</v>
      </c>
    </row>
    <row r="18" spans="1:3" x14ac:dyDescent="0.3">
      <c r="A18" s="13" t="s">
        <v>489</v>
      </c>
      <c r="B18" s="13"/>
      <c r="C18" s="4">
        <v>35000</v>
      </c>
    </row>
    <row r="19" spans="1:3" x14ac:dyDescent="0.3">
      <c r="A19" s="13" t="s">
        <v>490</v>
      </c>
      <c r="B19" s="13"/>
      <c r="C19" s="4">
        <v>82000</v>
      </c>
    </row>
    <row r="20" spans="1:3" x14ac:dyDescent="0.3">
      <c r="A20" s="13" t="s">
        <v>491</v>
      </c>
      <c r="B20" s="13"/>
      <c r="C20" s="4">
        <v>400000</v>
      </c>
    </row>
    <row r="21" spans="1:3" x14ac:dyDescent="0.3">
      <c r="A21" s="13" t="s">
        <v>492</v>
      </c>
      <c r="B21" s="13"/>
      <c r="C21" s="4">
        <v>200000</v>
      </c>
    </row>
    <row r="22" spans="1:3" x14ac:dyDescent="0.3">
      <c r="A22" s="13" t="s">
        <v>493</v>
      </c>
      <c r="B22" s="13"/>
      <c r="C22" s="4">
        <v>90000</v>
      </c>
    </row>
    <row r="23" spans="1:3" x14ac:dyDescent="0.3">
      <c r="A23" s="13" t="s">
        <v>494</v>
      </c>
      <c r="B23" s="13"/>
      <c r="C23" s="4">
        <v>90000</v>
      </c>
    </row>
    <row r="24" spans="1:3" x14ac:dyDescent="0.3">
      <c r="A24" s="13" t="s">
        <v>495</v>
      </c>
      <c r="B24" s="13"/>
      <c r="C24" s="4">
        <v>100000</v>
      </c>
    </row>
    <row r="25" spans="1:3" x14ac:dyDescent="0.3">
      <c r="A25" s="13" t="s">
        <v>496</v>
      </c>
      <c r="B25" s="13"/>
      <c r="C25" s="4">
        <v>22500</v>
      </c>
    </row>
    <row r="26" spans="1:3" x14ac:dyDescent="0.3">
      <c r="A26" s="13" t="s">
        <v>497</v>
      </c>
      <c r="B26" s="13"/>
      <c r="C26" s="4">
        <v>50000</v>
      </c>
    </row>
    <row r="27" spans="1:3" x14ac:dyDescent="0.3">
      <c r="A27" s="13" t="s">
        <v>498</v>
      </c>
      <c r="B27" s="13"/>
      <c r="C27" s="4"/>
    </row>
    <row r="28" spans="1:3" x14ac:dyDescent="0.3">
      <c r="A28" s="13" t="s">
        <v>499</v>
      </c>
      <c r="B28" s="13"/>
      <c r="C28" s="4">
        <v>22100</v>
      </c>
    </row>
    <row r="29" spans="1:3" x14ac:dyDescent="0.3">
      <c r="A29" s="13" t="s">
        <v>500</v>
      </c>
      <c r="B29" s="13"/>
      <c r="C29" s="4">
        <v>12000</v>
      </c>
    </row>
    <row r="30" spans="1:3" x14ac:dyDescent="0.3">
      <c r="A30" s="13" t="s">
        <v>501</v>
      </c>
      <c r="B30" s="13"/>
      <c r="C30" s="9">
        <v>249425.4</v>
      </c>
    </row>
    <row r="31" spans="1:3" x14ac:dyDescent="0.3">
      <c r="A31" s="13" t="s">
        <v>502</v>
      </c>
      <c r="B31" s="13"/>
      <c r="C31" s="4">
        <v>4500</v>
      </c>
    </row>
    <row r="32" spans="1:3" x14ac:dyDescent="0.3">
      <c r="A32" s="13" t="s">
        <v>503</v>
      </c>
      <c r="B32" s="13"/>
      <c r="C32" s="4">
        <v>2600</v>
      </c>
    </row>
    <row r="33" spans="1:3" x14ac:dyDescent="0.3">
      <c r="A33" s="13" t="s">
        <v>504</v>
      </c>
      <c r="B33" s="13"/>
      <c r="C33" s="4">
        <v>450</v>
      </c>
    </row>
    <row r="34" spans="1:3" x14ac:dyDescent="0.3">
      <c r="A34" s="13" t="s">
        <v>505</v>
      </c>
      <c r="B34" s="13"/>
      <c r="C34" s="4"/>
    </row>
    <row r="35" spans="1:3" x14ac:dyDescent="0.3">
      <c r="A35" s="13" t="s">
        <v>506</v>
      </c>
      <c r="B35" s="13"/>
      <c r="C35" s="4">
        <v>1400</v>
      </c>
    </row>
    <row r="36" spans="1:3" x14ac:dyDescent="0.3">
      <c r="A36" s="13" t="s">
        <v>507</v>
      </c>
      <c r="B36" s="13"/>
      <c r="C36" s="4">
        <v>400</v>
      </c>
    </row>
    <row r="37" spans="1:3" x14ac:dyDescent="0.3">
      <c r="A37" s="13" t="s">
        <v>508</v>
      </c>
      <c r="B37" s="13"/>
      <c r="C37" s="4">
        <v>995</v>
      </c>
    </row>
    <row r="38" spans="1:3" x14ac:dyDescent="0.3">
      <c r="A38" s="13" t="s">
        <v>509</v>
      </c>
      <c r="B38" s="13"/>
      <c r="C38" s="4"/>
    </row>
    <row r="39" spans="1:3" x14ac:dyDescent="0.3">
      <c r="A39" s="13" t="s">
        <v>510</v>
      </c>
      <c r="B39" s="13"/>
      <c r="C39" s="4"/>
    </row>
    <row r="40" spans="1:3" x14ac:dyDescent="0.3">
      <c r="A40" s="13" t="s">
        <v>511</v>
      </c>
      <c r="B40" s="13"/>
      <c r="C40" s="4">
        <v>5000</v>
      </c>
    </row>
    <row r="41" spans="1:3" x14ac:dyDescent="0.3">
      <c r="A41" s="13" t="s">
        <v>512</v>
      </c>
      <c r="B41" s="13"/>
      <c r="C41" s="4">
        <v>2500</v>
      </c>
    </row>
    <row r="42" spans="1:3" x14ac:dyDescent="0.3">
      <c r="A42" s="13" t="s">
        <v>59</v>
      </c>
      <c r="B42" s="13"/>
      <c r="C42" s="4">
        <v>7200</v>
      </c>
    </row>
    <row r="43" spans="1:3" x14ac:dyDescent="0.3">
      <c r="A43" s="13" t="s">
        <v>513</v>
      </c>
      <c r="B43" s="13"/>
      <c r="C43" s="4">
        <v>3000</v>
      </c>
    </row>
    <row r="44" spans="1:3" x14ac:dyDescent="0.3">
      <c r="A44" s="13" t="s">
        <v>514</v>
      </c>
      <c r="B44" s="13"/>
      <c r="C44" s="4">
        <v>1000</v>
      </c>
    </row>
    <row r="45" spans="1:3" x14ac:dyDescent="0.3">
      <c r="A45" s="13" t="s">
        <v>515</v>
      </c>
      <c r="B45" s="13"/>
      <c r="C45" s="4">
        <v>1300</v>
      </c>
    </row>
    <row r="46" spans="1:3" x14ac:dyDescent="0.3">
      <c r="A46" s="13" t="s">
        <v>516</v>
      </c>
      <c r="B46" s="13"/>
      <c r="C46" s="4">
        <v>450</v>
      </c>
    </row>
    <row r="47" spans="1:3" x14ac:dyDescent="0.3">
      <c r="A47" s="13" t="s">
        <v>517</v>
      </c>
      <c r="B47" s="13"/>
      <c r="C47" s="4">
        <v>1060</v>
      </c>
    </row>
    <row r="48" spans="1:3" x14ac:dyDescent="0.3">
      <c r="A48" s="13" t="s">
        <v>58</v>
      </c>
      <c r="B48" s="13"/>
      <c r="C48" s="4">
        <v>701</v>
      </c>
    </row>
    <row r="49" spans="1:3" x14ac:dyDescent="0.3">
      <c r="A49" s="13" t="s">
        <v>518</v>
      </c>
      <c r="B49" s="13"/>
      <c r="C49" s="4">
        <v>193</v>
      </c>
    </row>
    <row r="50" spans="1:3" x14ac:dyDescent="0.3">
      <c r="A50" s="13" t="s">
        <v>499</v>
      </c>
      <c r="B50" s="13"/>
      <c r="C50" s="4">
        <v>6230</v>
      </c>
    </row>
    <row r="51" spans="1:3" x14ac:dyDescent="0.3">
      <c r="A51" s="13" t="s">
        <v>519</v>
      </c>
      <c r="B51" s="13"/>
      <c r="C51" s="4">
        <v>360</v>
      </c>
    </row>
    <row r="52" spans="1:3" x14ac:dyDescent="0.3">
      <c r="A52" s="13" t="s">
        <v>520</v>
      </c>
      <c r="B52" s="13"/>
      <c r="C52" s="4">
        <v>1000</v>
      </c>
    </row>
    <row r="53" spans="1:3" x14ac:dyDescent="0.3">
      <c r="A53" s="13" t="s">
        <v>521</v>
      </c>
      <c r="B53" s="13"/>
      <c r="C53" s="4">
        <v>340</v>
      </c>
    </row>
    <row r="54" spans="1:3" x14ac:dyDescent="0.3">
      <c r="A54" s="13" t="s">
        <v>522</v>
      </c>
      <c r="B54" s="13"/>
      <c r="C54" s="4">
        <v>800</v>
      </c>
    </row>
    <row r="55" spans="1:3" x14ac:dyDescent="0.3">
      <c r="A55" s="13" t="s">
        <v>493</v>
      </c>
      <c r="B55" s="13"/>
      <c r="C55" s="4">
        <v>1500</v>
      </c>
    </row>
    <row r="56" spans="1:3" x14ac:dyDescent="0.3">
      <c r="A56" s="13" t="s">
        <v>62</v>
      </c>
      <c r="B56" s="13"/>
      <c r="C56" s="4"/>
    </row>
    <row r="57" spans="1:3" x14ac:dyDescent="0.3">
      <c r="A57" s="13" t="s">
        <v>523</v>
      </c>
      <c r="B57" s="13"/>
      <c r="C57" s="4">
        <v>1500</v>
      </c>
    </row>
    <row r="58" spans="1:3" x14ac:dyDescent="0.3">
      <c r="A58" s="13" t="s">
        <v>524</v>
      </c>
      <c r="B58" s="13"/>
      <c r="C58" s="4">
        <v>320</v>
      </c>
    </row>
    <row r="59" spans="1:3" x14ac:dyDescent="0.3">
      <c r="A59" s="13" t="s">
        <v>525</v>
      </c>
      <c r="B59" s="13"/>
      <c r="C59" s="4">
        <v>60</v>
      </c>
    </row>
    <row r="60" spans="1:3" x14ac:dyDescent="0.3">
      <c r="A60" s="13" t="s">
        <v>526</v>
      </c>
      <c r="B60" s="13"/>
      <c r="C60" s="4">
        <v>2100</v>
      </c>
    </row>
    <row r="61" spans="1:3" x14ac:dyDescent="0.3">
      <c r="A61" s="13" t="s">
        <v>527</v>
      </c>
      <c r="B61" s="13"/>
      <c r="C61" s="4">
        <v>300</v>
      </c>
    </row>
    <row r="62" spans="1:3" x14ac:dyDescent="0.3">
      <c r="A62" s="13" t="s">
        <v>495</v>
      </c>
      <c r="B62" s="13"/>
      <c r="C62" s="4"/>
    </row>
    <row r="63" spans="1:3" x14ac:dyDescent="0.3">
      <c r="A63" s="13" t="s">
        <v>528</v>
      </c>
      <c r="B63" s="13"/>
      <c r="C63" s="4">
        <v>170</v>
      </c>
    </row>
    <row r="64" spans="1:3" x14ac:dyDescent="0.3">
      <c r="A64" s="13" t="s">
        <v>496</v>
      </c>
      <c r="B64" s="13"/>
      <c r="C64" s="4">
        <v>1000</v>
      </c>
    </row>
    <row r="65" spans="1:3" x14ac:dyDescent="0.3">
      <c r="A65" s="13" t="s">
        <v>529</v>
      </c>
      <c r="B65" s="13"/>
      <c r="C65" s="4">
        <v>800</v>
      </c>
    </row>
    <row r="66" spans="1:3" x14ac:dyDescent="0.3">
      <c r="A66" s="13" t="s">
        <v>530</v>
      </c>
      <c r="B66" s="13"/>
      <c r="C66" s="4">
        <v>360</v>
      </c>
    </row>
    <row r="67" spans="1:3" x14ac:dyDescent="0.3">
      <c r="A67" s="13" t="s">
        <v>531</v>
      </c>
      <c r="B67" s="13"/>
      <c r="C67" s="4"/>
    </row>
    <row r="68" spans="1:3" x14ac:dyDescent="0.3">
      <c r="A68" s="13" t="s">
        <v>532</v>
      </c>
      <c r="B68" s="13"/>
      <c r="C68" s="4"/>
    </row>
    <row r="69" spans="1:3" x14ac:dyDescent="0.3">
      <c r="A69" s="13" t="s">
        <v>533</v>
      </c>
      <c r="B69" s="13"/>
      <c r="C69" s="4">
        <v>1920</v>
      </c>
    </row>
    <row r="70" spans="1:3" x14ac:dyDescent="0.3">
      <c r="A70" s="13" t="s">
        <v>534</v>
      </c>
      <c r="B70" s="13"/>
      <c r="C70" s="4"/>
    </row>
    <row r="71" spans="1:3" x14ac:dyDescent="0.3">
      <c r="A71" s="13" t="s">
        <v>535</v>
      </c>
      <c r="B71" s="13"/>
      <c r="C71" s="4">
        <v>800</v>
      </c>
    </row>
    <row r="72" spans="1:3" x14ac:dyDescent="0.3">
      <c r="A72" s="13" t="s">
        <v>536</v>
      </c>
      <c r="B72" s="13"/>
      <c r="C72" s="4"/>
    </row>
    <row r="73" spans="1:3" x14ac:dyDescent="0.3">
      <c r="A73" s="13" t="s">
        <v>537</v>
      </c>
      <c r="B73" s="13"/>
      <c r="C73" s="4">
        <v>1200</v>
      </c>
    </row>
    <row r="74" spans="1:3" x14ac:dyDescent="0.3">
      <c r="A74" s="13" t="s">
        <v>538</v>
      </c>
      <c r="B74" s="13"/>
      <c r="C74" s="4">
        <v>1800</v>
      </c>
    </row>
    <row r="75" spans="1:3" x14ac:dyDescent="0.3">
      <c r="A75" s="13" t="s">
        <v>539</v>
      </c>
      <c r="B75" s="13"/>
      <c r="C75" s="4"/>
    </row>
    <row r="76" spans="1:3" x14ac:dyDescent="0.3">
      <c r="A76" s="13" t="s">
        <v>540</v>
      </c>
      <c r="B76" s="13"/>
      <c r="C76" s="4">
        <v>2200</v>
      </c>
    </row>
    <row r="77" spans="1:3" x14ac:dyDescent="0.3">
      <c r="A77" s="13" t="s">
        <v>541</v>
      </c>
      <c r="B77" s="13"/>
      <c r="C77" s="4">
        <v>2400</v>
      </c>
    </row>
    <row r="78" spans="1:3" x14ac:dyDescent="0.3">
      <c r="A78" s="13" t="s">
        <v>542</v>
      </c>
      <c r="B78" s="13"/>
      <c r="C78" s="4">
        <v>2100</v>
      </c>
    </row>
    <row r="79" spans="1:3" x14ac:dyDescent="0.3">
      <c r="A79" s="13" t="s">
        <v>543</v>
      </c>
      <c r="B79" s="13"/>
      <c r="C79" s="4">
        <v>1350</v>
      </c>
    </row>
    <row r="80" spans="1:3" x14ac:dyDescent="0.3">
      <c r="A80" s="13" t="s">
        <v>544</v>
      </c>
      <c r="B80" s="13"/>
      <c r="C80" s="4"/>
    </row>
    <row r="81" spans="1:3" x14ac:dyDescent="0.3">
      <c r="A81" s="13" t="s">
        <v>545</v>
      </c>
      <c r="B81" s="13"/>
      <c r="C81" s="4">
        <v>820</v>
      </c>
    </row>
    <row r="82" spans="1:3" x14ac:dyDescent="0.3">
      <c r="A82" s="13" t="s">
        <v>546</v>
      </c>
      <c r="B82" s="13"/>
      <c r="C82" s="4">
        <v>1000</v>
      </c>
    </row>
    <row r="83" spans="1:3" x14ac:dyDescent="0.3">
      <c r="A83" s="13" t="s">
        <v>547</v>
      </c>
      <c r="B83" s="13"/>
      <c r="C83" s="4" t="s">
        <v>548</v>
      </c>
    </row>
    <row r="84" spans="1:3" x14ac:dyDescent="0.3">
      <c r="A84" s="13" t="s">
        <v>549</v>
      </c>
      <c r="B84" s="13"/>
      <c r="C84" s="4">
        <v>1392</v>
      </c>
    </row>
    <row r="85" spans="1:3" x14ac:dyDescent="0.3">
      <c r="A85" s="13" t="s">
        <v>550</v>
      </c>
      <c r="B85" s="13"/>
      <c r="C85" s="4">
        <v>825</v>
      </c>
    </row>
    <row r="86" spans="1:3" x14ac:dyDescent="0.3">
      <c r="A86" s="13" t="s">
        <v>551</v>
      </c>
      <c r="B86" s="13"/>
      <c r="C86" s="4">
        <v>1274</v>
      </c>
    </row>
    <row r="87" spans="1:3" x14ac:dyDescent="0.3">
      <c r="A87" s="13" t="s">
        <v>552</v>
      </c>
      <c r="B87" s="13"/>
      <c r="C87" s="4">
        <v>430</v>
      </c>
    </row>
    <row r="88" spans="1:3" x14ac:dyDescent="0.3">
      <c r="A88" s="13" t="s">
        <v>553</v>
      </c>
      <c r="B88" s="13"/>
      <c r="C88" s="4">
        <v>600</v>
      </c>
    </row>
    <row r="89" spans="1:3" x14ac:dyDescent="0.3">
      <c r="A89" s="13" t="s">
        <v>554</v>
      </c>
      <c r="B89" s="13"/>
      <c r="C89" s="4">
        <v>1500</v>
      </c>
    </row>
    <row r="90" spans="1:3" x14ac:dyDescent="0.3">
      <c r="A90" s="13" t="s">
        <v>555</v>
      </c>
      <c r="B90" s="13"/>
      <c r="C90" s="4"/>
    </row>
    <row r="91" spans="1:3" x14ac:dyDescent="0.3">
      <c r="A91" s="13" t="s">
        <v>556</v>
      </c>
      <c r="B91" s="13"/>
      <c r="C91" s="4">
        <v>560</v>
      </c>
    </row>
    <row r="92" spans="1:3" x14ac:dyDescent="0.3">
      <c r="A92" s="13" t="s">
        <v>557</v>
      </c>
      <c r="B92" s="13"/>
      <c r="C92" s="4">
        <v>440</v>
      </c>
    </row>
    <row r="93" spans="1:3" x14ac:dyDescent="0.3">
      <c r="A93" s="13" t="s">
        <v>558</v>
      </c>
      <c r="B93" s="13"/>
      <c r="C93" s="4"/>
    </row>
    <row r="94" spans="1:3" x14ac:dyDescent="0.3">
      <c r="A94" s="13" t="s">
        <v>559</v>
      </c>
      <c r="B94" s="13"/>
      <c r="C94" s="4">
        <v>1100</v>
      </c>
    </row>
    <row r="95" spans="1:3" x14ac:dyDescent="0.3">
      <c r="A95" s="13" t="s">
        <v>560</v>
      </c>
      <c r="B95" s="13"/>
      <c r="C95" s="4">
        <v>5000</v>
      </c>
    </row>
    <row r="96" spans="1:3" x14ac:dyDescent="0.3">
      <c r="A96" s="13" t="s">
        <v>561</v>
      </c>
      <c r="B96" s="13"/>
      <c r="C96" s="4">
        <v>560</v>
      </c>
    </row>
    <row r="97" spans="1:3" x14ac:dyDescent="0.3">
      <c r="A97" s="13" t="s">
        <v>562</v>
      </c>
      <c r="B97" s="13"/>
      <c r="C97" s="4">
        <v>500</v>
      </c>
    </row>
    <row r="98" spans="1:3" x14ac:dyDescent="0.3">
      <c r="A98" s="13" t="s">
        <v>563</v>
      </c>
      <c r="B98" s="13"/>
      <c r="C98" s="4">
        <v>490</v>
      </c>
    </row>
    <row r="99" spans="1:3" x14ac:dyDescent="0.3">
      <c r="A99" s="13" t="s">
        <v>564</v>
      </c>
      <c r="B99" s="13"/>
      <c r="C99" s="4">
        <v>300</v>
      </c>
    </row>
    <row r="100" spans="1:3" x14ac:dyDescent="0.3">
      <c r="A100" s="13" t="s">
        <v>565</v>
      </c>
      <c r="B100" s="13"/>
      <c r="C100" s="4">
        <v>1500</v>
      </c>
    </row>
    <row r="101" spans="1:3" x14ac:dyDescent="0.3">
      <c r="A101" s="13" t="s">
        <v>566</v>
      </c>
      <c r="B101" s="13"/>
      <c r="C101" s="4">
        <v>2310</v>
      </c>
    </row>
    <row r="102" spans="1:3" x14ac:dyDescent="0.3">
      <c r="A102" s="13" t="s">
        <v>567</v>
      </c>
      <c r="B102" s="13"/>
      <c r="C102" s="4">
        <v>400</v>
      </c>
    </row>
    <row r="103" spans="1:3" x14ac:dyDescent="0.3">
      <c r="A103" s="13" t="s">
        <v>568</v>
      </c>
      <c r="B103" s="13"/>
      <c r="C103" s="4">
        <v>600</v>
      </c>
    </row>
    <row r="104" spans="1:3" x14ac:dyDescent="0.3">
      <c r="A104" s="13" t="s">
        <v>569</v>
      </c>
      <c r="B104" s="13"/>
      <c r="C104" s="4">
        <v>200</v>
      </c>
    </row>
    <row r="105" spans="1:3" x14ac:dyDescent="0.3">
      <c r="A105" s="13" t="s">
        <v>570</v>
      </c>
      <c r="B105" s="13"/>
      <c r="C105" s="4"/>
    </row>
    <row r="106" spans="1:3" x14ac:dyDescent="0.3">
      <c r="A106" s="13" t="s">
        <v>571</v>
      </c>
      <c r="B106" s="13"/>
      <c r="C106" s="4">
        <v>4599</v>
      </c>
    </row>
    <row r="107" spans="1:3" x14ac:dyDescent="0.3">
      <c r="A107" s="13" t="s">
        <v>572</v>
      </c>
      <c r="B107" s="13"/>
      <c r="C107" s="4">
        <v>3000</v>
      </c>
    </row>
    <row r="108" spans="1:3" x14ac:dyDescent="0.3">
      <c r="A108" s="13" t="s">
        <v>573</v>
      </c>
      <c r="B108" s="13"/>
      <c r="C108" s="4">
        <v>4950</v>
      </c>
    </row>
    <row r="109" spans="1:3" x14ac:dyDescent="0.3">
      <c r="A109" s="13" t="s">
        <v>574</v>
      </c>
      <c r="B109" s="13"/>
      <c r="C109" s="4">
        <v>3000</v>
      </c>
    </row>
    <row r="110" spans="1:3" x14ac:dyDescent="0.3">
      <c r="A110" s="13" t="s">
        <v>575</v>
      </c>
      <c r="B110" s="13"/>
      <c r="C110" s="4">
        <v>3000</v>
      </c>
    </row>
    <row r="111" spans="1:3" x14ac:dyDescent="0.3">
      <c r="A111" s="13" t="s">
        <v>576</v>
      </c>
      <c r="B111" s="13"/>
      <c r="C111" s="4">
        <v>410</v>
      </c>
    </row>
    <row r="112" spans="1:3" x14ac:dyDescent="0.3">
      <c r="A112" s="13" t="s">
        <v>577</v>
      </c>
      <c r="B112" s="13"/>
      <c r="C112" s="4">
        <v>2640</v>
      </c>
    </row>
    <row r="113" spans="1:3" x14ac:dyDescent="0.3">
      <c r="A113" s="13" t="s">
        <v>578</v>
      </c>
      <c r="B113" s="13"/>
      <c r="C113" s="4">
        <v>340</v>
      </c>
    </row>
    <row r="114" spans="1:3" x14ac:dyDescent="0.3">
      <c r="A114" s="13" t="s">
        <v>579</v>
      </c>
      <c r="B114" s="13"/>
      <c r="C114" s="4">
        <v>800</v>
      </c>
    </row>
    <row r="115" spans="1:3" x14ac:dyDescent="0.3">
      <c r="A115" s="13" t="s">
        <v>482</v>
      </c>
      <c r="B115" s="13"/>
      <c r="C115" s="4">
        <v>900</v>
      </c>
    </row>
    <row r="116" spans="1:3" x14ac:dyDescent="0.3">
      <c r="A116" s="13" t="s">
        <v>580</v>
      </c>
      <c r="B116" s="13"/>
      <c r="C116" s="4">
        <v>3000</v>
      </c>
    </row>
    <row r="117" spans="1:3" x14ac:dyDescent="0.3">
      <c r="A117" s="13" t="s">
        <v>581</v>
      </c>
      <c r="B117" s="13"/>
      <c r="C117" s="4">
        <v>1220</v>
      </c>
    </row>
    <row r="118" spans="1:3" x14ac:dyDescent="0.3">
      <c r="A118" s="13" t="s">
        <v>582</v>
      </c>
      <c r="B118" s="13"/>
      <c r="C118" s="4">
        <v>45</v>
      </c>
    </row>
    <row r="119" spans="1:3" x14ac:dyDescent="0.3">
      <c r="A119" s="13" t="s">
        <v>583</v>
      </c>
      <c r="B119" s="13"/>
      <c r="C119" s="4">
        <v>180</v>
      </c>
    </row>
    <row r="120" spans="1:3" x14ac:dyDescent="0.3">
      <c r="A120" s="13" t="s">
        <v>584</v>
      </c>
      <c r="B120" s="13"/>
      <c r="C120" s="4">
        <v>3000</v>
      </c>
    </row>
    <row r="121" spans="1:3" x14ac:dyDescent="0.3">
      <c r="A121" s="13" t="s">
        <v>585</v>
      </c>
      <c r="B121" s="13"/>
      <c r="C121" s="4">
        <v>2856</v>
      </c>
    </row>
    <row r="122" spans="1:3" x14ac:dyDescent="0.3">
      <c r="A122" s="13" t="s">
        <v>586</v>
      </c>
      <c r="B122" s="13"/>
      <c r="C122" s="4">
        <v>590</v>
      </c>
    </row>
    <row r="123" spans="1:3" x14ac:dyDescent="0.3">
      <c r="A123" s="13" t="s">
        <v>587</v>
      </c>
      <c r="B123" s="13"/>
      <c r="C123" s="4">
        <v>3000</v>
      </c>
    </row>
    <row r="124" spans="1:3" x14ac:dyDescent="0.3">
      <c r="A124" s="13" t="s">
        <v>588</v>
      </c>
      <c r="B124" s="13"/>
      <c r="C124" s="4">
        <v>4950</v>
      </c>
    </row>
    <row r="125" spans="1:3" x14ac:dyDescent="0.3">
      <c r="A125" s="13" t="s">
        <v>589</v>
      </c>
      <c r="B125" s="13"/>
      <c r="C125" s="4">
        <v>480</v>
      </c>
    </row>
    <row r="126" spans="1:3" x14ac:dyDescent="0.3">
      <c r="A126" s="13" t="s">
        <v>590</v>
      </c>
      <c r="B126" s="13"/>
      <c r="C126" s="4">
        <v>530</v>
      </c>
    </row>
    <row r="127" spans="1:3" x14ac:dyDescent="0.3">
      <c r="A127" s="13" t="s">
        <v>591</v>
      </c>
      <c r="B127" s="13"/>
      <c r="C127" s="4">
        <v>55</v>
      </c>
    </row>
    <row r="128" spans="1:3" x14ac:dyDescent="0.3">
      <c r="A128" s="13" t="s">
        <v>592</v>
      </c>
      <c r="B128" s="13"/>
      <c r="C128" s="4">
        <v>3000</v>
      </c>
    </row>
    <row r="129" spans="1:3" x14ac:dyDescent="0.3">
      <c r="A129" s="13" t="s">
        <v>593</v>
      </c>
      <c r="B129" s="13"/>
      <c r="C129" s="4">
        <v>5000</v>
      </c>
    </row>
    <row r="130" spans="1:3" x14ac:dyDescent="0.3">
      <c r="A130" s="13" t="s">
        <v>594</v>
      </c>
      <c r="B130" s="13"/>
      <c r="C130" s="4">
        <v>5000</v>
      </c>
    </row>
    <row r="131" spans="1:3" x14ac:dyDescent="0.3">
      <c r="A131" s="13" t="s">
        <v>595</v>
      </c>
      <c r="B131" s="13"/>
      <c r="C131" s="4">
        <v>65</v>
      </c>
    </row>
    <row r="132" spans="1:3" x14ac:dyDescent="0.3">
      <c r="A132" s="13" t="s">
        <v>596</v>
      </c>
      <c r="B132" s="13"/>
      <c r="C132" s="4">
        <v>240</v>
      </c>
    </row>
    <row r="133" spans="1:3" x14ac:dyDescent="0.3">
      <c r="A133" s="13" t="s">
        <v>597</v>
      </c>
      <c r="B133" s="13"/>
      <c r="C133" s="4">
        <v>990</v>
      </c>
    </row>
    <row r="134" spans="1:3" x14ac:dyDescent="0.3">
      <c r="A134" s="13" t="s">
        <v>598</v>
      </c>
      <c r="B134" s="13"/>
      <c r="C134" s="4">
        <v>750</v>
      </c>
    </row>
    <row r="135" spans="1:3" x14ac:dyDescent="0.3">
      <c r="A135" s="13" t="s">
        <v>599</v>
      </c>
      <c r="B135" s="13"/>
      <c r="C135" s="4">
        <v>800</v>
      </c>
    </row>
    <row r="136" spans="1:3" x14ac:dyDescent="0.3">
      <c r="A136" s="13" t="s">
        <v>600</v>
      </c>
      <c r="B136" s="13"/>
      <c r="C136" s="4">
        <v>75</v>
      </c>
    </row>
    <row r="137" spans="1:3" x14ac:dyDescent="0.3">
      <c r="A137" s="13" t="s">
        <v>601</v>
      </c>
      <c r="B137" s="13"/>
      <c r="C137" s="4">
        <v>1392</v>
      </c>
    </row>
    <row r="138" spans="1:3" x14ac:dyDescent="0.3">
      <c r="A138" s="13" t="s">
        <v>602</v>
      </c>
      <c r="B138" s="13"/>
      <c r="C138" s="4">
        <v>420</v>
      </c>
    </row>
    <row r="139" spans="1:3" x14ac:dyDescent="0.3">
      <c r="A139" s="13" t="s">
        <v>603</v>
      </c>
      <c r="B139" s="13"/>
      <c r="C139" s="4">
        <v>600</v>
      </c>
    </row>
    <row r="140" spans="1:3" x14ac:dyDescent="0.3">
      <c r="A140" s="13" t="s">
        <v>604</v>
      </c>
      <c r="B140" s="13"/>
      <c r="C140" s="4">
        <v>10</v>
      </c>
    </row>
    <row r="141" spans="1:3" x14ac:dyDescent="0.3">
      <c r="A141" s="13" t="s">
        <v>605</v>
      </c>
      <c r="B141" s="13"/>
      <c r="C141" s="4">
        <v>0</v>
      </c>
    </row>
    <row r="142" spans="1:3" x14ac:dyDescent="0.3">
      <c r="A142" s="13" t="s">
        <v>606</v>
      </c>
      <c r="B142" s="13"/>
      <c r="C142" s="4">
        <v>300</v>
      </c>
    </row>
    <row r="143" spans="1:3" x14ac:dyDescent="0.3">
      <c r="A143" s="13" t="s">
        <v>607</v>
      </c>
      <c r="B143" s="13"/>
      <c r="C143" s="4">
        <v>650</v>
      </c>
    </row>
    <row r="144" spans="1:3" x14ac:dyDescent="0.3">
      <c r="A144" s="13" t="s">
        <v>608</v>
      </c>
      <c r="B144" s="13"/>
      <c r="C144" s="4">
        <v>280</v>
      </c>
    </row>
    <row r="145" spans="1:3" x14ac:dyDescent="0.3">
      <c r="A145" s="13" t="s">
        <v>609</v>
      </c>
      <c r="B145" s="13"/>
      <c r="C145" s="4">
        <v>60</v>
      </c>
    </row>
    <row r="146" spans="1:3" x14ac:dyDescent="0.3">
      <c r="A146" s="13" t="s">
        <v>610</v>
      </c>
      <c r="B146" s="13"/>
      <c r="C146" s="4">
        <v>160</v>
      </c>
    </row>
    <row r="147" spans="1:3" x14ac:dyDescent="0.3">
      <c r="A147" s="13" t="s">
        <v>611</v>
      </c>
      <c r="B147" s="13"/>
      <c r="C147" s="4">
        <v>170</v>
      </c>
    </row>
    <row r="148" spans="1:3" x14ac:dyDescent="0.3">
      <c r="A148" s="13" t="s">
        <v>612</v>
      </c>
      <c r="B148" s="13"/>
      <c r="C148" s="4">
        <v>270</v>
      </c>
    </row>
    <row r="149" spans="1:3" x14ac:dyDescent="0.3">
      <c r="A149" s="13" t="s">
        <v>613</v>
      </c>
      <c r="B149" s="13"/>
      <c r="C149" s="4">
        <v>5000</v>
      </c>
    </row>
    <row r="150" spans="1:3" x14ac:dyDescent="0.3">
      <c r="A150" s="13" t="s">
        <v>614</v>
      </c>
      <c r="B150" s="13"/>
      <c r="C150" s="4">
        <v>99</v>
      </c>
    </row>
    <row r="151" spans="1:3" x14ac:dyDescent="0.3">
      <c r="A151" s="13" t="s">
        <v>615</v>
      </c>
      <c r="B151" s="13"/>
      <c r="C151" s="4">
        <v>190</v>
      </c>
    </row>
    <row r="152" spans="1:3" x14ac:dyDescent="0.3">
      <c r="A152" s="13" t="s">
        <v>616</v>
      </c>
      <c r="B152" s="13"/>
      <c r="C152" s="4"/>
    </row>
    <row r="153" spans="1:3" x14ac:dyDescent="0.3">
      <c r="A153" s="13" t="s">
        <v>617</v>
      </c>
      <c r="B153" s="13"/>
      <c r="C153" s="4">
        <v>350</v>
      </c>
    </row>
    <row r="154" spans="1:3" x14ac:dyDescent="0.3">
      <c r="A154" s="13" t="s">
        <v>618</v>
      </c>
      <c r="B154" s="13"/>
      <c r="C154" s="4">
        <v>230</v>
      </c>
    </row>
    <row r="155" spans="1:3" x14ac:dyDescent="0.3">
      <c r="A155" s="13" t="s">
        <v>619</v>
      </c>
      <c r="B155" s="13"/>
      <c r="C155" s="4">
        <v>400</v>
      </c>
    </row>
    <row r="156" spans="1:3" x14ac:dyDescent="0.3">
      <c r="A156" s="13" t="s">
        <v>498</v>
      </c>
      <c r="B156" s="13"/>
      <c r="C156" s="4">
        <v>18000</v>
      </c>
    </row>
    <row r="157" spans="1:3" x14ac:dyDescent="0.3">
      <c r="A157" s="13" t="s">
        <v>620</v>
      </c>
      <c r="B157" s="13"/>
      <c r="C157" s="4"/>
    </row>
    <row r="158" spans="1:3" x14ac:dyDescent="0.3">
      <c r="A158" s="13" t="s">
        <v>621</v>
      </c>
      <c r="B158" s="13"/>
      <c r="C158" s="4">
        <v>0</v>
      </c>
    </row>
    <row r="159" spans="1:3" x14ac:dyDescent="0.3">
      <c r="A159" s="13" t="s">
        <v>622</v>
      </c>
      <c r="B159" s="13"/>
      <c r="C159" s="4">
        <v>430</v>
      </c>
    </row>
    <row r="160" spans="1:3" x14ac:dyDescent="0.3">
      <c r="A160" s="13" t="s">
        <v>623</v>
      </c>
      <c r="B160" s="13"/>
      <c r="C160" s="4">
        <v>465</v>
      </c>
    </row>
    <row r="161" spans="1:3" x14ac:dyDescent="0.3">
      <c r="A161" s="13" t="s">
        <v>624</v>
      </c>
      <c r="B161" s="13"/>
      <c r="C161" s="4">
        <v>98</v>
      </c>
    </row>
    <row r="162" spans="1:3" x14ac:dyDescent="0.3">
      <c r="A162" s="13" t="s">
        <v>625</v>
      </c>
      <c r="B162" s="13"/>
      <c r="C162" s="4">
        <v>600</v>
      </c>
    </row>
    <row r="163" spans="1:3" x14ac:dyDescent="0.3">
      <c r="A163" s="13" t="s">
        <v>626</v>
      </c>
      <c r="B163" s="13"/>
      <c r="C163" s="4">
        <v>360</v>
      </c>
    </row>
    <row r="164" spans="1:3" x14ac:dyDescent="0.3">
      <c r="A164" s="13" t="s">
        <v>627</v>
      </c>
      <c r="B164" s="13"/>
      <c r="C164" s="4">
        <v>600</v>
      </c>
    </row>
    <row r="165" spans="1:3" x14ac:dyDescent="0.3">
      <c r="A165" s="13" t="s">
        <v>628</v>
      </c>
      <c r="B165" s="13"/>
      <c r="C165" s="4">
        <v>120</v>
      </c>
    </row>
    <row r="166" spans="1:3" x14ac:dyDescent="0.3">
      <c r="A166" s="13" t="s">
        <v>629</v>
      </c>
      <c r="B166" s="13"/>
      <c r="C166" s="4"/>
    </row>
    <row r="167" spans="1:3" x14ac:dyDescent="0.3">
      <c r="A167" s="13" t="s">
        <v>630</v>
      </c>
      <c r="B167" s="13"/>
      <c r="C167" s="4"/>
    </row>
    <row r="168" spans="1:3" x14ac:dyDescent="0.3">
      <c r="A168" s="13" t="s">
        <v>631</v>
      </c>
      <c r="B168" s="13"/>
      <c r="C168" s="4">
        <v>189</v>
      </c>
    </row>
    <row r="169" spans="1:3" x14ac:dyDescent="0.3">
      <c r="A169" s="13" t="s">
        <v>632</v>
      </c>
      <c r="B169" s="13"/>
      <c r="C169" s="4">
        <v>220</v>
      </c>
    </row>
    <row r="170" spans="1:3" x14ac:dyDescent="0.3">
      <c r="A170" s="16" t="s">
        <v>633</v>
      </c>
      <c r="B170" s="13"/>
      <c r="C170" s="4"/>
    </row>
    <row r="171" spans="1:3" x14ac:dyDescent="0.3">
      <c r="A171" s="13" t="s">
        <v>634</v>
      </c>
      <c r="B171" s="13"/>
      <c r="C171" s="4"/>
    </row>
    <row r="172" spans="1:3" x14ac:dyDescent="0.3">
      <c r="A172" s="13" t="s">
        <v>635</v>
      </c>
      <c r="B172" s="13"/>
      <c r="C172" s="4">
        <v>35</v>
      </c>
    </row>
    <row r="173" spans="1:3" x14ac:dyDescent="0.3">
      <c r="A173" s="13" t="s">
        <v>636</v>
      </c>
      <c r="B173" s="13"/>
      <c r="C173" s="4">
        <v>250</v>
      </c>
    </row>
    <row r="174" spans="1:3" x14ac:dyDescent="0.3">
      <c r="A174" s="13" t="s">
        <v>637</v>
      </c>
      <c r="B174" s="13"/>
      <c r="C174" s="4">
        <v>4872</v>
      </c>
    </row>
    <row r="175" spans="1:3" x14ac:dyDescent="0.3">
      <c r="A175" s="13" t="s">
        <v>638</v>
      </c>
      <c r="B175" s="13"/>
      <c r="C175" s="4">
        <v>360</v>
      </c>
    </row>
    <row r="176" spans="1:3" x14ac:dyDescent="0.3">
      <c r="A176" s="13" t="s">
        <v>639</v>
      </c>
      <c r="B176" s="13"/>
      <c r="C176" s="4">
        <v>350</v>
      </c>
    </row>
    <row r="177" spans="1:3" x14ac:dyDescent="0.3">
      <c r="A177" s="13" t="s">
        <v>640</v>
      </c>
      <c r="B177" s="13"/>
      <c r="C177" s="4">
        <v>760</v>
      </c>
    </row>
    <row r="178" spans="1:3" x14ac:dyDescent="0.3">
      <c r="A178" s="13" t="s">
        <v>641</v>
      </c>
      <c r="B178" s="13"/>
      <c r="C178" s="4">
        <v>800</v>
      </c>
    </row>
    <row r="179" spans="1:3" x14ac:dyDescent="0.3">
      <c r="A179" s="13" t="s">
        <v>642</v>
      </c>
      <c r="B179" s="13"/>
      <c r="C179" s="4">
        <v>1650</v>
      </c>
    </row>
    <row r="180" spans="1:3" x14ac:dyDescent="0.3">
      <c r="A180" s="13" t="s">
        <v>643</v>
      </c>
      <c r="B180" s="13"/>
      <c r="C180" s="4">
        <v>5000</v>
      </c>
    </row>
    <row r="181" spans="1:3" x14ac:dyDescent="0.3">
      <c r="A181" s="13" t="s">
        <v>644</v>
      </c>
      <c r="B181" s="13"/>
      <c r="C181" s="4"/>
    </row>
    <row r="182" spans="1:3" x14ac:dyDescent="0.3">
      <c r="A182" s="13" t="s">
        <v>645</v>
      </c>
      <c r="B182" s="13"/>
      <c r="C182" s="4">
        <v>50</v>
      </c>
    </row>
    <row r="183" spans="1:3" x14ac:dyDescent="0.3">
      <c r="A183" s="13" t="s">
        <v>67</v>
      </c>
      <c r="B183" s="13"/>
      <c r="C183" s="4">
        <v>5000</v>
      </c>
    </row>
    <row r="184" spans="1:3" x14ac:dyDescent="0.3">
      <c r="A184" s="13" t="s">
        <v>646</v>
      </c>
      <c r="B184" s="13"/>
      <c r="C184" s="4">
        <v>99</v>
      </c>
    </row>
    <row r="185" spans="1:3" x14ac:dyDescent="0.3">
      <c r="A185" s="13" t="s">
        <v>647</v>
      </c>
      <c r="B185" s="13"/>
      <c r="C185" s="4">
        <v>250</v>
      </c>
    </row>
    <row r="186" spans="1:3" x14ac:dyDescent="0.3">
      <c r="A186" s="13" t="s">
        <v>648</v>
      </c>
      <c r="B186" s="13"/>
      <c r="C186" s="4">
        <v>16</v>
      </c>
    </row>
    <row r="187" spans="1:3" x14ac:dyDescent="0.3">
      <c r="A187" s="13" t="s">
        <v>649</v>
      </c>
      <c r="B187" s="13"/>
      <c r="C187" s="4">
        <v>2750</v>
      </c>
    </row>
    <row r="188" spans="1:3" x14ac:dyDescent="0.3">
      <c r="A188" s="13" t="s">
        <v>650</v>
      </c>
      <c r="B188" s="13"/>
      <c r="C188" s="4">
        <v>250</v>
      </c>
    </row>
    <row r="189" spans="1:3" x14ac:dyDescent="0.3">
      <c r="A189" s="13" t="s">
        <v>651</v>
      </c>
      <c r="B189" s="13"/>
      <c r="C189" s="4">
        <v>900</v>
      </c>
    </row>
    <row r="190" spans="1:3" x14ac:dyDescent="0.3">
      <c r="A190" s="13" t="s">
        <v>652</v>
      </c>
      <c r="B190" s="13"/>
      <c r="C190" s="4">
        <v>360</v>
      </c>
    </row>
    <row r="191" spans="1:3" x14ac:dyDescent="0.3">
      <c r="A191" s="13" t="s">
        <v>653</v>
      </c>
      <c r="B191" s="13"/>
      <c r="C191" s="4">
        <v>1800</v>
      </c>
    </row>
    <row r="192" spans="1:3" x14ac:dyDescent="0.3">
      <c r="A192" s="13" t="s">
        <v>654</v>
      </c>
      <c r="B192" s="13"/>
      <c r="C192" s="4">
        <v>180</v>
      </c>
    </row>
    <row r="193" spans="1:3" x14ac:dyDescent="0.3">
      <c r="A193" s="13" t="s">
        <v>655</v>
      </c>
      <c r="B193" s="13"/>
      <c r="C193" s="4">
        <v>19.399999999999999</v>
      </c>
    </row>
    <row r="194" spans="1:3" x14ac:dyDescent="0.3">
      <c r="A194" s="13" t="s">
        <v>656</v>
      </c>
      <c r="B194" s="13"/>
      <c r="C194" s="4">
        <v>180</v>
      </c>
    </row>
    <row r="195" spans="1:3" x14ac:dyDescent="0.3">
      <c r="A195" s="13" t="s">
        <v>657</v>
      </c>
      <c r="B195" s="13"/>
      <c r="C195" s="4">
        <v>25</v>
      </c>
    </row>
    <row r="196" spans="1:3" x14ac:dyDescent="0.3">
      <c r="A196" s="13" t="s">
        <v>658</v>
      </c>
      <c r="B196" s="13"/>
      <c r="C196" s="4">
        <v>600</v>
      </c>
    </row>
    <row r="197" spans="1:3" x14ac:dyDescent="0.3">
      <c r="A197" s="13" t="s">
        <v>659</v>
      </c>
      <c r="B197" s="13"/>
      <c r="C197" s="4">
        <v>3000</v>
      </c>
    </row>
    <row r="198" spans="1:3" x14ac:dyDescent="0.3">
      <c r="A198" s="13" t="s">
        <v>660</v>
      </c>
      <c r="B198" s="13"/>
      <c r="C198" s="4">
        <v>9</v>
      </c>
    </row>
    <row r="199" spans="1:3" x14ac:dyDescent="0.3">
      <c r="A199" s="13" t="s">
        <v>661</v>
      </c>
      <c r="B199" s="13"/>
      <c r="C199" s="4">
        <v>150</v>
      </c>
    </row>
    <row r="200" spans="1:3" x14ac:dyDescent="0.3">
      <c r="A200" s="13" t="s">
        <v>662</v>
      </c>
      <c r="B200" s="13"/>
      <c r="C200" s="4">
        <v>15</v>
      </c>
    </row>
    <row r="201" spans="1:3" x14ac:dyDescent="0.3">
      <c r="A201" s="13" t="s">
        <v>663</v>
      </c>
      <c r="B201" s="13"/>
      <c r="C201" s="4">
        <v>2400</v>
      </c>
    </row>
    <row r="202" spans="1:3" x14ac:dyDescent="0.3">
      <c r="A202" s="13" t="s">
        <v>664</v>
      </c>
      <c r="B202" s="13"/>
      <c r="C202" s="4">
        <v>609</v>
      </c>
    </row>
    <row r="203" spans="1:3" x14ac:dyDescent="0.3">
      <c r="A203" s="13" t="s">
        <v>665</v>
      </c>
      <c r="B203" s="13"/>
      <c r="C203" s="4">
        <v>50</v>
      </c>
    </row>
    <row r="204" spans="1:3" x14ac:dyDescent="0.3">
      <c r="A204" s="13" t="s">
        <v>666</v>
      </c>
      <c r="B204" s="13"/>
      <c r="C204" s="4">
        <v>2800</v>
      </c>
    </row>
    <row r="205" spans="1:3" x14ac:dyDescent="0.3">
      <c r="A205" s="13" t="s">
        <v>667</v>
      </c>
      <c r="B205" s="13"/>
      <c r="C205" s="4">
        <v>170</v>
      </c>
    </row>
    <row r="206" spans="1:3" x14ac:dyDescent="0.3">
      <c r="A206" s="13" t="s">
        <v>668</v>
      </c>
      <c r="B206" s="13"/>
      <c r="C206" s="4"/>
    </row>
    <row r="207" spans="1:3" x14ac:dyDescent="0.3">
      <c r="A207" s="13" t="s">
        <v>669</v>
      </c>
      <c r="B207" s="13"/>
      <c r="C207" s="4">
        <v>40</v>
      </c>
    </row>
    <row r="208" spans="1:3" x14ac:dyDescent="0.3">
      <c r="A208" s="13" t="s">
        <v>670</v>
      </c>
      <c r="B208" s="13"/>
      <c r="C208" s="4">
        <v>40</v>
      </c>
    </row>
    <row r="209" spans="1:3" x14ac:dyDescent="0.3">
      <c r="A209" s="13" t="s">
        <v>671</v>
      </c>
      <c r="B209" s="13"/>
      <c r="C209" s="4">
        <v>54</v>
      </c>
    </row>
    <row r="210" spans="1:3" x14ac:dyDescent="0.3">
      <c r="A210" s="13" t="s">
        <v>672</v>
      </c>
      <c r="B210" s="13"/>
      <c r="C210" s="4">
        <v>287</v>
      </c>
    </row>
    <row r="211" spans="1:3" x14ac:dyDescent="0.3">
      <c r="A211" s="13" t="s">
        <v>673</v>
      </c>
      <c r="B211" s="13"/>
      <c r="C211" s="4"/>
    </row>
    <row r="212" spans="1:3" x14ac:dyDescent="0.3">
      <c r="A212" s="13" t="s">
        <v>674</v>
      </c>
      <c r="B212" s="13"/>
      <c r="C212" s="4">
        <v>150</v>
      </c>
    </row>
    <row r="213" spans="1:3" x14ac:dyDescent="0.3">
      <c r="A213" s="13" t="s">
        <v>675</v>
      </c>
      <c r="B213" s="13"/>
      <c r="C213" s="4">
        <v>177</v>
      </c>
    </row>
    <row r="214" spans="1:3" x14ac:dyDescent="0.3">
      <c r="A214" s="13" t="s">
        <v>676</v>
      </c>
      <c r="B214" s="13"/>
      <c r="C214" s="4">
        <v>2586</v>
      </c>
    </row>
    <row r="215" spans="1:3" x14ac:dyDescent="0.3">
      <c r="A215" s="13" t="s">
        <v>68</v>
      </c>
      <c r="B215" s="13"/>
      <c r="C215" s="4">
        <v>5000</v>
      </c>
    </row>
    <row r="216" spans="1:3" x14ac:dyDescent="0.3">
      <c r="A216" s="13" t="s">
        <v>677</v>
      </c>
      <c r="B216" s="13"/>
      <c r="C216" s="4">
        <v>80</v>
      </c>
    </row>
    <row r="217" spans="1:3" x14ac:dyDescent="0.3">
      <c r="A217" s="13" t="s">
        <v>678</v>
      </c>
      <c r="B217" s="13"/>
      <c r="C217" s="4"/>
    </row>
    <row r="218" spans="1:3" x14ac:dyDescent="0.3">
      <c r="A218" s="13" t="s">
        <v>679</v>
      </c>
      <c r="B218" s="13"/>
      <c r="C218" s="4">
        <v>100</v>
      </c>
    </row>
    <row r="219" spans="1:3" x14ac:dyDescent="0.3">
      <c r="A219" s="13" t="s">
        <v>680</v>
      </c>
      <c r="B219" s="13"/>
      <c r="C219" s="4"/>
    </row>
    <row r="220" spans="1:3" x14ac:dyDescent="0.3">
      <c r="A220" s="13" t="s">
        <v>681</v>
      </c>
      <c r="B220" s="13"/>
      <c r="C220" s="4">
        <v>5000</v>
      </c>
    </row>
    <row r="221" spans="1:3" x14ac:dyDescent="0.3">
      <c r="A221" s="13" t="s">
        <v>682</v>
      </c>
      <c r="B221" s="13"/>
      <c r="C221" s="4">
        <v>18000</v>
      </c>
    </row>
    <row r="222" spans="1:3" x14ac:dyDescent="0.3">
      <c r="A222" s="13" t="s">
        <v>683</v>
      </c>
      <c r="B222" s="13"/>
      <c r="C222" s="4">
        <v>13</v>
      </c>
    </row>
    <row r="223" spans="1:3" x14ac:dyDescent="0.3">
      <c r="A223" s="13" t="s">
        <v>684</v>
      </c>
      <c r="B223" s="13"/>
      <c r="C223" s="4">
        <v>12</v>
      </c>
    </row>
    <row r="224" spans="1:3" x14ac:dyDescent="0.3">
      <c r="A224" s="13" t="s">
        <v>685</v>
      </c>
      <c r="B224" s="13"/>
      <c r="C224" s="4">
        <v>2000</v>
      </c>
    </row>
    <row r="225" spans="1:3" x14ac:dyDescent="0.3">
      <c r="A225" s="13" t="s">
        <v>686</v>
      </c>
      <c r="B225" s="13"/>
      <c r="C225" s="4">
        <v>2214</v>
      </c>
    </row>
    <row r="226" spans="1:3" x14ac:dyDescent="0.3">
      <c r="A226" s="13" t="s">
        <v>687</v>
      </c>
      <c r="B226" s="13"/>
      <c r="C226" s="4">
        <v>850</v>
      </c>
    </row>
    <row r="227" spans="1:3" x14ac:dyDescent="0.3">
      <c r="A227" s="16" t="s">
        <v>688</v>
      </c>
      <c r="B227" s="13"/>
      <c r="C227" s="4">
        <v>45</v>
      </c>
    </row>
    <row r="228" spans="1:3" x14ac:dyDescent="0.3">
      <c r="A228" s="19" t="s">
        <v>689</v>
      </c>
      <c r="B228" s="13"/>
      <c r="C228" s="4">
        <v>30</v>
      </c>
    </row>
    <row r="229" spans="1:3" x14ac:dyDescent="0.3">
      <c r="A229" s="16" t="s">
        <v>690</v>
      </c>
      <c r="B229" s="13"/>
      <c r="C229" s="4">
        <v>600</v>
      </c>
    </row>
    <row r="230" spans="1:3" x14ac:dyDescent="0.3">
      <c r="A230" s="16" t="s">
        <v>690</v>
      </c>
      <c r="B230" s="13"/>
      <c r="C230" s="4">
        <v>100</v>
      </c>
    </row>
  </sheetData>
  <mergeCells count="229">
    <mergeCell ref="A8:B8"/>
    <mergeCell ref="A9:B9"/>
    <mergeCell ref="A10:B10"/>
    <mergeCell ref="A11:B11"/>
    <mergeCell ref="A12:B12"/>
    <mergeCell ref="A13:B13"/>
    <mergeCell ref="C1:C2"/>
    <mergeCell ref="A3:B3"/>
    <mergeCell ref="A4:B4"/>
    <mergeCell ref="A5:B5"/>
    <mergeCell ref="A6:B6"/>
    <mergeCell ref="A7:B7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68:B68"/>
    <mergeCell ref="A69:B69"/>
    <mergeCell ref="A70:B70"/>
    <mergeCell ref="A71:B71"/>
    <mergeCell ref="A72:B72"/>
    <mergeCell ref="A73:B73"/>
    <mergeCell ref="A62:B62"/>
    <mergeCell ref="A63:B63"/>
    <mergeCell ref="A64:B64"/>
    <mergeCell ref="A65:B65"/>
    <mergeCell ref="A66:B66"/>
    <mergeCell ref="A67:B67"/>
    <mergeCell ref="A80:B80"/>
    <mergeCell ref="A81:B81"/>
    <mergeCell ref="A82:B82"/>
    <mergeCell ref="A83:B83"/>
    <mergeCell ref="A84:B84"/>
    <mergeCell ref="A85:B85"/>
    <mergeCell ref="A74:B74"/>
    <mergeCell ref="A75:B75"/>
    <mergeCell ref="A76:B76"/>
    <mergeCell ref="A77:B77"/>
    <mergeCell ref="A78:B78"/>
    <mergeCell ref="A79:B79"/>
    <mergeCell ref="A92:B92"/>
    <mergeCell ref="A93:B93"/>
    <mergeCell ref="A94:B94"/>
    <mergeCell ref="A95:B95"/>
    <mergeCell ref="A96:B96"/>
    <mergeCell ref="A97:B97"/>
    <mergeCell ref="A86:B86"/>
    <mergeCell ref="A87:B87"/>
    <mergeCell ref="A88:B88"/>
    <mergeCell ref="A89:B89"/>
    <mergeCell ref="A90:B90"/>
    <mergeCell ref="A91:B91"/>
    <mergeCell ref="A104:B104"/>
    <mergeCell ref="A105:B105"/>
    <mergeCell ref="A106:B106"/>
    <mergeCell ref="A107:B107"/>
    <mergeCell ref="A108:B108"/>
    <mergeCell ref="A109:B109"/>
    <mergeCell ref="A98:B98"/>
    <mergeCell ref="A99:B99"/>
    <mergeCell ref="A100:B100"/>
    <mergeCell ref="A101:B101"/>
    <mergeCell ref="A102:B102"/>
    <mergeCell ref="A103:B103"/>
    <mergeCell ref="A116:B116"/>
    <mergeCell ref="A117:B117"/>
    <mergeCell ref="A118:B118"/>
    <mergeCell ref="A119:B119"/>
    <mergeCell ref="A120:B120"/>
    <mergeCell ref="A121:B121"/>
    <mergeCell ref="A110:B110"/>
    <mergeCell ref="A111:B111"/>
    <mergeCell ref="A112:B112"/>
    <mergeCell ref="A113:B113"/>
    <mergeCell ref="A114:B114"/>
    <mergeCell ref="A115:B115"/>
    <mergeCell ref="A128:B128"/>
    <mergeCell ref="A129:B129"/>
    <mergeCell ref="A130:B130"/>
    <mergeCell ref="A131:B131"/>
    <mergeCell ref="A132:B132"/>
    <mergeCell ref="A133:B133"/>
    <mergeCell ref="A122:B122"/>
    <mergeCell ref="A123:B123"/>
    <mergeCell ref="A124:B124"/>
    <mergeCell ref="A125:B125"/>
    <mergeCell ref="A126:B126"/>
    <mergeCell ref="A127:B127"/>
    <mergeCell ref="A140:B140"/>
    <mergeCell ref="A141:B141"/>
    <mergeCell ref="A142:B142"/>
    <mergeCell ref="A143:B143"/>
    <mergeCell ref="A144:B144"/>
    <mergeCell ref="A145:B145"/>
    <mergeCell ref="A134:B134"/>
    <mergeCell ref="A135:B135"/>
    <mergeCell ref="A136:B136"/>
    <mergeCell ref="A137:B137"/>
    <mergeCell ref="A138:B138"/>
    <mergeCell ref="A139:B139"/>
    <mergeCell ref="A152:B152"/>
    <mergeCell ref="A153:B153"/>
    <mergeCell ref="A154:B154"/>
    <mergeCell ref="A155:B155"/>
    <mergeCell ref="A156:B156"/>
    <mergeCell ref="A157:B157"/>
    <mergeCell ref="A146:B146"/>
    <mergeCell ref="A147:B147"/>
    <mergeCell ref="A148:B148"/>
    <mergeCell ref="A149:B149"/>
    <mergeCell ref="A150:B150"/>
    <mergeCell ref="A151:B151"/>
    <mergeCell ref="A164:B164"/>
    <mergeCell ref="A165:B165"/>
    <mergeCell ref="A166:B166"/>
    <mergeCell ref="A167:B167"/>
    <mergeCell ref="A168:B168"/>
    <mergeCell ref="A169:B169"/>
    <mergeCell ref="A158:B158"/>
    <mergeCell ref="A159:B159"/>
    <mergeCell ref="A160:B160"/>
    <mergeCell ref="A161:B161"/>
    <mergeCell ref="A162:B162"/>
    <mergeCell ref="A163:B163"/>
    <mergeCell ref="A176:B176"/>
    <mergeCell ref="A177:B177"/>
    <mergeCell ref="A178:B178"/>
    <mergeCell ref="A179:B179"/>
    <mergeCell ref="A180:B180"/>
    <mergeCell ref="A181:B181"/>
    <mergeCell ref="A170:B170"/>
    <mergeCell ref="A171:B171"/>
    <mergeCell ref="A172:B172"/>
    <mergeCell ref="A173:B173"/>
    <mergeCell ref="A174:B174"/>
    <mergeCell ref="A175:B175"/>
    <mergeCell ref="A188:B188"/>
    <mergeCell ref="A189:B189"/>
    <mergeCell ref="A190:B190"/>
    <mergeCell ref="A191:B191"/>
    <mergeCell ref="A192:B192"/>
    <mergeCell ref="A193:B193"/>
    <mergeCell ref="A182:B182"/>
    <mergeCell ref="A183:B183"/>
    <mergeCell ref="A184:B184"/>
    <mergeCell ref="A185:B185"/>
    <mergeCell ref="A186:B186"/>
    <mergeCell ref="A187:B187"/>
    <mergeCell ref="A200:B200"/>
    <mergeCell ref="A201:B201"/>
    <mergeCell ref="A202:B202"/>
    <mergeCell ref="A203:B203"/>
    <mergeCell ref="A204:B204"/>
    <mergeCell ref="A205:B205"/>
    <mergeCell ref="A194:B194"/>
    <mergeCell ref="A195:B195"/>
    <mergeCell ref="A196:B196"/>
    <mergeCell ref="A197:B197"/>
    <mergeCell ref="A198:B198"/>
    <mergeCell ref="A199:B199"/>
    <mergeCell ref="A212:B212"/>
    <mergeCell ref="A213:B213"/>
    <mergeCell ref="A214:B214"/>
    <mergeCell ref="A215:B215"/>
    <mergeCell ref="A216:B216"/>
    <mergeCell ref="A217:B217"/>
    <mergeCell ref="A206:B206"/>
    <mergeCell ref="A207:B207"/>
    <mergeCell ref="A208:B208"/>
    <mergeCell ref="A209:B209"/>
    <mergeCell ref="A210:B210"/>
    <mergeCell ref="A211:B211"/>
    <mergeCell ref="A230:B230"/>
    <mergeCell ref="A224:B224"/>
    <mergeCell ref="A225:B225"/>
    <mergeCell ref="A226:B226"/>
    <mergeCell ref="A227:B227"/>
    <mergeCell ref="A228:B228"/>
    <mergeCell ref="A229:B229"/>
    <mergeCell ref="A218:B218"/>
    <mergeCell ref="A219:B219"/>
    <mergeCell ref="A220:B220"/>
    <mergeCell ref="A221:B221"/>
    <mergeCell ref="A222:B222"/>
    <mergeCell ref="A223:B223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D14E-47BD-432A-8D64-9316EFEEAFEB}">
  <dimension ref="A1:C27"/>
  <sheetViews>
    <sheetView workbookViewId="0">
      <selection activeCell="C51" sqref="C51"/>
    </sheetView>
  </sheetViews>
  <sheetFormatPr defaultRowHeight="16.5" x14ac:dyDescent="0.3"/>
  <cols>
    <col min="1" max="16384" width="9" style="2"/>
  </cols>
  <sheetData>
    <row r="1" spans="1:3" x14ac:dyDescent="0.3">
      <c r="A1" s="5" t="s">
        <v>0</v>
      </c>
      <c r="B1" s="1" t="s">
        <v>1</v>
      </c>
      <c r="C1" s="14">
        <v>2023</v>
      </c>
    </row>
    <row r="2" spans="1:3" x14ac:dyDescent="0.3">
      <c r="A2" s="3" t="s">
        <v>46</v>
      </c>
      <c r="B2" s="3" t="s">
        <v>0</v>
      </c>
      <c r="C2" s="14" t="s">
        <v>2</v>
      </c>
    </row>
    <row r="3" spans="1:3" x14ac:dyDescent="0.3">
      <c r="A3" s="13" t="s">
        <v>4</v>
      </c>
      <c r="B3" s="13"/>
      <c r="C3" s="4">
        <v>39308658</v>
      </c>
    </row>
    <row r="4" spans="1:3" x14ac:dyDescent="0.3">
      <c r="A4" s="13" t="s">
        <v>47</v>
      </c>
      <c r="B4" s="13"/>
      <c r="C4" s="4"/>
    </row>
    <row r="5" spans="1:3" x14ac:dyDescent="0.3">
      <c r="A5" s="13" t="s">
        <v>48</v>
      </c>
      <c r="B5" s="13"/>
      <c r="C5" s="4"/>
    </row>
    <row r="6" spans="1:3" x14ac:dyDescent="0.3">
      <c r="A6" s="13" t="s">
        <v>49</v>
      </c>
      <c r="B6" s="13"/>
      <c r="C6" s="4"/>
    </row>
    <row r="7" spans="1:3" x14ac:dyDescent="0.3">
      <c r="A7" s="13" t="s">
        <v>50</v>
      </c>
      <c r="B7" s="13"/>
      <c r="C7" s="4"/>
    </row>
    <row r="8" spans="1:3" x14ac:dyDescent="0.3">
      <c r="A8" s="13" t="s">
        <v>51</v>
      </c>
      <c r="B8" s="13"/>
      <c r="C8" s="4"/>
    </row>
    <row r="9" spans="1:3" x14ac:dyDescent="0.3">
      <c r="A9" s="13" t="s">
        <v>52</v>
      </c>
      <c r="B9" s="13"/>
      <c r="C9" s="4"/>
    </row>
    <row r="10" spans="1:3" x14ac:dyDescent="0.3">
      <c r="A10" s="13" t="s">
        <v>53</v>
      </c>
      <c r="B10" s="13"/>
      <c r="C10" s="4">
        <v>668600</v>
      </c>
    </row>
    <row r="11" spans="1:3" x14ac:dyDescent="0.3">
      <c r="A11" s="13" t="s">
        <v>54</v>
      </c>
      <c r="B11" s="13"/>
      <c r="C11" s="4">
        <v>1400000</v>
      </c>
    </row>
    <row r="12" spans="1:3" x14ac:dyDescent="0.3">
      <c r="A12" s="13" t="s">
        <v>55</v>
      </c>
      <c r="B12" s="13"/>
      <c r="C12" s="4"/>
    </row>
    <row r="13" spans="1:3" x14ac:dyDescent="0.3">
      <c r="A13" s="13" t="s">
        <v>56</v>
      </c>
      <c r="B13" s="13"/>
      <c r="C13" s="4"/>
    </row>
    <row r="14" spans="1:3" x14ac:dyDescent="0.3">
      <c r="A14" s="13" t="s">
        <v>57</v>
      </c>
      <c r="B14" s="13"/>
      <c r="C14" s="4">
        <v>2120000</v>
      </c>
    </row>
    <row r="15" spans="1:3" x14ac:dyDescent="0.3">
      <c r="A15" s="13" t="s">
        <v>58</v>
      </c>
      <c r="B15" s="13"/>
      <c r="C15" s="4">
        <v>3050000</v>
      </c>
    </row>
    <row r="16" spans="1:3" x14ac:dyDescent="0.3">
      <c r="A16" s="13" t="s">
        <v>59</v>
      </c>
      <c r="B16" s="13"/>
      <c r="C16" s="4">
        <v>6100000</v>
      </c>
    </row>
    <row r="17" spans="1:3" x14ac:dyDescent="0.3">
      <c r="A17" s="13" t="s">
        <v>60</v>
      </c>
      <c r="B17" s="13"/>
      <c r="C17" s="4">
        <v>4000000</v>
      </c>
    </row>
    <row r="18" spans="1:3" x14ac:dyDescent="0.3">
      <c r="A18" s="13" t="s">
        <v>61</v>
      </c>
      <c r="B18" s="13"/>
      <c r="C18" s="4">
        <v>400000</v>
      </c>
    </row>
    <row r="19" spans="1:3" x14ac:dyDescent="0.3">
      <c r="A19" s="13" t="s">
        <v>62</v>
      </c>
      <c r="B19" s="13"/>
      <c r="C19" s="4">
        <v>6040000</v>
      </c>
    </row>
    <row r="20" spans="1:3" x14ac:dyDescent="0.3">
      <c r="A20" s="13" t="s">
        <v>63</v>
      </c>
      <c r="B20" s="13"/>
      <c r="C20" s="4">
        <v>5080000</v>
      </c>
    </row>
    <row r="21" spans="1:3" x14ac:dyDescent="0.3">
      <c r="A21" s="13" t="s">
        <v>64</v>
      </c>
      <c r="B21" s="13"/>
      <c r="C21" s="4"/>
    </row>
    <row r="22" spans="1:3" x14ac:dyDescent="0.3">
      <c r="A22" s="13" t="s">
        <v>65</v>
      </c>
      <c r="B22" s="13"/>
      <c r="C22" s="4">
        <v>2044000</v>
      </c>
    </row>
    <row r="23" spans="1:3" x14ac:dyDescent="0.3">
      <c r="A23" s="13" t="s">
        <v>66</v>
      </c>
      <c r="B23" s="13"/>
      <c r="C23" s="4">
        <v>1190000</v>
      </c>
    </row>
    <row r="24" spans="1:3" x14ac:dyDescent="0.3">
      <c r="A24" s="13" t="s">
        <v>67</v>
      </c>
      <c r="B24" s="13"/>
      <c r="C24" s="4">
        <v>2038058</v>
      </c>
    </row>
    <row r="25" spans="1:3" x14ac:dyDescent="0.3">
      <c r="A25" s="13" t="s">
        <v>68</v>
      </c>
      <c r="B25" s="13"/>
      <c r="C25" s="4">
        <v>2080000</v>
      </c>
    </row>
    <row r="26" spans="1:3" x14ac:dyDescent="0.3">
      <c r="A26" s="13" t="s">
        <v>69</v>
      </c>
      <c r="B26" s="13"/>
      <c r="C26" s="4">
        <v>1018000</v>
      </c>
    </row>
    <row r="27" spans="1:3" x14ac:dyDescent="0.3">
      <c r="A27" s="13" t="s">
        <v>70</v>
      </c>
      <c r="B27" s="13"/>
      <c r="C27" s="4">
        <v>2080000</v>
      </c>
    </row>
  </sheetData>
  <mergeCells count="26">
    <mergeCell ref="A7:B7"/>
    <mergeCell ref="C1:C2"/>
    <mergeCell ref="A3:B3"/>
    <mergeCell ref="A4:B4"/>
    <mergeCell ref="A5:B5"/>
    <mergeCell ref="A6:B6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6:B26"/>
    <mergeCell ref="A27:B27"/>
    <mergeCell ref="A20:B20"/>
    <mergeCell ref="A21:B21"/>
    <mergeCell ref="A22:B22"/>
    <mergeCell ref="A23:B23"/>
    <mergeCell ref="A24:B24"/>
    <mergeCell ref="A25:B25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C7844-528C-4840-89C9-746304CC7930}">
  <dimension ref="A1:C101"/>
  <sheetViews>
    <sheetView zoomScale="85" zoomScaleNormal="85" workbookViewId="0">
      <selection activeCell="C51" sqref="C51"/>
    </sheetView>
  </sheetViews>
  <sheetFormatPr defaultRowHeight="16.5" x14ac:dyDescent="0.3"/>
  <cols>
    <col min="1" max="4" width="9" style="2"/>
    <col min="5" max="5" width="9.5" style="2" bestFit="1" customWidth="1"/>
    <col min="6" max="16384" width="9" style="2"/>
  </cols>
  <sheetData>
    <row r="1" spans="1:3" x14ac:dyDescent="0.3">
      <c r="A1" s="5" t="s">
        <v>0</v>
      </c>
      <c r="B1" s="1" t="s">
        <v>1</v>
      </c>
      <c r="C1" s="14">
        <v>2023</v>
      </c>
    </row>
    <row r="2" spans="1:3" x14ac:dyDescent="0.3">
      <c r="A2" s="3" t="s">
        <v>46</v>
      </c>
      <c r="B2" s="3" t="s">
        <v>0</v>
      </c>
      <c r="C2" s="14" t="s">
        <v>71</v>
      </c>
    </row>
    <row r="3" spans="1:3" x14ac:dyDescent="0.3">
      <c r="A3" s="13" t="s">
        <v>4</v>
      </c>
      <c r="B3" s="13"/>
      <c r="C3" s="4">
        <v>34174802</v>
      </c>
    </row>
    <row r="4" spans="1:3" x14ac:dyDescent="0.3">
      <c r="A4" s="13" t="s">
        <v>72</v>
      </c>
      <c r="B4" s="13"/>
      <c r="C4" s="4">
        <v>616529</v>
      </c>
    </row>
    <row r="5" spans="1:3" x14ac:dyDescent="0.3">
      <c r="A5" s="13" t="s">
        <v>73</v>
      </c>
      <c r="B5" s="13"/>
      <c r="C5" s="4">
        <v>40000</v>
      </c>
    </row>
    <row r="6" spans="1:3" x14ac:dyDescent="0.3">
      <c r="A6" s="13" t="s">
        <v>74</v>
      </c>
      <c r="B6" s="13"/>
      <c r="C6" s="4">
        <v>0</v>
      </c>
    </row>
    <row r="7" spans="1:3" x14ac:dyDescent="0.3">
      <c r="A7" s="13" t="s">
        <v>75</v>
      </c>
      <c r="B7" s="13"/>
      <c r="C7" s="4">
        <v>18500</v>
      </c>
    </row>
    <row r="8" spans="1:3" x14ac:dyDescent="0.3">
      <c r="A8" s="13" t="s">
        <v>76</v>
      </c>
      <c r="B8" s="13"/>
      <c r="C8" s="4">
        <v>3400</v>
      </c>
    </row>
    <row r="9" spans="1:3" x14ac:dyDescent="0.3">
      <c r="A9" s="13" t="s">
        <v>77</v>
      </c>
      <c r="B9" s="13"/>
      <c r="C9" s="4">
        <v>4000</v>
      </c>
    </row>
    <row r="10" spans="1:3" x14ac:dyDescent="0.3">
      <c r="A10" s="13" t="s">
        <v>78</v>
      </c>
      <c r="B10" s="13"/>
      <c r="C10" s="4">
        <v>5500</v>
      </c>
    </row>
    <row r="11" spans="1:3" x14ac:dyDescent="0.3">
      <c r="A11" s="13" t="s">
        <v>55</v>
      </c>
      <c r="B11" s="13"/>
      <c r="C11" s="4"/>
    </row>
    <row r="12" spans="1:3" x14ac:dyDescent="0.3">
      <c r="A12" s="13" t="s">
        <v>79</v>
      </c>
      <c r="B12" s="13"/>
      <c r="C12" s="4">
        <v>4500</v>
      </c>
    </row>
    <row r="13" spans="1:3" x14ac:dyDescent="0.3">
      <c r="A13" s="13" t="s">
        <v>80</v>
      </c>
      <c r="B13" s="13"/>
      <c r="C13" s="4">
        <v>2900</v>
      </c>
    </row>
    <row r="14" spans="1:3" x14ac:dyDescent="0.3">
      <c r="A14" s="13" t="s">
        <v>81</v>
      </c>
      <c r="B14" s="13"/>
      <c r="C14" s="4">
        <v>2850</v>
      </c>
    </row>
    <row r="15" spans="1:3" x14ac:dyDescent="0.3">
      <c r="A15" s="13" t="s">
        <v>82</v>
      </c>
      <c r="B15" s="13"/>
      <c r="C15" s="4">
        <v>105000</v>
      </c>
    </row>
    <row r="16" spans="1:3" x14ac:dyDescent="0.3">
      <c r="A16" s="13" t="s">
        <v>83</v>
      </c>
      <c r="B16" s="13"/>
      <c r="C16" s="4">
        <v>15000</v>
      </c>
    </row>
    <row r="17" spans="1:3" x14ac:dyDescent="0.3">
      <c r="A17" s="13" t="s">
        <v>84</v>
      </c>
      <c r="B17" s="13"/>
      <c r="C17" s="4">
        <v>3550</v>
      </c>
    </row>
    <row r="18" spans="1:3" x14ac:dyDescent="0.3">
      <c r="A18" s="13" t="s">
        <v>85</v>
      </c>
      <c r="B18" s="13"/>
      <c r="C18" s="4">
        <v>2400</v>
      </c>
    </row>
    <row r="19" spans="1:3" x14ac:dyDescent="0.3">
      <c r="A19" s="13" t="s">
        <v>86</v>
      </c>
      <c r="B19" s="13"/>
      <c r="C19" s="4">
        <v>7700</v>
      </c>
    </row>
    <row r="20" spans="1:3" x14ac:dyDescent="0.3">
      <c r="A20" s="13" t="s">
        <v>87</v>
      </c>
      <c r="B20" s="13"/>
      <c r="C20" s="4">
        <v>1650</v>
      </c>
    </row>
    <row r="21" spans="1:3" x14ac:dyDescent="0.3">
      <c r="A21" s="13" t="s">
        <v>88</v>
      </c>
      <c r="B21" s="13"/>
      <c r="C21" s="4">
        <v>2350</v>
      </c>
    </row>
    <row r="22" spans="1:3" x14ac:dyDescent="0.3">
      <c r="A22" s="13" t="s">
        <v>89</v>
      </c>
      <c r="B22" s="13"/>
      <c r="C22" s="4">
        <v>240</v>
      </c>
    </row>
    <row r="23" spans="1:3" x14ac:dyDescent="0.3">
      <c r="A23" s="13" t="s">
        <v>90</v>
      </c>
      <c r="B23" s="13"/>
      <c r="C23" s="4">
        <v>390</v>
      </c>
    </row>
    <row r="24" spans="1:3" x14ac:dyDescent="0.3">
      <c r="A24" s="13" t="s">
        <v>91</v>
      </c>
      <c r="B24" s="13"/>
      <c r="C24" s="4">
        <v>240</v>
      </c>
    </row>
    <row r="25" spans="1:3" x14ac:dyDescent="0.3">
      <c r="A25" s="13" t="s">
        <v>92</v>
      </c>
      <c r="B25" s="13"/>
      <c r="C25" s="4">
        <v>450</v>
      </c>
    </row>
    <row r="26" spans="1:3" x14ac:dyDescent="0.3">
      <c r="A26" s="13" t="s">
        <v>93</v>
      </c>
      <c r="B26" s="13"/>
      <c r="C26" s="4"/>
    </row>
    <row r="27" spans="1:3" x14ac:dyDescent="0.3">
      <c r="A27" s="13" t="s">
        <v>94</v>
      </c>
      <c r="B27" s="13"/>
      <c r="C27" s="4">
        <v>450</v>
      </c>
    </row>
    <row r="28" spans="1:3" x14ac:dyDescent="0.3">
      <c r="A28" s="13" t="s">
        <v>95</v>
      </c>
      <c r="B28" s="13"/>
      <c r="C28" s="4">
        <v>600</v>
      </c>
    </row>
    <row r="29" spans="1:3" x14ac:dyDescent="0.3">
      <c r="A29" s="13" t="s">
        <v>96</v>
      </c>
      <c r="B29" s="13"/>
      <c r="C29" s="4">
        <v>1250</v>
      </c>
    </row>
    <row r="30" spans="1:3" x14ac:dyDescent="0.3">
      <c r="A30" s="13" t="s">
        <v>97</v>
      </c>
      <c r="B30" s="13"/>
      <c r="C30" s="4"/>
    </row>
    <row r="31" spans="1:3" x14ac:dyDescent="0.3">
      <c r="A31" s="13" t="s">
        <v>98</v>
      </c>
      <c r="B31" s="13"/>
      <c r="C31" s="4">
        <v>1500</v>
      </c>
    </row>
    <row r="32" spans="1:3" x14ac:dyDescent="0.3">
      <c r="A32" s="13" t="s">
        <v>99</v>
      </c>
      <c r="B32" s="13"/>
      <c r="C32" s="4">
        <v>750</v>
      </c>
    </row>
    <row r="33" spans="1:3" x14ac:dyDescent="0.3">
      <c r="A33" s="13" t="s">
        <v>100</v>
      </c>
      <c r="B33" s="13"/>
      <c r="C33" s="4">
        <v>1600</v>
      </c>
    </row>
    <row r="34" spans="1:3" x14ac:dyDescent="0.3">
      <c r="A34" s="13" t="s">
        <v>101</v>
      </c>
      <c r="B34" s="13"/>
      <c r="C34" s="4"/>
    </row>
    <row r="35" spans="1:3" x14ac:dyDescent="0.3">
      <c r="A35" s="13" t="s">
        <v>102</v>
      </c>
      <c r="B35" s="13"/>
      <c r="C35" s="4">
        <v>1950</v>
      </c>
    </row>
    <row r="36" spans="1:3" x14ac:dyDescent="0.3">
      <c r="A36" s="13" t="s">
        <v>103</v>
      </c>
      <c r="B36" s="13"/>
      <c r="C36" s="4">
        <v>450</v>
      </c>
    </row>
    <row r="37" spans="1:3" x14ac:dyDescent="0.3">
      <c r="A37" s="13" t="s">
        <v>104</v>
      </c>
      <c r="B37" s="13"/>
      <c r="C37" s="4">
        <v>240</v>
      </c>
    </row>
    <row r="38" spans="1:3" x14ac:dyDescent="0.3">
      <c r="A38" s="13" t="s">
        <v>105</v>
      </c>
      <c r="B38" s="13"/>
      <c r="C38" s="4">
        <v>1800</v>
      </c>
    </row>
    <row r="39" spans="1:3" x14ac:dyDescent="0.3">
      <c r="A39" s="13" t="s">
        <v>106</v>
      </c>
      <c r="B39" s="13"/>
      <c r="C39" s="4">
        <v>450</v>
      </c>
    </row>
    <row r="40" spans="1:3" x14ac:dyDescent="0.3">
      <c r="A40" s="13" t="s">
        <v>107</v>
      </c>
      <c r="B40" s="13"/>
      <c r="C40" s="4">
        <v>280</v>
      </c>
    </row>
    <row r="41" spans="1:3" x14ac:dyDescent="0.3">
      <c r="A41" s="17" t="s">
        <v>108</v>
      </c>
      <c r="B41" s="13"/>
      <c r="C41" s="4">
        <v>450</v>
      </c>
    </row>
    <row r="42" spans="1:3" x14ac:dyDescent="0.3">
      <c r="A42" s="13" t="s">
        <v>109</v>
      </c>
      <c r="B42" s="13"/>
      <c r="C42" s="4">
        <v>160</v>
      </c>
    </row>
    <row r="43" spans="1:3" x14ac:dyDescent="0.3">
      <c r="A43" s="13" t="s">
        <v>110</v>
      </c>
      <c r="B43" s="13"/>
      <c r="C43" s="4">
        <v>160</v>
      </c>
    </row>
    <row r="44" spans="1:3" x14ac:dyDescent="0.3">
      <c r="A44" s="13" t="s">
        <v>111</v>
      </c>
      <c r="B44" s="13"/>
      <c r="C44" s="4">
        <v>450</v>
      </c>
    </row>
    <row r="45" spans="1:3" x14ac:dyDescent="0.3">
      <c r="A45" s="13" t="s">
        <v>112</v>
      </c>
      <c r="B45" s="13"/>
      <c r="C45" s="4">
        <v>400</v>
      </c>
    </row>
    <row r="46" spans="1:3" x14ac:dyDescent="0.3">
      <c r="A46" s="13" t="s">
        <v>113</v>
      </c>
      <c r="B46" s="13"/>
      <c r="C46" s="4">
        <v>240</v>
      </c>
    </row>
    <row r="47" spans="1:3" x14ac:dyDescent="0.3">
      <c r="A47" s="13" t="s">
        <v>114</v>
      </c>
      <c r="B47" s="13"/>
      <c r="C47" s="4">
        <v>160</v>
      </c>
    </row>
    <row r="48" spans="1:3" x14ac:dyDescent="0.3">
      <c r="A48" s="13" t="s">
        <v>115</v>
      </c>
      <c r="B48" s="13"/>
      <c r="C48" s="4">
        <v>160</v>
      </c>
    </row>
    <row r="49" spans="1:3" x14ac:dyDescent="0.3">
      <c r="A49" s="13" t="s">
        <v>116</v>
      </c>
      <c r="B49" s="13"/>
      <c r="C49" s="4">
        <v>600</v>
      </c>
    </row>
    <row r="50" spans="1:3" x14ac:dyDescent="0.3">
      <c r="A50" s="13" t="s">
        <v>117</v>
      </c>
      <c r="B50" s="13"/>
      <c r="C50" s="4"/>
    </row>
    <row r="51" spans="1:3" x14ac:dyDescent="0.3">
      <c r="A51" s="13" t="s">
        <v>118</v>
      </c>
      <c r="B51" s="13"/>
      <c r="C51" s="4">
        <v>750</v>
      </c>
    </row>
    <row r="52" spans="1:3" x14ac:dyDescent="0.3">
      <c r="A52" s="13" t="s">
        <v>119</v>
      </c>
      <c r="B52" s="13"/>
      <c r="C52" s="4">
        <v>300</v>
      </c>
    </row>
    <row r="53" spans="1:3" x14ac:dyDescent="0.3">
      <c r="A53" s="13" t="s">
        <v>120</v>
      </c>
      <c r="B53" s="13"/>
      <c r="C53" s="4">
        <v>240</v>
      </c>
    </row>
    <row r="54" spans="1:3" x14ac:dyDescent="0.3">
      <c r="A54" s="13" t="s">
        <v>121</v>
      </c>
      <c r="B54" s="13"/>
      <c r="C54" s="4">
        <v>240</v>
      </c>
    </row>
    <row r="55" spans="1:3" x14ac:dyDescent="0.3">
      <c r="A55" s="13" t="s">
        <v>122</v>
      </c>
      <c r="B55" s="13"/>
      <c r="C55" s="4">
        <v>750</v>
      </c>
    </row>
    <row r="56" spans="1:3" x14ac:dyDescent="0.3">
      <c r="A56" s="13" t="s">
        <v>123</v>
      </c>
      <c r="B56" s="13"/>
      <c r="C56" s="4">
        <v>300</v>
      </c>
    </row>
    <row r="57" spans="1:3" x14ac:dyDescent="0.3">
      <c r="A57" s="13" t="s">
        <v>124</v>
      </c>
      <c r="B57" s="13"/>
      <c r="C57" s="4">
        <v>240</v>
      </c>
    </row>
    <row r="58" spans="1:3" x14ac:dyDescent="0.3">
      <c r="A58" s="13" t="s">
        <v>125</v>
      </c>
      <c r="B58" s="13"/>
      <c r="C58" s="4">
        <v>240</v>
      </c>
    </row>
    <row r="59" spans="1:3" x14ac:dyDescent="0.3">
      <c r="A59" s="13" t="s">
        <v>126</v>
      </c>
      <c r="B59" s="13"/>
      <c r="C59" s="4">
        <v>300</v>
      </c>
    </row>
    <row r="60" spans="1:3" x14ac:dyDescent="0.3">
      <c r="A60" s="13" t="s">
        <v>127</v>
      </c>
      <c r="B60" s="13"/>
      <c r="C60" s="4">
        <v>240</v>
      </c>
    </row>
    <row r="61" spans="1:3" x14ac:dyDescent="0.3">
      <c r="A61" s="13" t="s">
        <v>128</v>
      </c>
      <c r="B61" s="13"/>
      <c r="C61" s="4">
        <v>240</v>
      </c>
    </row>
    <row r="62" spans="1:3" x14ac:dyDescent="0.3">
      <c r="A62" s="13" t="s">
        <v>129</v>
      </c>
      <c r="B62" s="13"/>
      <c r="C62" s="4">
        <v>750</v>
      </c>
    </row>
    <row r="63" spans="1:3" x14ac:dyDescent="0.3">
      <c r="A63" s="13" t="s">
        <v>130</v>
      </c>
      <c r="B63" s="13"/>
      <c r="C63" s="4">
        <v>240</v>
      </c>
    </row>
    <row r="64" spans="1:3" x14ac:dyDescent="0.3">
      <c r="A64" s="13" t="s">
        <v>131</v>
      </c>
      <c r="B64" s="13"/>
      <c r="C64" s="4">
        <v>240</v>
      </c>
    </row>
    <row r="65" spans="1:3" x14ac:dyDescent="0.3">
      <c r="A65" s="13" t="s">
        <v>132</v>
      </c>
      <c r="B65" s="13"/>
      <c r="C65" s="4">
        <v>600</v>
      </c>
    </row>
    <row r="66" spans="1:3" x14ac:dyDescent="0.3">
      <c r="A66" s="13" t="s">
        <v>133</v>
      </c>
      <c r="B66" s="13"/>
      <c r="C66" s="4">
        <v>220</v>
      </c>
    </row>
    <row r="67" spans="1:3" x14ac:dyDescent="0.3">
      <c r="A67" s="13" t="s">
        <v>134</v>
      </c>
      <c r="B67" s="13"/>
      <c r="C67" s="4">
        <v>240</v>
      </c>
    </row>
    <row r="68" spans="1:3" x14ac:dyDescent="0.3">
      <c r="A68" s="13" t="s">
        <v>135</v>
      </c>
      <c r="B68" s="13"/>
      <c r="C68" s="4">
        <v>700</v>
      </c>
    </row>
    <row r="69" spans="1:3" x14ac:dyDescent="0.3">
      <c r="A69" s="13" t="s">
        <v>136</v>
      </c>
      <c r="B69" s="13"/>
      <c r="C69" s="4">
        <v>228734</v>
      </c>
    </row>
    <row r="70" spans="1:3" x14ac:dyDescent="0.3">
      <c r="A70" s="13" t="s">
        <v>137</v>
      </c>
      <c r="B70" s="13"/>
      <c r="C70" s="4">
        <v>146245</v>
      </c>
    </row>
    <row r="71" spans="1:3" x14ac:dyDescent="0.3">
      <c r="A71" s="13" t="s">
        <v>138</v>
      </c>
      <c r="B71" s="13"/>
      <c r="C71" s="4">
        <v>33558273</v>
      </c>
    </row>
    <row r="72" spans="1:3" x14ac:dyDescent="0.3">
      <c r="A72" s="13" t="s">
        <v>139</v>
      </c>
      <c r="B72" s="13"/>
      <c r="C72" s="4">
        <v>2071900</v>
      </c>
    </row>
    <row r="73" spans="1:3" x14ac:dyDescent="0.3">
      <c r="A73" s="13" t="s">
        <v>140</v>
      </c>
      <c r="B73" s="13"/>
      <c r="C73" s="4">
        <v>1800000</v>
      </c>
    </row>
    <row r="74" spans="1:3" x14ac:dyDescent="0.3">
      <c r="A74" s="13" t="s">
        <v>141</v>
      </c>
      <c r="B74" s="13"/>
      <c r="C74" s="4">
        <v>1800000</v>
      </c>
    </row>
    <row r="75" spans="1:3" x14ac:dyDescent="0.3">
      <c r="A75" s="13" t="s">
        <v>142</v>
      </c>
      <c r="B75" s="13"/>
      <c r="C75" s="4"/>
    </row>
    <row r="76" spans="1:3" x14ac:dyDescent="0.3">
      <c r="A76" s="13" t="s">
        <v>143</v>
      </c>
      <c r="B76" s="13"/>
      <c r="C76" s="4">
        <v>922064</v>
      </c>
    </row>
    <row r="77" spans="1:3" x14ac:dyDescent="0.3">
      <c r="A77" s="13" t="s">
        <v>144</v>
      </c>
      <c r="B77" s="13"/>
      <c r="C77" s="4">
        <v>868500</v>
      </c>
    </row>
    <row r="78" spans="1:3" x14ac:dyDescent="0.3">
      <c r="A78" s="13" t="s">
        <v>145</v>
      </c>
      <c r="B78" s="13"/>
      <c r="C78" s="4"/>
    </row>
    <row r="79" spans="1:3" x14ac:dyDescent="0.3">
      <c r="A79" s="13" t="s">
        <v>146</v>
      </c>
      <c r="B79" s="13"/>
      <c r="C79" s="4">
        <v>900000</v>
      </c>
    </row>
    <row r="80" spans="1:3" x14ac:dyDescent="0.3">
      <c r="A80" s="17" t="s">
        <v>147</v>
      </c>
      <c r="B80" s="13"/>
      <c r="C80" s="4">
        <v>3176000</v>
      </c>
    </row>
    <row r="81" spans="1:3" x14ac:dyDescent="0.3">
      <c r="A81" s="13" t="s">
        <v>148</v>
      </c>
      <c r="B81" s="13"/>
      <c r="C81" s="4">
        <v>1350000</v>
      </c>
    </row>
    <row r="82" spans="1:3" x14ac:dyDescent="0.3">
      <c r="A82" s="13" t="s">
        <v>149</v>
      </c>
      <c r="B82" s="13"/>
      <c r="C82" s="4">
        <v>2261750</v>
      </c>
    </row>
    <row r="83" spans="1:3" x14ac:dyDescent="0.3">
      <c r="A83" s="13" t="s">
        <v>150</v>
      </c>
      <c r="B83" s="13"/>
      <c r="C83" s="4">
        <v>1800000</v>
      </c>
    </row>
    <row r="84" spans="1:3" x14ac:dyDescent="0.3">
      <c r="A84" s="13" t="s">
        <v>151</v>
      </c>
      <c r="B84" s="13"/>
      <c r="C84" s="4">
        <v>1389700</v>
      </c>
    </row>
    <row r="85" spans="1:3" x14ac:dyDescent="0.3">
      <c r="A85" s="13" t="s">
        <v>152</v>
      </c>
      <c r="B85" s="13"/>
      <c r="C85" s="4">
        <v>1462447</v>
      </c>
    </row>
    <row r="86" spans="1:3" x14ac:dyDescent="0.3">
      <c r="A86" s="13" t="s">
        <v>153</v>
      </c>
      <c r="B86" s="13"/>
      <c r="C86" s="4">
        <v>989200</v>
      </c>
    </row>
    <row r="87" spans="1:3" x14ac:dyDescent="0.3">
      <c r="A87" s="13" t="s">
        <v>154</v>
      </c>
      <c r="B87" s="13"/>
      <c r="C87" s="4">
        <v>465800</v>
      </c>
    </row>
    <row r="88" spans="1:3" x14ac:dyDescent="0.3">
      <c r="A88" s="13" t="s">
        <v>155</v>
      </c>
      <c r="B88" s="13"/>
      <c r="C88" s="4">
        <v>718400</v>
      </c>
    </row>
    <row r="89" spans="1:3" x14ac:dyDescent="0.3">
      <c r="A89" s="13" t="s">
        <v>156</v>
      </c>
      <c r="B89" s="13"/>
      <c r="C89" s="4">
        <v>848000</v>
      </c>
    </row>
    <row r="90" spans="1:3" x14ac:dyDescent="0.3">
      <c r="A90" s="13" t="s">
        <v>157</v>
      </c>
      <c r="B90" s="13"/>
      <c r="C90" s="4">
        <v>769830</v>
      </c>
    </row>
    <row r="91" spans="1:3" x14ac:dyDescent="0.3">
      <c r="A91" s="13" t="s">
        <v>158</v>
      </c>
      <c r="B91" s="13"/>
      <c r="C91" s="4">
        <v>361600</v>
      </c>
    </row>
    <row r="92" spans="1:3" x14ac:dyDescent="0.3">
      <c r="A92" s="13" t="s">
        <v>159</v>
      </c>
      <c r="B92" s="13"/>
      <c r="C92" s="4">
        <v>1450000</v>
      </c>
    </row>
    <row r="93" spans="1:3" x14ac:dyDescent="0.3">
      <c r="A93" s="13" t="s">
        <v>160</v>
      </c>
      <c r="B93" s="13"/>
      <c r="C93" s="4">
        <v>751200</v>
      </c>
    </row>
    <row r="94" spans="1:3" x14ac:dyDescent="0.3">
      <c r="A94" s="13" t="s">
        <v>161</v>
      </c>
      <c r="B94" s="13"/>
      <c r="C94" s="4">
        <v>1716800</v>
      </c>
    </row>
    <row r="95" spans="1:3" x14ac:dyDescent="0.3">
      <c r="A95" s="13" t="s">
        <v>162</v>
      </c>
      <c r="B95" s="13"/>
      <c r="C95" s="4">
        <v>1695200</v>
      </c>
    </row>
    <row r="96" spans="1:3" x14ac:dyDescent="0.3">
      <c r="A96" s="13" t="s">
        <v>163</v>
      </c>
      <c r="B96" s="13"/>
      <c r="C96" s="4">
        <v>874200</v>
      </c>
    </row>
    <row r="97" spans="1:3" x14ac:dyDescent="0.3">
      <c r="A97" s="13" t="s">
        <v>164</v>
      </c>
      <c r="B97" s="13"/>
      <c r="C97" s="4">
        <v>45836</v>
      </c>
    </row>
    <row r="98" spans="1:3" x14ac:dyDescent="0.3">
      <c r="A98" s="13" t="s">
        <v>165</v>
      </c>
      <c r="B98" s="13"/>
      <c r="C98" s="4">
        <v>442800</v>
      </c>
    </row>
    <row r="99" spans="1:3" x14ac:dyDescent="0.3">
      <c r="A99" s="13" t="s">
        <v>166</v>
      </c>
      <c r="B99" s="13"/>
      <c r="C99" s="4">
        <v>738346</v>
      </c>
    </row>
    <row r="100" spans="1:3" x14ac:dyDescent="0.3">
      <c r="A100" s="13" t="s">
        <v>167</v>
      </c>
      <c r="B100" s="13"/>
      <c r="C100" s="4">
        <v>863300</v>
      </c>
    </row>
    <row r="101" spans="1:3" x14ac:dyDescent="0.3">
      <c r="A101" s="16" t="s">
        <v>168</v>
      </c>
      <c r="B101" s="13"/>
      <c r="C101" s="4">
        <v>1025400</v>
      </c>
    </row>
  </sheetData>
  <mergeCells count="100">
    <mergeCell ref="A7:B7"/>
    <mergeCell ref="C1:C2"/>
    <mergeCell ref="A3:B3"/>
    <mergeCell ref="A4:B4"/>
    <mergeCell ref="A5:B5"/>
    <mergeCell ref="A6:B6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31:B31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43:B43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55:B55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67:B67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79:B79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91:B91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8:B98"/>
    <mergeCell ref="A99:B99"/>
    <mergeCell ref="A100:B100"/>
    <mergeCell ref="A101:B101"/>
    <mergeCell ref="A92:B92"/>
    <mergeCell ref="A93:B93"/>
    <mergeCell ref="A94:B94"/>
    <mergeCell ref="A95:B95"/>
    <mergeCell ref="A96:B96"/>
    <mergeCell ref="A97:B97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C545C-ED35-4BCB-916B-1045C6C76031}">
  <dimension ref="A1:C35"/>
  <sheetViews>
    <sheetView workbookViewId="0">
      <selection activeCell="C51" sqref="C51"/>
    </sheetView>
  </sheetViews>
  <sheetFormatPr defaultRowHeight="16.5" x14ac:dyDescent="0.3"/>
  <cols>
    <col min="1" max="16384" width="9" style="2"/>
  </cols>
  <sheetData>
    <row r="1" spans="1:3" x14ac:dyDescent="0.3">
      <c r="A1" s="5" t="s">
        <v>0</v>
      </c>
      <c r="B1" s="1" t="s">
        <v>1</v>
      </c>
      <c r="C1" s="14">
        <v>2023</v>
      </c>
    </row>
    <row r="2" spans="1:3" x14ac:dyDescent="0.3">
      <c r="A2" s="3" t="s">
        <v>46</v>
      </c>
      <c r="B2" s="3" t="s">
        <v>0</v>
      </c>
      <c r="C2" s="14" t="s">
        <v>2</v>
      </c>
    </row>
    <row r="3" spans="1:3" x14ac:dyDescent="0.3">
      <c r="A3" s="13" t="s">
        <v>4</v>
      </c>
      <c r="B3" s="13"/>
      <c r="C3" s="4">
        <v>24650000</v>
      </c>
    </row>
    <row r="4" spans="1:3" x14ac:dyDescent="0.3">
      <c r="A4" s="13" t="s">
        <v>722</v>
      </c>
      <c r="B4" s="13"/>
      <c r="C4" s="4">
        <v>7350000</v>
      </c>
    </row>
    <row r="5" spans="1:3" x14ac:dyDescent="0.3">
      <c r="A5" s="13" t="s">
        <v>723</v>
      </c>
      <c r="B5" s="13"/>
      <c r="C5" s="4">
        <v>0</v>
      </c>
    </row>
    <row r="6" spans="1:3" x14ac:dyDescent="0.3">
      <c r="A6" s="13" t="s">
        <v>724</v>
      </c>
      <c r="B6" s="13"/>
      <c r="C6" s="4">
        <v>650000</v>
      </c>
    </row>
    <row r="7" spans="1:3" x14ac:dyDescent="0.3">
      <c r="A7" s="13" t="s">
        <v>725</v>
      </c>
      <c r="B7" s="13"/>
      <c r="C7" s="4">
        <v>950000</v>
      </c>
    </row>
    <row r="8" spans="1:3" x14ac:dyDescent="0.3">
      <c r="A8" s="13" t="s">
        <v>726</v>
      </c>
      <c r="B8" s="13"/>
      <c r="C8" s="4">
        <v>950000</v>
      </c>
    </row>
    <row r="9" spans="1:3" x14ac:dyDescent="0.3">
      <c r="A9" s="13" t="s">
        <v>727</v>
      </c>
      <c r="B9" s="13"/>
      <c r="C9" s="4">
        <v>1000000</v>
      </c>
    </row>
    <row r="10" spans="1:3" x14ac:dyDescent="0.3">
      <c r="A10" s="13" t="s">
        <v>728</v>
      </c>
      <c r="B10" s="13"/>
      <c r="C10" s="4">
        <v>1000000</v>
      </c>
    </row>
    <row r="11" spans="1:3" x14ac:dyDescent="0.3">
      <c r="A11" s="13" t="s">
        <v>729</v>
      </c>
      <c r="B11" s="13"/>
      <c r="C11" s="4">
        <v>1400000</v>
      </c>
    </row>
    <row r="12" spans="1:3" x14ac:dyDescent="0.3">
      <c r="A12" s="13" t="s">
        <v>730</v>
      </c>
      <c r="B12" s="13"/>
      <c r="C12" s="4">
        <v>1400000</v>
      </c>
    </row>
    <row r="13" spans="1:3" x14ac:dyDescent="0.3">
      <c r="A13" s="13" t="s">
        <v>731</v>
      </c>
      <c r="B13" s="13"/>
      <c r="C13" s="4">
        <v>4100000</v>
      </c>
    </row>
    <row r="14" spans="1:3" x14ac:dyDescent="0.3">
      <c r="A14" s="13" t="s">
        <v>732</v>
      </c>
      <c r="B14" s="13"/>
      <c r="C14" s="4">
        <v>0</v>
      </c>
    </row>
    <row r="15" spans="1:3" x14ac:dyDescent="0.3">
      <c r="A15" s="13" t="s">
        <v>733</v>
      </c>
      <c r="B15" s="13"/>
      <c r="C15" s="4">
        <v>700000</v>
      </c>
    </row>
    <row r="16" spans="1:3" x14ac:dyDescent="0.3">
      <c r="A16" s="13" t="s">
        <v>734</v>
      </c>
      <c r="B16" s="13"/>
      <c r="C16" s="4">
        <v>700000</v>
      </c>
    </row>
    <row r="17" spans="1:3" x14ac:dyDescent="0.3">
      <c r="A17" s="13" t="s">
        <v>735</v>
      </c>
      <c r="B17" s="13"/>
      <c r="C17" s="4">
        <v>700000</v>
      </c>
    </row>
    <row r="18" spans="1:3" x14ac:dyDescent="0.3">
      <c r="A18" s="13" t="s">
        <v>736</v>
      </c>
      <c r="B18" s="13"/>
      <c r="C18" s="4">
        <v>1000000</v>
      </c>
    </row>
    <row r="19" spans="1:3" x14ac:dyDescent="0.3">
      <c r="A19" s="13" t="s">
        <v>737</v>
      </c>
      <c r="B19" s="13"/>
      <c r="C19" s="4">
        <v>1000000</v>
      </c>
    </row>
    <row r="20" spans="1:3" x14ac:dyDescent="0.3">
      <c r="A20" s="13" t="s">
        <v>738</v>
      </c>
      <c r="B20" s="13"/>
      <c r="C20" s="4">
        <v>5900000</v>
      </c>
    </row>
    <row r="21" spans="1:3" x14ac:dyDescent="0.3">
      <c r="A21" s="13" t="s">
        <v>739</v>
      </c>
      <c r="B21" s="13"/>
      <c r="C21" s="4">
        <v>950000</v>
      </c>
    </row>
    <row r="22" spans="1:3" x14ac:dyDescent="0.3">
      <c r="A22" s="13" t="s">
        <v>740</v>
      </c>
      <c r="B22" s="13"/>
      <c r="C22" s="4">
        <v>950000</v>
      </c>
    </row>
    <row r="23" spans="1:3" x14ac:dyDescent="0.3">
      <c r="A23" s="13" t="s">
        <v>741</v>
      </c>
      <c r="B23" s="13"/>
      <c r="C23" s="4">
        <v>1000000</v>
      </c>
    </row>
    <row r="24" spans="1:3" x14ac:dyDescent="0.3">
      <c r="A24" s="13" t="s">
        <v>742</v>
      </c>
      <c r="B24" s="13"/>
      <c r="C24" s="4">
        <v>1000000</v>
      </c>
    </row>
    <row r="25" spans="1:3" x14ac:dyDescent="0.3">
      <c r="A25" s="13" t="s">
        <v>743</v>
      </c>
      <c r="B25" s="13"/>
      <c r="C25" s="4">
        <v>1000000</v>
      </c>
    </row>
    <row r="26" spans="1:3" x14ac:dyDescent="0.3">
      <c r="A26" s="13" t="s">
        <v>744</v>
      </c>
      <c r="B26" s="13"/>
      <c r="C26" s="4">
        <v>1000000</v>
      </c>
    </row>
    <row r="27" spans="1:3" x14ac:dyDescent="0.3">
      <c r="A27" s="13" t="s">
        <v>745</v>
      </c>
      <c r="B27" s="13"/>
      <c r="C27" s="4">
        <v>5900000</v>
      </c>
    </row>
    <row r="28" spans="1:3" x14ac:dyDescent="0.3">
      <c r="A28" s="13" t="s">
        <v>746</v>
      </c>
      <c r="B28" s="13"/>
      <c r="C28" s="4">
        <v>950000</v>
      </c>
    </row>
    <row r="29" spans="1:3" x14ac:dyDescent="0.3">
      <c r="A29" s="13" t="s">
        <v>747</v>
      </c>
      <c r="B29" s="13"/>
      <c r="C29" s="4">
        <v>950000</v>
      </c>
    </row>
    <row r="30" spans="1:3" x14ac:dyDescent="0.3">
      <c r="A30" s="13" t="s">
        <v>748</v>
      </c>
      <c r="B30" s="13"/>
      <c r="C30" s="4">
        <v>1000000</v>
      </c>
    </row>
    <row r="31" spans="1:3" x14ac:dyDescent="0.3">
      <c r="A31" s="13" t="s">
        <v>749</v>
      </c>
      <c r="B31" s="13"/>
      <c r="C31" s="4">
        <v>1000000</v>
      </c>
    </row>
    <row r="32" spans="1:3" x14ac:dyDescent="0.3">
      <c r="A32" s="13" t="s">
        <v>750</v>
      </c>
      <c r="B32" s="13"/>
      <c r="C32" s="4">
        <v>1000000</v>
      </c>
    </row>
    <row r="33" spans="1:3" x14ac:dyDescent="0.3">
      <c r="A33" s="13" t="s">
        <v>751</v>
      </c>
      <c r="B33" s="13"/>
      <c r="C33" s="4">
        <v>1000000</v>
      </c>
    </row>
    <row r="34" spans="1:3" x14ac:dyDescent="0.3">
      <c r="A34" s="13" t="s">
        <v>752</v>
      </c>
      <c r="B34" s="13"/>
      <c r="C34" s="4">
        <v>1400000</v>
      </c>
    </row>
    <row r="35" spans="1:3" x14ac:dyDescent="0.3">
      <c r="A35" s="13" t="s">
        <v>753</v>
      </c>
      <c r="B35" s="13"/>
      <c r="C35" s="4">
        <v>1400000</v>
      </c>
    </row>
  </sheetData>
  <mergeCells count="34">
    <mergeCell ref="A13:B13"/>
    <mergeCell ref="C1:C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31:B31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1B046-A811-4E67-8BB7-63C7FACB5DEB}">
  <dimension ref="A1:C30"/>
  <sheetViews>
    <sheetView zoomScale="115" zoomScaleNormal="115" workbookViewId="0">
      <selection activeCell="C51" sqref="C51"/>
    </sheetView>
  </sheetViews>
  <sheetFormatPr defaultRowHeight="16.5" x14ac:dyDescent="0.3"/>
  <cols>
    <col min="1" max="16384" width="9" style="2"/>
  </cols>
  <sheetData>
    <row r="1" spans="1:3" x14ac:dyDescent="0.3">
      <c r="A1" s="5" t="s">
        <v>0</v>
      </c>
      <c r="B1" s="1" t="s">
        <v>1</v>
      </c>
      <c r="C1" s="14">
        <v>2023</v>
      </c>
    </row>
    <row r="2" spans="1:3" x14ac:dyDescent="0.3">
      <c r="A2" s="3" t="s">
        <v>445</v>
      </c>
      <c r="B2" s="3" t="s">
        <v>0</v>
      </c>
      <c r="C2" s="14" t="s">
        <v>2</v>
      </c>
    </row>
    <row r="3" spans="1:3" x14ac:dyDescent="0.3">
      <c r="A3" s="13" t="s">
        <v>446</v>
      </c>
      <c r="B3" s="13"/>
      <c r="C3" s="4">
        <v>144381</v>
      </c>
    </row>
    <row r="4" spans="1:3" x14ac:dyDescent="0.3">
      <c r="A4" s="13" t="s">
        <v>447</v>
      </c>
      <c r="B4" s="13"/>
      <c r="C4" s="4">
        <v>144420.90800647548</v>
      </c>
    </row>
    <row r="5" spans="1:3" x14ac:dyDescent="0.3">
      <c r="A5" s="13" t="s">
        <v>448</v>
      </c>
      <c r="B5" s="13"/>
      <c r="C5" s="4">
        <v>105213</v>
      </c>
    </row>
    <row r="6" spans="1:3" x14ac:dyDescent="0.3">
      <c r="A6" s="13" t="s">
        <v>449</v>
      </c>
      <c r="B6" s="13"/>
      <c r="C6" s="4">
        <v>91556</v>
      </c>
    </row>
    <row r="7" spans="1:3" x14ac:dyDescent="0.3">
      <c r="A7" s="13" t="s">
        <v>450</v>
      </c>
      <c r="B7" s="13"/>
      <c r="C7" s="4">
        <v>13657</v>
      </c>
    </row>
    <row r="8" spans="1:3" x14ac:dyDescent="0.3">
      <c r="A8" s="13" t="s">
        <v>451</v>
      </c>
      <c r="B8" s="13"/>
      <c r="C8" s="4">
        <v>14.9</v>
      </c>
    </row>
    <row r="9" spans="1:3" x14ac:dyDescent="0.3">
      <c r="A9" s="13" t="s">
        <v>452</v>
      </c>
      <c r="B9" s="13"/>
      <c r="C9" s="4">
        <v>81240</v>
      </c>
    </row>
    <row r="10" spans="1:3" x14ac:dyDescent="0.3">
      <c r="A10" s="13" t="s">
        <v>453</v>
      </c>
      <c r="B10" s="13"/>
      <c r="C10" s="4">
        <v>588047</v>
      </c>
    </row>
    <row r="11" spans="1:3" x14ac:dyDescent="0.3">
      <c r="A11" s="13" t="s">
        <v>5</v>
      </c>
      <c r="B11" s="13"/>
      <c r="C11" s="4">
        <v>180494</v>
      </c>
    </row>
    <row r="12" spans="1:3" x14ac:dyDescent="0.3">
      <c r="A12" s="13" t="s">
        <v>442</v>
      </c>
      <c r="B12" s="13"/>
      <c r="C12" s="4">
        <v>348423</v>
      </c>
    </row>
    <row r="13" spans="1:3" x14ac:dyDescent="0.3">
      <c r="A13" s="13" t="s">
        <v>17</v>
      </c>
      <c r="B13" s="13"/>
      <c r="C13" s="4">
        <v>3784</v>
      </c>
    </row>
    <row r="14" spans="1:3" x14ac:dyDescent="0.3">
      <c r="A14" s="13" t="s">
        <v>18</v>
      </c>
      <c r="B14" s="13"/>
      <c r="C14" s="4">
        <v>54173</v>
      </c>
    </row>
    <row r="15" spans="1:3" x14ac:dyDescent="0.3">
      <c r="A15" s="13" t="s">
        <v>22</v>
      </c>
      <c r="B15" s="13"/>
      <c r="C15" s="4">
        <v>1173</v>
      </c>
    </row>
    <row r="16" spans="1:3" x14ac:dyDescent="0.3">
      <c r="A16" s="13" t="s">
        <v>454</v>
      </c>
      <c r="B16" s="13"/>
      <c r="C16" s="4"/>
    </row>
    <row r="17" spans="1:3" x14ac:dyDescent="0.3">
      <c r="A17" s="13" t="s">
        <v>176</v>
      </c>
      <c r="B17" s="13"/>
      <c r="C17" s="4">
        <v>59379</v>
      </c>
    </row>
    <row r="18" spans="1:3" x14ac:dyDescent="0.3">
      <c r="A18" s="13" t="s">
        <v>177</v>
      </c>
      <c r="B18" s="13"/>
      <c r="C18" s="4">
        <v>914</v>
      </c>
    </row>
    <row r="19" spans="1:3" x14ac:dyDescent="0.3">
      <c r="A19" s="13" t="s">
        <v>455</v>
      </c>
      <c r="B19" s="13"/>
      <c r="C19" s="4">
        <v>294</v>
      </c>
    </row>
    <row r="20" spans="1:3" x14ac:dyDescent="0.3">
      <c r="A20" s="13" t="s">
        <v>207</v>
      </c>
      <c r="B20" s="13"/>
      <c r="C20" s="4">
        <v>280</v>
      </c>
    </row>
    <row r="21" spans="1:3" x14ac:dyDescent="0.3">
      <c r="A21" s="13" t="s">
        <v>179</v>
      </c>
      <c r="B21" s="13"/>
      <c r="C21" s="4">
        <v>10761</v>
      </c>
    </row>
    <row r="22" spans="1:3" x14ac:dyDescent="0.3">
      <c r="A22" s="13" t="s">
        <v>456</v>
      </c>
      <c r="B22" s="13"/>
      <c r="C22" s="4"/>
    </row>
    <row r="23" spans="1:3" x14ac:dyDescent="0.3">
      <c r="A23" s="13" t="s">
        <v>457</v>
      </c>
      <c r="B23" s="13"/>
      <c r="C23" s="4">
        <v>41.36</v>
      </c>
    </row>
    <row r="24" spans="1:3" x14ac:dyDescent="0.3">
      <c r="A24" s="13" t="s">
        <v>458</v>
      </c>
      <c r="B24" s="13"/>
      <c r="C24" s="4">
        <v>39.5</v>
      </c>
    </row>
    <row r="25" spans="1:3" x14ac:dyDescent="0.3">
      <c r="A25" s="13" t="s">
        <v>459</v>
      </c>
      <c r="B25" s="13"/>
      <c r="C25" s="4">
        <v>3.57</v>
      </c>
    </row>
    <row r="26" spans="1:3" x14ac:dyDescent="0.3">
      <c r="A26" s="13" t="s">
        <v>460</v>
      </c>
      <c r="B26" s="13"/>
      <c r="C26" s="4">
        <v>99.99</v>
      </c>
    </row>
    <row r="27" spans="1:3" x14ac:dyDescent="0.3">
      <c r="A27" s="13" t="s">
        <v>461</v>
      </c>
      <c r="B27" s="13"/>
      <c r="C27" s="4"/>
    </row>
    <row r="28" spans="1:3" x14ac:dyDescent="0.3">
      <c r="A28" s="13" t="s">
        <v>462</v>
      </c>
      <c r="B28" s="13"/>
      <c r="C28" s="4">
        <v>0.167420814479638</v>
      </c>
    </row>
    <row r="29" spans="1:3" x14ac:dyDescent="0.3">
      <c r="A29" s="13" t="s">
        <v>463</v>
      </c>
      <c r="B29" s="13"/>
      <c r="C29" s="4">
        <v>0.42893401015228427</v>
      </c>
    </row>
    <row r="30" spans="1:3" x14ac:dyDescent="0.3">
      <c r="A30" s="13" t="s">
        <v>5</v>
      </c>
      <c r="B30" s="13"/>
      <c r="C30" s="4">
        <v>0.04</v>
      </c>
    </row>
  </sheetData>
  <mergeCells count="29">
    <mergeCell ref="A13:B13"/>
    <mergeCell ref="C1:C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6:B26"/>
    <mergeCell ref="A27:B27"/>
    <mergeCell ref="A28:B28"/>
    <mergeCell ref="A29:B29"/>
    <mergeCell ref="A30:B30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D7DEA-6678-43AE-9F4C-CD4EE189009B}">
  <dimension ref="A1:C27"/>
  <sheetViews>
    <sheetView workbookViewId="0">
      <selection activeCell="C51" sqref="C51"/>
    </sheetView>
  </sheetViews>
  <sheetFormatPr defaultRowHeight="16.5" x14ac:dyDescent="0.3"/>
  <cols>
    <col min="1" max="16384" width="9" style="2"/>
  </cols>
  <sheetData>
    <row r="1" spans="1:3" x14ac:dyDescent="0.3">
      <c r="A1" s="5" t="s">
        <v>0</v>
      </c>
      <c r="B1" s="1" t="s">
        <v>1</v>
      </c>
      <c r="C1" s="14">
        <v>2023</v>
      </c>
    </row>
    <row r="2" spans="1:3" x14ac:dyDescent="0.3">
      <c r="A2" s="3" t="s">
        <v>3</v>
      </c>
      <c r="B2" s="3" t="s">
        <v>0</v>
      </c>
      <c r="C2" s="14" t="s">
        <v>2</v>
      </c>
    </row>
    <row r="3" spans="1:3" x14ac:dyDescent="0.3">
      <c r="A3" s="13" t="s">
        <v>441</v>
      </c>
      <c r="B3" s="13"/>
      <c r="C3" s="4">
        <v>391571</v>
      </c>
    </row>
    <row r="4" spans="1:3" x14ac:dyDescent="0.3">
      <c r="A4" s="13" t="s">
        <v>5</v>
      </c>
      <c r="B4" s="13"/>
      <c r="C4" s="4">
        <v>180494</v>
      </c>
    </row>
    <row r="5" spans="1:3" x14ac:dyDescent="0.3">
      <c r="A5" s="13" t="s">
        <v>6</v>
      </c>
      <c r="B5" s="13"/>
      <c r="C5" s="4">
        <f>SUM(C6:C9)</f>
        <v>151733</v>
      </c>
    </row>
    <row r="6" spans="1:3" x14ac:dyDescent="0.3">
      <c r="A6" s="13" t="s">
        <v>176</v>
      </c>
      <c r="B6" s="13"/>
      <c r="C6" s="4">
        <v>148979</v>
      </c>
    </row>
    <row r="7" spans="1:3" x14ac:dyDescent="0.3">
      <c r="A7" s="13" t="s">
        <v>177</v>
      </c>
      <c r="B7" s="13"/>
      <c r="C7" s="4">
        <v>1876</v>
      </c>
    </row>
    <row r="8" spans="1:3" x14ac:dyDescent="0.3">
      <c r="A8" s="13" t="s">
        <v>178</v>
      </c>
      <c r="B8" s="13"/>
      <c r="C8" s="4">
        <v>0</v>
      </c>
    </row>
    <row r="9" spans="1:3" x14ac:dyDescent="0.3">
      <c r="A9" s="13" t="s">
        <v>179</v>
      </c>
      <c r="B9" s="13"/>
      <c r="C9" s="4">
        <v>878</v>
      </c>
    </row>
    <row r="10" spans="1:3" x14ac:dyDescent="0.3">
      <c r="A10" s="13" t="s">
        <v>11</v>
      </c>
      <c r="B10" s="13"/>
      <c r="C10" s="4">
        <v>41270</v>
      </c>
    </row>
    <row r="11" spans="1:3" x14ac:dyDescent="0.3">
      <c r="A11" s="13" t="s">
        <v>13</v>
      </c>
      <c r="B11" s="13"/>
      <c r="C11" s="4">
        <v>390</v>
      </c>
    </row>
    <row r="12" spans="1:3" x14ac:dyDescent="0.3">
      <c r="A12" s="13" t="s">
        <v>14</v>
      </c>
      <c r="B12" s="13"/>
      <c r="C12" s="4">
        <v>4679</v>
      </c>
    </row>
    <row r="13" spans="1:3" x14ac:dyDescent="0.3">
      <c r="A13" s="13" t="s">
        <v>17</v>
      </c>
      <c r="B13" s="13"/>
      <c r="C13" s="4">
        <v>3784</v>
      </c>
    </row>
    <row r="14" spans="1:3" x14ac:dyDescent="0.3">
      <c r="A14" s="13" t="s">
        <v>18</v>
      </c>
      <c r="B14" s="13"/>
      <c r="C14" s="4">
        <v>9157</v>
      </c>
    </row>
    <row r="15" spans="1:3" x14ac:dyDescent="0.3">
      <c r="A15" s="13" t="s">
        <v>22</v>
      </c>
      <c r="B15" s="13"/>
      <c r="C15" s="4">
        <v>64</v>
      </c>
    </row>
    <row r="16" spans="1:3" x14ac:dyDescent="0.3">
      <c r="A16" s="13" t="s">
        <v>474</v>
      </c>
      <c r="B16" s="13"/>
      <c r="C16" s="4">
        <v>196476</v>
      </c>
    </row>
    <row r="17" spans="1:3" x14ac:dyDescent="0.3">
      <c r="A17" s="13" t="s">
        <v>475</v>
      </c>
      <c r="B17" s="13"/>
      <c r="C17" s="4">
        <v>28409</v>
      </c>
    </row>
    <row r="18" spans="1:3" x14ac:dyDescent="0.3">
      <c r="A18" s="13" t="s">
        <v>11</v>
      </c>
      <c r="B18" s="13"/>
      <c r="C18" s="4">
        <v>77531</v>
      </c>
    </row>
    <row r="19" spans="1:3" x14ac:dyDescent="0.3">
      <c r="A19" s="13" t="s">
        <v>14</v>
      </c>
      <c r="B19" s="13"/>
      <c r="C19" s="4">
        <v>44411</v>
      </c>
    </row>
    <row r="20" spans="1:3" x14ac:dyDescent="0.3">
      <c r="A20" s="13" t="s">
        <v>18</v>
      </c>
      <c r="B20" s="13"/>
      <c r="C20" s="4">
        <v>45016</v>
      </c>
    </row>
    <row r="21" spans="1:3" x14ac:dyDescent="0.3">
      <c r="A21" s="13" t="s">
        <v>22</v>
      </c>
      <c r="B21" s="13"/>
      <c r="C21" s="4">
        <v>1109</v>
      </c>
    </row>
    <row r="22" spans="1:3" x14ac:dyDescent="0.3">
      <c r="A22" s="13" t="s">
        <v>453</v>
      </c>
      <c r="B22" s="13"/>
      <c r="C22" s="4">
        <v>588047</v>
      </c>
    </row>
    <row r="23" spans="1:3" x14ac:dyDescent="0.3">
      <c r="A23" s="13" t="s">
        <v>5</v>
      </c>
      <c r="B23" s="13"/>
      <c r="C23" s="4">
        <v>180494</v>
      </c>
    </row>
    <row r="24" spans="1:3" x14ac:dyDescent="0.3">
      <c r="A24" s="13" t="s">
        <v>442</v>
      </c>
      <c r="B24" s="13"/>
      <c r="C24" s="4">
        <v>348423</v>
      </c>
    </row>
    <row r="25" spans="1:3" x14ac:dyDescent="0.3">
      <c r="A25" s="13" t="s">
        <v>17</v>
      </c>
      <c r="B25" s="13"/>
      <c r="C25" s="4">
        <v>3784</v>
      </c>
    </row>
    <row r="26" spans="1:3" x14ac:dyDescent="0.3">
      <c r="A26" s="13" t="s">
        <v>18</v>
      </c>
      <c r="B26" s="13"/>
      <c r="C26" s="4">
        <v>54173</v>
      </c>
    </row>
    <row r="27" spans="1:3" x14ac:dyDescent="0.3">
      <c r="A27" s="13" t="s">
        <v>22</v>
      </c>
      <c r="B27" s="13"/>
      <c r="C27" s="4">
        <v>1173</v>
      </c>
    </row>
  </sheetData>
  <mergeCells count="26">
    <mergeCell ref="A7:B7"/>
    <mergeCell ref="C1:C2"/>
    <mergeCell ref="A3:B3"/>
    <mergeCell ref="A4:B4"/>
    <mergeCell ref="A5:B5"/>
    <mergeCell ref="A6:B6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6:B26"/>
    <mergeCell ref="A27:B27"/>
    <mergeCell ref="A20:B20"/>
    <mergeCell ref="A21:B21"/>
    <mergeCell ref="A22:B22"/>
    <mergeCell ref="A23:B23"/>
    <mergeCell ref="A24:B24"/>
    <mergeCell ref="A25:B25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07C5-9ADD-403C-BC11-9FD8061B9F71}">
  <dimension ref="A1:C12"/>
  <sheetViews>
    <sheetView workbookViewId="0">
      <selection activeCell="H13" sqref="H13"/>
    </sheetView>
  </sheetViews>
  <sheetFormatPr defaultRowHeight="16.5" x14ac:dyDescent="0.3"/>
  <cols>
    <col min="1" max="16384" width="9" style="2"/>
  </cols>
  <sheetData>
    <row r="1" spans="1:3" x14ac:dyDescent="0.3">
      <c r="A1" s="5" t="s">
        <v>0</v>
      </c>
      <c r="B1" s="1" t="s">
        <v>1</v>
      </c>
      <c r="C1" s="14">
        <v>2023</v>
      </c>
    </row>
    <row r="2" spans="1:3" x14ac:dyDescent="0.3">
      <c r="A2" s="3" t="s">
        <v>440</v>
      </c>
      <c r="B2" s="3" t="s">
        <v>0</v>
      </c>
      <c r="C2" s="14" t="s">
        <v>2</v>
      </c>
    </row>
    <row r="3" spans="1:3" x14ac:dyDescent="0.3">
      <c r="A3" s="13" t="s">
        <v>4</v>
      </c>
      <c r="B3" s="13"/>
      <c r="C3" s="4">
        <v>594400.36479600403</v>
      </c>
    </row>
    <row r="4" spans="1:3" x14ac:dyDescent="0.3">
      <c r="A4" s="13" t="s">
        <v>5</v>
      </c>
      <c r="B4" s="13"/>
      <c r="C4" s="4">
        <v>180494</v>
      </c>
    </row>
    <row r="5" spans="1:3" x14ac:dyDescent="0.3">
      <c r="A5" s="13" t="s">
        <v>442</v>
      </c>
      <c r="B5" s="13"/>
      <c r="C5" s="4">
        <v>344163</v>
      </c>
    </row>
    <row r="6" spans="1:3" x14ac:dyDescent="0.3">
      <c r="A6" s="13" t="s">
        <v>691</v>
      </c>
      <c r="B6" s="13"/>
      <c r="C6" s="4">
        <v>184927</v>
      </c>
    </row>
    <row r="7" spans="1:3" x14ac:dyDescent="0.3">
      <c r="A7" s="13" t="s">
        <v>176</v>
      </c>
      <c r="B7" s="13"/>
      <c r="C7" s="4">
        <v>183038</v>
      </c>
    </row>
    <row r="8" spans="1:3" x14ac:dyDescent="0.3">
      <c r="A8" s="13" t="s">
        <v>177</v>
      </c>
      <c r="B8" s="13"/>
      <c r="C8" s="4">
        <v>1889</v>
      </c>
    </row>
    <row r="9" spans="1:3" x14ac:dyDescent="0.3">
      <c r="A9" s="13" t="s">
        <v>455</v>
      </c>
      <c r="B9" s="13"/>
      <c r="C9" s="4">
        <v>1487</v>
      </c>
    </row>
    <row r="10" spans="1:3" x14ac:dyDescent="0.3">
      <c r="A10" s="13" t="s">
        <v>179</v>
      </c>
      <c r="B10" s="13"/>
      <c r="C10" s="4">
        <v>157749</v>
      </c>
    </row>
    <row r="11" spans="1:3" x14ac:dyDescent="0.3">
      <c r="A11" s="13" t="s">
        <v>17</v>
      </c>
      <c r="B11" s="13"/>
      <c r="C11" s="4">
        <v>3784</v>
      </c>
    </row>
    <row r="12" spans="1:3" x14ac:dyDescent="0.3">
      <c r="A12" s="13" t="s">
        <v>692</v>
      </c>
      <c r="B12" s="13"/>
      <c r="C12" s="4">
        <v>59606</v>
      </c>
    </row>
  </sheetData>
  <mergeCells count="11">
    <mergeCell ref="A7:B7"/>
    <mergeCell ref="C1:C2"/>
    <mergeCell ref="A3:B3"/>
    <mergeCell ref="A4:B4"/>
    <mergeCell ref="A5:B5"/>
    <mergeCell ref="A6:B6"/>
    <mergeCell ref="A8:B8"/>
    <mergeCell ref="A9:B9"/>
    <mergeCell ref="A10:B10"/>
    <mergeCell ref="A11:B11"/>
    <mergeCell ref="A12:B12"/>
  </mergeCells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6F2BA-0E92-4803-A3D0-931CAC7BDA5C}">
  <dimension ref="A1:C8"/>
  <sheetViews>
    <sheetView workbookViewId="0">
      <selection activeCell="K15" sqref="K15"/>
    </sheetView>
  </sheetViews>
  <sheetFormatPr defaultRowHeight="16.5" x14ac:dyDescent="0.3"/>
  <cols>
    <col min="1" max="16384" width="9" style="2"/>
  </cols>
  <sheetData>
    <row r="1" spans="1:3" x14ac:dyDescent="0.3">
      <c r="A1" s="5" t="s">
        <v>0</v>
      </c>
      <c r="B1" s="1" t="s">
        <v>1</v>
      </c>
      <c r="C1" s="14">
        <v>2023</v>
      </c>
    </row>
    <row r="2" spans="1:3" x14ac:dyDescent="0.3">
      <c r="A2" s="3" t="s">
        <v>718</v>
      </c>
      <c r="B2" s="3" t="s">
        <v>0</v>
      </c>
      <c r="C2" s="14" t="s">
        <v>2</v>
      </c>
    </row>
    <row r="3" spans="1:3" x14ac:dyDescent="0.3">
      <c r="A3" s="13" t="s">
        <v>176</v>
      </c>
      <c r="B3" s="13"/>
      <c r="C3" s="4">
        <v>59379</v>
      </c>
    </row>
    <row r="4" spans="1:3" x14ac:dyDescent="0.3">
      <c r="A4" s="13" t="s">
        <v>177</v>
      </c>
      <c r="B4" s="13"/>
      <c r="C4" s="4">
        <v>914</v>
      </c>
    </row>
    <row r="5" spans="1:3" x14ac:dyDescent="0.3">
      <c r="A5" s="13" t="s">
        <v>719</v>
      </c>
      <c r="B5" s="13"/>
      <c r="C5" s="4">
        <v>15</v>
      </c>
    </row>
    <row r="6" spans="1:3" x14ac:dyDescent="0.3">
      <c r="A6" s="13" t="s">
        <v>720</v>
      </c>
      <c r="B6" s="13"/>
      <c r="C6" s="4">
        <v>0</v>
      </c>
    </row>
    <row r="7" spans="1:3" x14ac:dyDescent="0.3">
      <c r="A7" s="13" t="s">
        <v>207</v>
      </c>
      <c r="B7" s="13"/>
      <c r="C7" s="4">
        <v>280</v>
      </c>
    </row>
    <row r="8" spans="1:3" x14ac:dyDescent="0.3">
      <c r="A8" s="13" t="s">
        <v>179</v>
      </c>
      <c r="B8" s="13"/>
      <c r="C8" s="4">
        <v>10761</v>
      </c>
    </row>
  </sheetData>
  <mergeCells count="7">
    <mergeCell ref="A8:B8"/>
    <mergeCell ref="C1:C2"/>
    <mergeCell ref="A3:B3"/>
    <mergeCell ref="A4:B4"/>
    <mergeCell ref="A5:B5"/>
    <mergeCell ref="A6:B6"/>
    <mergeCell ref="A7:B7"/>
  </mergeCells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5AE00-0AB2-4A60-BEDD-97D1D0D9BF86}">
  <dimension ref="A1:C12"/>
  <sheetViews>
    <sheetView workbookViewId="0">
      <selection activeCell="C51" sqref="C51"/>
    </sheetView>
  </sheetViews>
  <sheetFormatPr defaultRowHeight="16.5" x14ac:dyDescent="0.3"/>
  <cols>
    <col min="1" max="16384" width="9" style="2"/>
  </cols>
  <sheetData>
    <row r="1" spans="1:3" x14ac:dyDescent="0.3">
      <c r="A1" s="5" t="s">
        <v>0</v>
      </c>
      <c r="B1" s="1" t="s">
        <v>1</v>
      </c>
      <c r="C1" s="14">
        <v>2023</v>
      </c>
    </row>
    <row r="2" spans="1:3" x14ac:dyDescent="0.3">
      <c r="A2" s="3" t="s">
        <v>718</v>
      </c>
      <c r="B2" s="3" t="s">
        <v>0</v>
      </c>
      <c r="C2" s="14" t="s">
        <v>2</v>
      </c>
    </row>
    <row r="3" spans="1:3" x14ac:dyDescent="0.3">
      <c r="A3" s="13" t="s">
        <v>4</v>
      </c>
      <c r="B3" s="13"/>
      <c r="C3" s="4">
        <v>41.36</v>
      </c>
    </row>
    <row r="4" spans="1:3" x14ac:dyDescent="0.3">
      <c r="A4" s="13" t="s">
        <v>441</v>
      </c>
      <c r="B4" s="13"/>
      <c r="C4" s="4">
        <v>40.31</v>
      </c>
    </row>
    <row r="5" spans="1:3" x14ac:dyDescent="0.3">
      <c r="A5" s="13" t="s">
        <v>6</v>
      </c>
      <c r="B5" s="13"/>
      <c r="C5" s="4"/>
    </row>
    <row r="6" spans="1:3" x14ac:dyDescent="0.3">
      <c r="A6" s="13" t="s">
        <v>176</v>
      </c>
      <c r="B6" s="13"/>
      <c r="C6" s="4">
        <v>38.799999999999997</v>
      </c>
    </row>
    <row r="7" spans="1:3" x14ac:dyDescent="0.3">
      <c r="A7" s="13" t="s">
        <v>177</v>
      </c>
      <c r="B7" s="13"/>
      <c r="C7" s="4">
        <v>34.14</v>
      </c>
    </row>
    <row r="8" spans="1:3" x14ac:dyDescent="0.3">
      <c r="A8" s="13" t="s">
        <v>178</v>
      </c>
      <c r="B8" s="13"/>
      <c r="C8" s="2">
        <v>0</v>
      </c>
    </row>
    <row r="9" spans="1:3" x14ac:dyDescent="0.3">
      <c r="A9" s="13" t="s">
        <v>179</v>
      </c>
      <c r="B9" s="13"/>
      <c r="C9" s="4">
        <v>35.39</v>
      </c>
    </row>
    <row r="10" spans="1:3" x14ac:dyDescent="0.3">
      <c r="A10" s="13" t="s">
        <v>11</v>
      </c>
      <c r="B10" s="13"/>
      <c r="C10" s="4">
        <v>46.48</v>
      </c>
    </row>
    <row r="11" spans="1:3" x14ac:dyDescent="0.3">
      <c r="A11" s="13" t="s">
        <v>13</v>
      </c>
      <c r="B11" s="13"/>
      <c r="C11" s="4">
        <v>39.165141376000001</v>
      </c>
    </row>
    <row r="12" spans="1:3" x14ac:dyDescent="0.3">
      <c r="A12" s="13" t="s">
        <v>245</v>
      </c>
      <c r="B12" s="13"/>
      <c r="C12" s="4">
        <v>37.21</v>
      </c>
    </row>
  </sheetData>
  <mergeCells count="11">
    <mergeCell ref="A7:B7"/>
    <mergeCell ref="C1:C2"/>
    <mergeCell ref="A3:B3"/>
    <mergeCell ref="A4:B4"/>
    <mergeCell ref="A5:B5"/>
    <mergeCell ref="A6:B6"/>
    <mergeCell ref="A8:B8"/>
    <mergeCell ref="A9:B9"/>
    <mergeCell ref="A10:B10"/>
    <mergeCell ref="A11:B11"/>
    <mergeCell ref="A12:B12"/>
  </mergeCells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1D0C0-5730-4262-A9F8-5BF3E4171CBE}">
  <dimension ref="A1:C16"/>
  <sheetViews>
    <sheetView workbookViewId="0">
      <selection activeCell="C11" sqref="C11"/>
    </sheetView>
  </sheetViews>
  <sheetFormatPr defaultRowHeight="16.5" x14ac:dyDescent="0.3"/>
  <cols>
    <col min="1" max="16384" width="9" style="2"/>
  </cols>
  <sheetData>
    <row r="1" spans="1:3" x14ac:dyDescent="0.3">
      <c r="A1" s="5" t="s">
        <v>0</v>
      </c>
      <c r="B1" s="1" t="s">
        <v>1</v>
      </c>
      <c r="C1" s="14">
        <v>2023</v>
      </c>
    </row>
    <row r="2" spans="1:3" x14ac:dyDescent="0.3">
      <c r="A2" s="3" t="s">
        <v>440</v>
      </c>
      <c r="B2" s="3" t="s">
        <v>0</v>
      </c>
      <c r="C2" s="14" t="s">
        <v>2</v>
      </c>
    </row>
    <row r="3" spans="1:3" x14ac:dyDescent="0.3">
      <c r="A3" s="13" t="s">
        <v>4</v>
      </c>
      <c r="B3" s="13"/>
      <c r="C3" s="4">
        <v>46.5</v>
      </c>
    </row>
    <row r="4" spans="1:3" x14ac:dyDescent="0.3">
      <c r="A4" s="13" t="s">
        <v>441</v>
      </c>
      <c r="B4" s="13"/>
      <c r="C4" s="4">
        <v>53.7</v>
      </c>
    </row>
    <row r="5" spans="1:3" x14ac:dyDescent="0.3">
      <c r="A5" s="13" t="s">
        <v>5</v>
      </c>
      <c r="B5" s="13"/>
      <c r="C5" s="4">
        <v>81.8</v>
      </c>
    </row>
    <row r="6" spans="1:3" x14ac:dyDescent="0.3">
      <c r="A6" s="13" t="s">
        <v>442</v>
      </c>
      <c r="B6" s="13"/>
      <c r="C6" s="4">
        <v>44.250974564336602</v>
      </c>
    </row>
    <row r="7" spans="1:3" x14ac:dyDescent="0.3">
      <c r="A7" s="13" t="s">
        <v>6</v>
      </c>
      <c r="B7" s="13"/>
      <c r="C7" s="4"/>
    </row>
    <row r="8" spans="1:3" x14ac:dyDescent="0.3">
      <c r="A8" s="13" t="s">
        <v>176</v>
      </c>
      <c r="B8" s="13"/>
      <c r="C8" s="4">
        <v>52.9</v>
      </c>
    </row>
    <row r="9" spans="1:3" x14ac:dyDescent="0.3">
      <c r="A9" s="13" t="s">
        <v>177</v>
      </c>
      <c r="B9" s="13"/>
      <c r="C9" s="4">
        <v>53.5</v>
      </c>
    </row>
    <row r="10" spans="1:3" x14ac:dyDescent="0.3">
      <c r="A10" s="13" t="s">
        <v>178</v>
      </c>
      <c r="B10" s="13"/>
      <c r="C10" s="4"/>
    </row>
    <row r="11" spans="1:3" x14ac:dyDescent="0.3">
      <c r="A11" s="13" t="s">
        <v>179</v>
      </c>
      <c r="B11" s="13"/>
      <c r="C11" s="4">
        <v>29.3</v>
      </c>
    </row>
    <row r="12" spans="1:3" x14ac:dyDescent="0.3">
      <c r="A12" s="13" t="s">
        <v>11</v>
      </c>
      <c r="B12" s="13"/>
      <c r="C12" s="4">
        <v>29.2</v>
      </c>
    </row>
    <row r="13" spans="1:3" x14ac:dyDescent="0.3">
      <c r="A13" s="13" t="s">
        <v>13</v>
      </c>
      <c r="B13" s="13"/>
      <c r="C13" s="4">
        <v>32.6</v>
      </c>
    </row>
    <row r="14" spans="1:3" x14ac:dyDescent="0.3">
      <c r="A14" s="13" t="s">
        <v>14</v>
      </c>
      <c r="B14" s="13"/>
      <c r="C14" s="4">
        <v>60.6</v>
      </c>
    </row>
    <row r="15" spans="1:3" x14ac:dyDescent="0.3">
      <c r="A15" s="13" t="s">
        <v>443</v>
      </c>
      <c r="B15" s="13"/>
      <c r="C15" s="4">
        <v>10.859267746315789</v>
      </c>
    </row>
    <row r="16" spans="1:3" x14ac:dyDescent="0.3">
      <c r="A16" s="13" t="s">
        <v>444</v>
      </c>
      <c r="B16" s="13"/>
      <c r="C16" s="4">
        <v>36.4</v>
      </c>
    </row>
  </sheetData>
  <mergeCells count="15">
    <mergeCell ref="A7:B7"/>
    <mergeCell ref="C1:C2"/>
    <mergeCell ref="A3:B3"/>
    <mergeCell ref="A4:B4"/>
    <mergeCell ref="A5:B5"/>
    <mergeCell ref="A6:B6"/>
    <mergeCell ref="A14:B14"/>
    <mergeCell ref="A15:B15"/>
    <mergeCell ref="A16:B16"/>
    <mergeCell ref="A8:B8"/>
    <mergeCell ref="A9:B9"/>
    <mergeCell ref="A10:B10"/>
    <mergeCell ref="A11:B11"/>
    <mergeCell ref="A12:B12"/>
    <mergeCell ref="A13:B13"/>
  </mergeCells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9569A-35E7-49DE-A9BB-17FBFBAA4FD1}">
  <dimension ref="A1:C16"/>
  <sheetViews>
    <sheetView workbookViewId="0">
      <selection activeCell="C51" sqref="C51"/>
    </sheetView>
  </sheetViews>
  <sheetFormatPr defaultRowHeight="16.5" x14ac:dyDescent="0.3"/>
  <cols>
    <col min="1" max="16384" width="9" style="2"/>
  </cols>
  <sheetData>
    <row r="1" spans="1:3" x14ac:dyDescent="0.3">
      <c r="A1" s="5" t="s">
        <v>0</v>
      </c>
      <c r="B1" s="1" t="s">
        <v>1</v>
      </c>
      <c r="C1" s="14">
        <v>2023</v>
      </c>
    </row>
    <row r="2" spans="1:3" x14ac:dyDescent="0.3">
      <c r="A2" s="3" t="s">
        <v>440</v>
      </c>
      <c r="B2" s="3" t="s">
        <v>0</v>
      </c>
      <c r="C2" s="14" t="s">
        <v>2</v>
      </c>
    </row>
    <row r="3" spans="1:3" x14ac:dyDescent="0.3">
      <c r="A3" s="13" t="s">
        <v>4</v>
      </c>
      <c r="B3" s="13"/>
      <c r="C3" s="4">
        <v>3.57</v>
      </c>
    </row>
    <row r="4" spans="1:3" x14ac:dyDescent="0.3">
      <c r="A4" s="13" t="s">
        <v>441</v>
      </c>
      <c r="B4" s="13"/>
      <c r="C4" s="4">
        <v>4.87</v>
      </c>
    </row>
    <row r="5" spans="1:3" x14ac:dyDescent="0.3">
      <c r="A5" s="13" t="s">
        <v>5</v>
      </c>
      <c r="B5" s="13"/>
      <c r="C5" s="4">
        <v>4.88</v>
      </c>
    </row>
    <row r="6" spans="1:3" x14ac:dyDescent="0.3">
      <c r="A6" s="13" t="s">
        <v>442</v>
      </c>
      <c r="B6" s="13"/>
      <c r="C6" s="10">
        <v>4.8744900844137486</v>
      </c>
    </row>
    <row r="7" spans="1:3" x14ac:dyDescent="0.3">
      <c r="A7" s="13" t="s">
        <v>6</v>
      </c>
      <c r="B7" s="13"/>
      <c r="C7" s="4">
        <v>5.62</v>
      </c>
    </row>
    <row r="8" spans="1:3" x14ac:dyDescent="0.3">
      <c r="A8" s="13" t="s">
        <v>176</v>
      </c>
      <c r="B8" s="13"/>
      <c r="C8" s="4">
        <v>5.57</v>
      </c>
    </row>
    <row r="9" spans="1:3" x14ac:dyDescent="0.3">
      <c r="A9" s="13" t="s">
        <v>177</v>
      </c>
      <c r="B9" s="13"/>
      <c r="C9" s="4">
        <v>10.39</v>
      </c>
    </row>
    <row r="10" spans="1:3" x14ac:dyDescent="0.3">
      <c r="A10" s="13" t="s">
        <v>178</v>
      </c>
      <c r="B10" s="13"/>
      <c r="C10" s="4">
        <v>0</v>
      </c>
    </row>
    <row r="11" spans="1:3" x14ac:dyDescent="0.3">
      <c r="A11" s="13" t="s">
        <v>179</v>
      </c>
      <c r="B11" s="13"/>
      <c r="C11" s="4">
        <v>2.37</v>
      </c>
    </row>
    <row r="12" spans="1:3" x14ac:dyDescent="0.3">
      <c r="A12" s="13" t="s">
        <v>11</v>
      </c>
      <c r="B12" s="13"/>
      <c r="C12" s="4">
        <v>2.37</v>
      </c>
    </row>
    <row r="13" spans="1:3" x14ac:dyDescent="0.3">
      <c r="A13" s="13" t="s">
        <v>13</v>
      </c>
      <c r="B13" s="13"/>
      <c r="C13" s="4">
        <v>6.06</v>
      </c>
    </row>
    <row r="14" spans="1:3" x14ac:dyDescent="0.3">
      <c r="A14" s="13" t="s">
        <v>14</v>
      </c>
      <c r="B14" s="13"/>
      <c r="C14" s="4">
        <v>2.65</v>
      </c>
    </row>
    <row r="15" spans="1:3" x14ac:dyDescent="0.3">
      <c r="A15" s="13" t="s">
        <v>443</v>
      </c>
      <c r="B15" s="13"/>
      <c r="C15" s="10">
        <v>0.34001428826295432</v>
      </c>
    </row>
    <row r="16" spans="1:3" x14ac:dyDescent="0.3">
      <c r="A16" s="13" t="s">
        <v>444</v>
      </c>
      <c r="B16" s="13"/>
      <c r="C16" s="10">
        <v>0.98309907694545617</v>
      </c>
    </row>
  </sheetData>
  <mergeCells count="15">
    <mergeCell ref="A7:B7"/>
    <mergeCell ref="C1:C2"/>
    <mergeCell ref="A3:B3"/>
    <mergeCell ref="A4:B4"/>
    <mergeCell ref="A5:B5"/>
    <mergeCell ref="A6:B6"/>
    <mergeCell ref="A14:B14"/>
    <mergeCell ref="A15:B15"/>
    <mergeCell ref="A16:B16"/>
    <mergeCell ref="A8:B8"/>
    <mergeCell ref="A9:B9"/>
    <mergeCell ref="A10:B10"/>
    <mergeCell ref="A11:B11"/>
    <mergeCell ref="A12:B12"/>
    <mergeCell ref="A13:B13"/>
  </mergeCells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74322-F636-48EE-B84B-5915987CC0B9}">
  <dimension ref="A1:C29"/>
  <sheetViews>
    <sheetView workbookViewId="0">
      <selection activeCell="C51" sqref="C51"/>
    </sheetView>
  </sheetViews>
  <sheetFormatPr defaultRowHeight="16.5" x14ac:dyDescent="0.3"/>
  <cols>
    <col min="1" max="1" width="9" style="2"/>
    <col min="2" max="2" width="11.625" style="2" customWidth="1"/>
    <col min="3" max="16384" width="9" style="2"/>
  </cols>
  <sheetData>
    <row r="1" spans="1:3" x14ac:dyDescent="0.3">
      <c r="A1" s="5" t="s">
        <v>0</v>
      </c>
      <c r="B1" s="1" t="s">
        <v>1</v>
      </c>
      <c r="C1" s="14">
        <v>2023</v>
      </c>
    </row>
    <row r="2" spans="1:3" x14ac:dyDescent="0.3">
      <c r="A2" s="3" t="s">
        <v>693</v>
      </c>
      <c r="B2" s="3" t="s">
        <v>0</v>
      </c>
      <c r="C2" s="14" t="s">
        <v>2</v>
      </c>
    </row>
    <row r="3" spans="1:3" x14ac:dyDescent="0.3">
      <c r="A3" s="13" t="s">
        <v>694</v>
      </c>
      <c r="B3" s="13"/>
      <c r="C3" s="11">
        <v>1.4</v>
      </c>
    </row>
    <row r="4" spans="1:3" x14ac:dyDescent="0.3">
      <c r="A4" s="13" t="s">
        <v>695</v>
      </c>
      <c r="B4" s="13"/>
      <c r="C4" s="4">
        <v>144420.90800647548</v>
      </c>
    </row>
    <row r="5" spans="1:3" x14ac:dyDescent="0.3">
      <c r="A5" s="13" t="s">
        <v>696</v>
      </c>
      <c r="B5" s="13"/>
      <c r="C5" s="4">
        <v>4.5063967607395341</v>
      </c>
    </row>
    <row r="6" spans="1:3" x14ac:dyDescent="0.3">
      <c r="A6" s="13" t="s">
        <v>449</v>
      </c>
      <c r="B6" s="13"/>
      <c r="C6" s="4">
        <v>91556</v>
      </c>
    </row>
    <row r="7" spans="1:3" x14ac:dyDescent="0.3">
      <c r="A7" s="13" t="s">
        <v>697</v>
      </c>
      <c r="B7" s="13"/>
      <c r="C7" s="4">
        <v>-3.1245701467585096</v>
      </c>
    </row>
    <row r="8" spans="1:3" x14ac:dyDescent="0.3">
      <c r="A8" s="13" t="s">
        <v>698</v>
      </c>
      <c r="B8" s="13"/>
      <c r="C8" s="4">
        <v>57.696928655686143</v>
      </c>
    </row>
    <row r="9" spans="1:3" x14ac:dyDescent="0.3">
      <c r="A9" s="13" t="s">
        <v>451</v>
      </c>
      <c r="B9" s="13"/>
      <c r="C9" s="4">
        <v>14.9</v>
      </c>
    </row>
    <row r="10" spans="1:3" x14ac:dyDescent="0.3">
      <c r="A10" s="13" t="s">
        <v>699</v>
      </c>
      <c r="B10" s="13"/>
      <c r="C10" s="4">
        <v>588047</v>
      </c>
    </row>
    <row r="11" spans="1:3" x14ac:dyDescent="0.3">
      <c r="A11" s="13" t="s">
        <v>700</v>
      </c>
      <c r="B11" s="13"/>
      <c r="C11" s="4">
        <v>-1.0688695990597654</v>
      </c>
    </row>
    <row r="12" spans="1:3" x14ac:dyDescent="0.3">
      <c r="A12" s="13" t="s">
        <v>701</v>
      </c>
      <c r="B12" s="13"/>
      <c r="C12" s="4">
        <v>49.100215933237983</v>
      </c>
    </row>
    <row r="13" spans="1:3" x14ac:dyDescent="0.3">
      <c r="A13" s="13" t="s">
        <v>702</v>
      </c>
      <c r="B13" s="13"/>
      <c r="C13" s="4">
        <v>3.7148729642834293</v>
      </c>
    </row>
    <row r="14" spans="1:3" x14ac:dyDescent="0.3">
      <c r="A14" s="13" t="s">
        <v>703</v>
      </c>
      <c r="B14" s="13"/>
      <c r="C14" s="4">
        <v>20976</v>
      </c>
    </row>
    <row r="15" spans="1:3" x14ac:dyDescent="0.3">
      <c r="A15" s="13" t="s">
        <v>704</v>
      </c>
      <c r="B15" s="13"/>
      <c r="C15" s="4">
        <v>545966</v>
      </c>
    </row>
    <row r="16" spans="1:3" x14ac:dyDescent="0.3">
      <c r="A16" s="13" t="s">
        <v>705</v>
      </c>
      <c r="B16" s="13"/>
      <c r="C16" s="4">
        <v>0.36</v>
      </c>
    </row>
    <row r="17" spans="1:3" x14ac:dyDescent="0.3">
      <c r="A17" s="13" t="s">
        <v>706</v>
      </c>
      <c r="B17" s="13"/>
      <c r="C17" s="4">
        <v>561447</v>
      </c>
    </row>
    <row r="18" spans="1:3" x14ac:dyDescent="0.3">
      <c r="A18" s="13" t="s">
        <v>707</v>
      </c>
      <c r="B18" s="13"/>
      <c r="C18" s="4">
        <v>3.53</v>
      </c>
    </row>
    <row r="19" spans="1:3" x14ac:dyDescent="0.3">
      <c r="A19" s="13" t="s">
        <v>708</v>
      </c>
      <c r="B19" s="13"/>
      <c r="C19" s="4">
        <v>82348</v>
      </c>
    </row>
    <row r="20" spans="1:3" x14ac:dyDescent="0.3">
      <c r="A20" s="13" t="s">
        <v>709</v>
      </c>
      <c r="B20" s="13"/>
      <c r="C20" s="4">
        <v>130844</v>
      </c>
    </row>
    <row r="21" spans="1:3" x14ac:dyDescent="0.3">
      <c r="A21" s="13" t="s">
        <v>710</v>
      </c>
      <c r="B21" s="13"/>
      <c r="C21" s="4">
        <v>9232</v>
      </c>
    </row>
    <row r="22" spans="1:3" x14ac:dyDescent="0.3">
      <c r="A22" s="13" t="s">
        <v>711</v>
      </c>
      <c r="B22" s="13"/>
      <c r="C22" s="4">
        <v>290555</v>
      </c>
    </row>
    <row r="23" spans="1:3" x14ac:dyDescent="0.3">
      <c r="A23" s="13" t="s">
        <v>712</v>
      </c>
      <c r="B23" s="13"/>
      <c r="C23" s="4">
        <v>20763</v>
      </c>
    </row>
    <row r="24" spans="1:3" x14ac:dyDescent="0.3">
      <c r="A24" s="13" t="s">
        <v>713</v>
      </c>
      <c r="B24" s="13"/>
      <c r="C24" s="4">
        <v>3399</v>
      </c>
    </row>
    <row r="25" spans="1:3" x14ac:dyDescent="0.3">
      <c r="A25" s="13" t="s">
        <v>714</v>
      </c>
      <c r="B25" s="13"/>
      <c r="C25" s="4">
        <v>8825</v>
      </c>
    </row>
    <row r="26" spans="1:3" x14ac:dyDescent="0.3">
      <c r="A26" s="13" t="s">
        <v>452</v>
      </c>
      <c r="B26" s="13"/>
      <c r="C26" s="4">
        <v>67129</v>
      </c>
    </row>
    <row r="27" spans="1:3" x14ac:dyDescent="0.3">
      <c r="A27" s="13" t="s">
        <v>715</v>
      </c>
      <c r="B27" s="13"/>
      <c r="C27" s="4">
        <v>72</v>
      </c>
    </row>
    <row r="28" spans="1:3" x14ac:dyDescent="0.3">
      <c r="A28" s="13" t="s">
        <v>716</v>
      </c>
      <c r="B28" s="13"/>
      <c r="C28" s="4">
        <v>41.36</v>
      </c>
    </row>
    <row r="29" spans="1:3" x14ac:dyDescent="0.3">
      <c r="A29" s="13" t="s">
        <v>717</v>
      </c>
      <c r="B29" s="13"/>
      <c r="C29" s="4">
        <v>10637</v>
      </c>
    </row>
  </sheetData>
  <mergeCells count="28">
    <mergeCell ref="A7:B7"/>
    <mergeCell ref="C1:C2"/>
    <mergeCell ref="A3:B3"/>
    <mergeCell ref="A4:B4"/>
    <mergeCell ref="A5:B5"/>
    <mergeCell ref="A6:B6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25:B25"/>
  </mergeCells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9EA10-D3D1-418A-A0A8-233626D9B038}">
  <dimension ref="A1:C51"/>
  <sheetViews>
    <sheetView workbookViewId="0">
      <selection activeCell="A51" sqref="A51"/>
    </sheetView>
  </sheetViews>
  <sheetFormatPr defaultRowHeight="16.5" x14ac:dyDescent="0.3"/>
  <cols>
    <col min="1" max="16384" width="9" style="2"/>
  </cols>
  <sheetData>
    <row r="1" spans="1:3" x14ac:dyDescent="0.3">
      <c r="A1" s="5" t="s">
        <v>0</v>
      </c>
      <c r="B1" s="1" t="s">
        <v>1</v>
      </c>
      <c r="C1" s="14">
        <v>2023</v>
      </c>
    </row>
    <row r="2" spans="1:3" x14ac:dyDescent="0.3">
      <c r="A2" s="3" t="s">
        <v>169</v>
      </c>
      <c r="B2" s="3" t="s">
        <v>0</v>
      </c>
      <c r="C2" s="14" t="s">
        <v>2</v>
      </c>
    </row>
    <row r="3" spans="1:3" x14ac:dyDescent="0.3">
      <c r="A3" s="13" t="s">
        <v>773</v>
      </c>
      <c r="B3" s="13"/>
      <c r="C3" s="4">
        <v>12</v>
      </c>
    </row>
    <row r="4" spans="1:3" x14ac:dyDescent="0.3">
      <c r="A4" s="13" t="s">
        <v>774</v>
      </c>
      <c r="B4" s="13"/>
      <c r="C4" s="4">
        <v>21</v>
      </c>
    </row>
    <row r="5" spans="1:3" x14ac:dyDescent="0.3">
      <c r="A5" s="13" t="s">
        <v>775</v>
      </c>
      <c r="B5" s="13"/>
      <c r="C5" s="4">
        <v>10</v>
      </c>
    </row>
    <row r="6" spans="1:3" x14ac:dyDescent="0.3">
      <c r="A6" s="13" t="s">
        <v>776</v>
      </c>
      <c r="B6" s="13"/>
      <c r="C6" s="4">
        <v>91556</v>
      </c>
    </row>
    <row r="7" spans="1:3" x14ac:dyDescent="0.3">
      <c r="A7" s="19" t="s">
        <v>777</v>
      </c>
      <c r="B7" s="13"/>
      <c r="C7" s="4">
        <v>-9.4</v>
      </c>
    </row>
    <row r="8" spans="1:3" x14ac:dyDescent="0.3">
      <c r="A8" s="13" t="s">
        <v>778</v>
      </c>
      <c r="B8" s="13"/>
      <c r="C8" s="4"/>
    </row>
    <row r="51" spans="1:1" x14ac:dyDescent="0.3">
      <c r="A51" s="12"/>
    </row>
  </sheetData>
  <mergeCells count="7">
    <mergeCell ref="A8:B8"/>
    <mergeCell ref="C1:C2"/>
    <mergeCell ref="A3:B3"/>
    <mergeCell ref="A4:B4"/>
    <mergeCell ref="A5:B5"/>
    <mergeCell ref="A6:B6"/>
    <mergeCell ref="A7:B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24</vt:i4>
      </vt:variant>
    </vt:vector>
  </HeadingPairs>
  <TitlesOfParts>
    <vt:vector size="24" baseType="lpstr">
      <vt:lpstr>Ⅰ-1-가.발전회사별 </vt:lpstr>
      <vt:lpstr>Ⅰ-1-나.회원사별</vt:lpstr>
      <vt:lpstr>Ⅰ-1-다.급전방식별</vt:lpstr>
      <vt:lpstr>Ⅰ-2-가.발전설비용량 및 대수</vt:lpstr>
      <vt:lpstr>Ⅰ-2-다. 발전기별</vt:lpstr>
      <vt:lpstr>Ⅰ-2-라.지역별</vt:lpstr>
      <vt:lpstr>Ⅱ-1.설비형식별 발전설비구성</vt:lpstr>
      <vt:lpstr>Ⅱ-2.연료원별 발전설비구성</vt:lpstr>
      <vt:lpstr>Ⅱ-3-(1).사업자별 발전설비구성</vt:lpstr>
      <vt:lpstr>Ⅱ-3-(2).발전원별 점유율</vt:lpstr>
      <vt:lpstr>Ⅲ-2.발전원별 증감추이</vt:lpstr>
      <vt:lpstr>Ⅲ-3-가.양수및수력 증감추이</vt:lpstr>
      <vt:lpstr>Ⅲ-3-나.기력 증감추이</vt:lpstr>
      <vt:lpstr>Ⅲ-3-다.내연력및복합화력 증감추이</vt:lpstr>
      <vt:lpstr>Ⅲ-3-라.원자력 증감추이</vt:lpstr>
      <vt:lpstr>Ⅵ-1.발전실적 종합</vt:lpstr>
      <vt:lpstr>Ⅵ-2.설비별 발전량</vt:lpstr>
      <vt:lpstr>Ⅵ-3.에너지원별 발전량</vt:lpstr>
      <vt:lpstr>Ⅵ-4.연료사용량</vt:lpstr>
      <vt:lpstr>Ⅵ-5.열효율</vt:lpstr>
      <vt:lpstr>Ⅵ-6.이용률</vt:lpstr>
      <vt:lpstr>Ⅵ-7.발전소내 소비전력률</vt:lpstr>
      <vt:lpstr>Ⅶ-1.연도별 전력수급실적</vt:lpstr>
      <vt:lpstr>Ⅶ-2.최대전력 발생일시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dcterms:created xsi:type="dcterms:W3CDTF">2018-08-15T04:09:10Z</dcterms:created>
  <dcterms:modified xsi:type="dcterms:W3CDTF">2024-09-27T06:39:15Z</dcterms:modified>
</cp:coreProperties>
</file>